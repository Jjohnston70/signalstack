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270" windowWidth="29040" windowHeight="15720" tabRatio="600" firstSheet="0" activeTab="2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oster" sheetId="2" state="visible" r:id="rId2"/>
    <sheet xmlns:r="http://schemas.openxmlformats.org/officeDocument/2006/relationships" name="Hours Log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#,##0.0"/>
    <numFmt numFmtId="165" formatCode="0.0%"/>
    <numFmt numFmtId="166" formatCode="\$#,##0.00"/>
    <numFmt numFmtId="167" formatCode="\$#,##0"/>
    <numFmt numFmtId="168" formatCode="mm/dd/yyyy"/>
    <numFmt numFmtId="169" formatCode="0.0"/>
    <numFmt numFmtId="170" formatCode="$#,##0.00"/>
  </numFmts>
  <fonts count="9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i val="1"/>
      <color rgb="FF1A3A5C"/>
      <sz val="9"/>
    </font>
    <font>
      <name val="Arial"/>
      <b val="1"/>
      <color rgb="FFFFFFFF"/>
      <sz val="10"/>
    </font>
    <font>
      <name val="Arial"/>
      <b val="1"/>
      <color rgb="FFFFFFFF"/>
      <sz val="9"/>
    </font>
    <font>
      <name val="Arial"/>
      <b val="1"/>
      <color rgb="FF1A3A5C"/>
      <sz val="14"/>
    </font>
    <font>
      <name val="Arial"/>
      <color rgb="FF000000"/>
      <sz val="10"/>
    </font>
    <font>
      <name val="Arial"/>
      <b val="1"/>
      <color rgb="FF000000"/>
      <sz val="10"/>
    </font>
    <font>
      <name val="Arial"/>
      <b val="1"/>
      <color rgb="FF3B6D11"/>
      <sz val="10"/>
    </font>
  </fonts>
  <fills count="10">
    <fill>
      <patternFill/>
    </fill>
    <fill>
      <patternFill patternType="gray125"/>
    </fill>
    <fill>
      <patternFill patternType="solid">
        <fgColor rgb="FF1A3A5C"/>
      </patternFill>
    </fill>
    <fill>
      <patternFill patternType="solid">
        <fgColor rgb="FFD6E8F5"/>
      </patternFill>
    </fill>
    <fill>
      <patternFill patternType="solid">
        <fgColor rgb="FFFFF2CC"/>
      </patternFill>
    </fill>
    <fill>
      <patternFill patternType="solid">
        <fgColor rgb="FF3D8EB9"/>
      </patternFill>
    </fill>
    <fill>
      <patternFill patternType="solid">
        <fgColor rgb="FFFFFFFF"/>
      </patternFill>
    </fill>
    <fill>
      <patternFill patternType="solid">
        <fgColor rgb="FFF7F9FB"/>
      </patternFill>
    </fill>
    <fill>
      <patternFill patternType="solid">
        <fgColor rgb="FFEAF3DE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3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6" fontId="5" fillId="3" borderId="1" applyAlignment="1" pivotButton="0" quotePrefix="0" xfId="0">
      <alignment horizontal="center" vertical="center"/>
    </xf>
    <xf numFmtId="167" fontId="5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5" borderId="5" applyAlignment="1" pivotButton="0" quotePrefix="0" xfId="0">
      <alignment horizontal="center" vertical="center" wrapText="1"/>
    </xf>
    <xf numFmtId="0" fontId="6" fillId="9" borderId="4" applyAlignment="1" pivotButton="0" quotePrefix="0" xfId="0">
      <alignment horizontal="center" vertical="center"/>
    </xf>
    <xf numFmtId="3" fontId="6" fillId="9" borderId="4" applyAlignment="1" pivotButton="0" quotePrefix="0" xfId="0">
      <alignment horizontal="center" vertical="center"/>
    </xf>
    <xf numFmtId="165" fontId="6" fillId="9" borderId="4" applyAlignment="1" pivotButton="0" quotePrefix="0" xfId="0">
      <alignment horizontal="center" vertical="center"/>
    </xf>
    <xf numFmtId="0" fontId="0" fillId="9" borderId="4" applyAlignment="1" pivotButton="0" quotePrefix="0" xfId="0">
      <alignment horizontal="center" vertical="center"/>
    </xf>
    <xf numFmtId="3" fontId="0" fillId="9" borderId="4" applyAlignment="1" pivotButton="0" quotePrefix="0" xfId="0">
      <alignment horizontal="center" vertical="center"/>
    </xf>
    <xf numFmtId="165" fontId="0" fillId="9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8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168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166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166" fontId="6" fillId="7" borderId="1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/>
    </xf>
    <xf numFmtId="169" fontId="6" fillId="6" borderId="1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169" fontId="6" fillId="7" borderId="1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/>
    </xf>
    <xf numFmtId="169" fontId="0" fillId="0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8" fontId="0" fillId="0" borderId="0" pivotButton="0" quotePrefix="0" xfId="0"/>
    <xf numFmtId="166" fontId="0" fillId="0" borderId="0" pivotButton="0" quotePrefix="0" xfId="0"/>
    <xf numFmtId="169" fontId="7" fillId="6" borderId="1" applyAlignment="1" pivotButton="0" quotePrefix="0" xfId="0">
      <alignment horizontal="center" vertical="center"/>
    </xf>
    <xf numFmtId="169" fontId="7" fillId="7" borderId="1" applyAlignment="1" pivotButton="0" quotePrefix="0" xfId="0">
      <alignment horizontal="center" vertical="center"/>
    </xf>
    <xf numFmtId="169" fontId="0" fillId="0" borderId="0" pivotButton="0" quotePrefix="0" xfId="0"/>
    <xf numFmtId="1" fontId="6" fillId="9" borderId="4" applyAlignment="1" pivotButton="0" quotePrefix="0" xfId="0">
      <alignment horizontal="center" vertical="center"/>
    </xf>
    <xf numFmtId="1" fontId="0" fillId="9" borderId="4" applyAlignment="1" pivotButton="0" quotePrefix="0" xfId="0">
      <alignment horizontal="center" vertical="center"/>
    </xf>
    <xf numFmtId="1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0" applyAlignment="1" pivotButton="0" quotePrefix="0" xfId="0">
      <alignment horizontal="center" vertical="center"/>
    </xf>
    <xf numFmtId="170" fontId="6" fillId="6" borderId="1" applyAlignment="1" pivotButton="0" quotePrefix="0" xfId="0">
      <alignment horizontal="center" vertical="center"/>
    </xf>
    <xf numFmtId="170" fontId="6" fillId="7" borderId="1" applyAlignment="1" pivotButton="0" quotePrefix="0" xfId="0">
      <alignment horizontal="center" vertical="center"/>
    </xf>
    <xf numFmtId="170" fontId="0" fillId="0" borderId="0" applyAlignment="1" pivotButton="0" quotePrefix="0" xfId="0">
      <alignment horizontal="center"/>
    </xf>
    <xf numFmtId="17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0"/>
  <sheetViews>
    <sheetView zoomScaleNormal="100" workbookViewId="0">
      <pane ySplit="9" topLeftCell="A10" activePane="bottomLeft" state="frozen"/>
      <selection pane="bottomLeft" activeCell="U8" sqref="U8"/>
    </sheetView>
  </sheetViews>
  <sheetFormatPr baseColWidth="8" defaultRowHeight="15"/>
  <cols>
    <col width="12" customWidth="1" style="48" min="1" max="2"/>
    <col width="14" customWidth="1" style="48" min="3" max="3"/>
    <col width="12" customWidth="1" style="48" min="4" max="4"/>
    <col width="14" customWidth="1" style="48" min="5" max="5"/>
    <col width="15.5703125" customWidth="1" style="48" min="6" max="6"/>
    <col width="14" customWidth="1" style="48" min="7" max="7"/>
    <col width="28" customWidth="1" style="48" min="8" max="8"/>
    <col hidden="1" width="13" customWidth="1" min="10" max="10"/>
  </cols>
  <sheetData>
    <row r="1" ht="30" customHeight="1">
      <c r="A1" s="44" t="inlineStr">
        <is>
          <t>SignalStack | Team Tempo — Workforce Health Dashboard</t>
        </is>
      </c>
    </row>
    <row r="2" ht="15.95" customHeight="1">
      <c r="A2" s="42" t="inlineStr">
        <is>
          <t xml:space="preserve">  Weekly workforce metrics. Update the Hours Log and Roster tabs. KPIs auto-calculate.</t>
        </is>
      </c>
    </row>
    <row r="3" ht="8.1" customHeight="1"/>
    <row r="4" ht="21.95" customHeight="1">
      <c r="A4" s="45" t="inlineStr">
        <is>
          <t>TEAM SNAPSHOT — CURRENT WEEK</t>
        </is>
      </c>
      <c r="B4" s="46" t="n"/>
      <c r="C4" s="46" t="n"/>
      <c r="D4" s="46" t="n"/>
      <c r="E4" s="46" t="n"/>
      <c r="F4" s="46" t="n"/>
      <c r="G4" s="46" t="n"/>
      <c r="H4" s="47" t="n"/>
    </row>
    <row r="5" ht="18" customHeight="1">
      <c r="A5" s="1" t="inlineStr">
        <is>
          <t>Headcount</t>
        </is>
      </c>
      <c r="B5" s="1" t="inlineStr">
        <is>
          <t>Billable Hours</t>
        </is>
      </c>
      <c r="C5" s="1" t="inlineStr">
        <is>
          <t>OT Hours</t>
        </is>
      </c>
      <c r="D5" s="1" t="inlineStr">
        <is>
          <t>Utilization %</t>
        </is>
      </c>
      <c r="E5" s="1" t="inlineStr">
        <is>
          <t>Avg Pay Rate</t>
        </is>
      </c>
      <c r="F5" s="1" t="inlineStr">
        <is>
          <t>Est. Labor Cost</t>
        </is>
      </c>
    </row>
    <row r="6" ht="27.95" customHeight="1">
      <c r="A6" s="2">
        <f>LOOKUP(2,1/(A10:A2000&lt;&gt;""),B10:B2000)</f>
        <v/>
      </c>
      <c r="B6" s="3">
        <f>LOOKUP(2,1/(A10:A2000&lt;&gt;""),C10:C2000)</f>
        <v/>
      </c>
      <c r="C6" s="4">
        <f>LOOKUP(2,1/(A10:A2000&lt;&gt;""),D10:D2000)</f>
        <v/>
      </c>
      <c r="D6" s="5">
        <f>LOOKUP(2,1/(A10:A2000&lt;&gt;""),E10:E2000)</f>
        <v/>
      </c>
      <c r="E6" s="6">
        <f>AVERAGEIF(Roster!D4:D500,"Active",Roster!E4:E500)</f>
        <v/>
      </c>
      <c r="F6" s="7">
        <f>E6*B6</f>
        <v/>
      </c>
    </row>
    <row r="7" ht="9.949999999999999" customHeight="1"/>
    <row r="8" ht="21.95" customHeight="1">
      <c r="A8" s="45" t="inlineStr">
        <is>
          <t>WORKFORCE TREND — FULL HISTORY</t>
        </is>
      </c>
      <c r="B8" s="46" t="n"/>
      <c r="C8" s="46" t="n"/>
      <c r="D8" s="46" t="n"/>
      <c r="E8" s="46" t="n"/>
      <c r="F8" s="46" t="n"/>
      <c r="G8" s="46" t="n"/>
      <c r="H8" s="47" t="n"/>
    </row>
    <row r="9" ht="33.95" customHeight="1">
      <c r="A9" s="11" t="inlineStr">
        <is>
          <t>Week</t>
        </is>
      </c>
      <c r="B9" s="11" t="inlineStr">
        <is>
          <t>Headcount</t>
        </is>
      </c>
      <c r="C9" s="11" t="inlineStr">
        <is>
          <t>Billable Hrs</t>
        </is>
      </c>
      <c r="D9" s="11" t="inlineStr">
        <is>
          <t>OT Hrs</t>
        </is>
      </c>
      <c r="E9" s="11" t="inlineStr">
        <is>
          <t>Utilization %</t>
        </is>
      </c>
      <c r="F9" s="11" t="inlineStr">
        <is>
          <t>Turnover</t>
        </is>
      </c>
      <c r="G9" s="11" t="inlineStr">
        <is>
          <t>Training Hrs</t>
        </is>
      </c>
      <c r="H9" s="11" t="inlineStr">
        <is>
          <t>Notes</t>
        </is>
      </c>
      <c r="J9" t="inlineStr">
        <is>
          <t>__week_start</t>
        </is>
      </c>
    </row>
    <row r="10">
      <c r="A10" s="12">
        <f>IF($J10="","",YEAR($J10-WEEKDAY($J10,2)+4)&amp;"-W"&amp;TEXT(WEEKNUM($J10,21),"00"))</f>
        <v/>
      </c>
      <c r="B10" s="39">
        <f>IF($J10="","",COUNTIFS(Roster!$D$4:$D$500,"Active",Roster!$C$4:$C$500,"&lt;="&amp;$J10))</f>
        <v/>
      </c>
      <c r="C10" s="13">
        <f>IF($J10="","",SUMIFS('Hours Log'!$C:$C,'Hours Log'!$A:$A,"&gt;="&amp;$J10,'Hours Log'!$A:$A,"&lt;"&amp;$J10+7)+SUMIFS('Hours Log'!$D:$D,'Hours Log'!$A:$A,"&gt;="&amp;$J10,'Hours Log'!$A:$A,"&lt;"&amp;$J10+7))</f>
        <v/>
      </c>
      <c r="D10" s="13">
        <f>IF($J10="","",SUMIFS('Hours Log'!$D:$D,'Hours Log'!$A:$A,"&gt;="&amp;$J10,'Hours Log'!$A:$A,"&lt;"&amp;$J10+7))</f>
        <v/>
      </c>
      <c r="E10" s="14">
        <f>IF($J10="","",IFERROR(C10/(B10*40),0))</f>
        <v/>
      </c>
      <c r="F10" s="13">
        <f>IF($J10="","",0)</f>
        <v/>
      </c>
      <c r="G10" s="13">
        <f>IF($J10="","",SUMIFS('Hours Log'!$E:$E,'Hours Log'!$A:$A,"&gt;="&amp;$J10,'Hours Log'!$A:$A,"&lt;"&amp;$J10+7))</f>
        <v/>
      </c>
      <c r="H10" s="12" t="n"/>
      <c r="J10">
        <f>IF(COUNT('Hours Log'!$A$4:$A$5000)=0,"",IF(MIN('Hours Log'!$A$4:$A$5000)+7*(ROW()-10)&gt;MAX('Hours Log'!$A$4:$A$5000),"",MIN('Hours Log'!$A$4:$A$5000)+7*(ROW()-10)))</f>
        <v/>
      </c>
    </row>
    <row r="11">
      <c r="A11" s="12">
        <f>IF($J11="","",YEAR($J11-WEEKDAY($J11,2)+4)&amp;"-W"&amp;TEXT(WEEKNUM($J11,21),"00"))</f>
        <v/>
      </c>
      <c r="B11" s="39">
        <f>IF($J11="","",COUNTIFS(Roster!$D$4:$D$500,"Active",Roster!$C$4:$C$500,"&lt;="&amp;$J11))</f>
        <v/>
      </c>
      <c r="C11" s="13">
        <f>IF($J11="","",SUMIFS('Hours Log'!$C:$C,'Hours Log'!$A:$A,"&gt;="&amp;$J11,'Hours Log'!$A:$A,"&lt;"&amp;$J11+7)+SUMIFS('Hours Log'!$D:$D,'Hours Log'!$A:$A,"&gt;="&amp;$J11,'Hours Log'!$A:$A,"&lt;"&amp;$J11+7))</f>
        <v/>
      </c>
      <c r="D11" s="13">
        <f>IF($J11="","",SUMIFS('Hours Log'!$D:$D,'Hours Log'!$A:$A,"&gt;="&amp;$J11,'Hours Log'!$A:$A,"&lt;"&amp;$J11+7))</f>
        <v/>
      </c>
      <c r="E11" s="14">
        <f>IF($J11="","",IFERROR(C11/(B11*40),0))</f>
        <v/>
      </c>
      <c r="F11" s="13">
        <f>IF($J11="","",0)</f>
        <v/>
      </c>
      <c r="G11" s="13">
        <f>IF($J11="","",SUMIFS('Hours Log'!$E:$E,'Hours Log'!$A:$A,"&gt;="&amp;$J11,'Hours Log'!$A:$A,"&lt;"&amp;$J11+7))</f>
        <v/>
      </c>
      <c r="H11" s="12" t="n"/>
      <c r="J11">
        <f>IF(COUNT('Hours Log'!$A$4:$A$5000)=0,"",IF(MIN('Hours Log'!$A$4:$A$5000)+7*(ROW()-10)&gt;MAX('Hours Log'!$A$4:$A$5000),"",MIN('Hours Log'!$A$4:$A$5000)+7*(ROW()-10)))</f>
        <v/>
      </c>
    </row>
    <row r="12">
      <c r="A12" s="12">
        <f>IF($J12="","",YEAR($J12-WEEKDAY($J12,2)+4)&amp;"-W"&amp;TEXT(WEEKNUM($J12,21),"00"))</f>
        <v/>
      </c>
      <c r="B12" s="39">
        <f>IF($J12="","",COUNTIFS(Roster!$D$4:$D$500,"Active",Roster!$C$4:$C$500,"&lt;="&amp;$J12))</f>
        <v/>
      </c>
      <c r="C12" s="13">
        <f>IF($J12="","",SUMIFS('Hours Log'!$C:$C,'Hours Log'!$A:$A,"&gt;="&amp;$J12,'Hours Log'!$A:$A,"&lt;"&amp;$J12+7)+SUMIFS('Hours Log'!$D:$D,'Hours Log'!$A:$A,"&gt;="&amp;$J12,'Hours Log'!$A:$A,"&lt;"&amp;$J12+7))</f>
        <v/>
      </c>
      <c r="D12" s="13">
        <f>IF($J12="","",SUMIFS('Hours Log'!$D:$D,'Hours Log'!$A:$A,"&gt;="&amp;$J12,'Hours Log'!$A:$A,"&lt;"&amp;$J12+7))</f>
        <v/>
      </c>
      <c r="E12" s="14">
        <f>IF($J12="","",IFERROR(C12/(B12*40),0))</f>
        <v/>
      </c>
      <c r="F12" s="13">
        <f>IF($J12="","",0)</f>
        <v/>
      </c>
      <c r="G12" s="13">
        <f>IF($J12="","",SUMIFS('Hours Log'!$E:$E,'Hours Log'!$A:$A,"&gt;="&amp;$J12,'Hours Log'!$A:$A,"&lt;"&amp;$J12+7))</f>
        <v/>
      </c>
      <c r="H12" s="12" t="inlineStr">
        <is>
          <t>Holiday team training</t>
        </is>
      </c>
      <c r="J12">
        <f>IF(COUNT('Hours Log'!$A$4:$A$5000)=0,"",IF(MIN('Hours Log'!$A$4:$A$5000)+7*(ROW()-10)&gt;MAX('Hours Log'!$A$4:$A$5000),"",MIN('Hours Log'!$A$4:$A$5000)+7*(ROW()-10)))</f>
        <v/>
      </c>
    </row>
    <row r="13">
      <c r="A13" s="12">
        <f>IF($J13="","",YEAR($J13-WEEKDAY($J13,2)+4)&amp;"-W"&amp;TEXT(WEEKNUM($J13,21),"00"))</f>
        <v/>
      </c>
      <c r="B13" s="39">
        <f>IF($J13="","",COUNTIFS(Roster!$D$4:$D$500,"Active",Roster!$C$4:$C$500,"&lt;="&amp;$J13))</f>
        <v/>
      </c>
      <c r="C13" s="13">
        <f>IF($J13="","",SUMIFS('Hours Log'!$C:$C,'Hours Log'!$A:$A,"&gt;="&amp;$J13,'Hours Log'!$A:$A,"&lt;"&amp;$J13+7)+SUMIFS('Hours Log'!$D:$D,'Hours Log'!$A:$A,"&gt;="&amp;$J13,'Hours Log'!$A:$A,"&lt;"&amp;$J13+7))</f>
        <v/>
      </c>
      <c r="D13" s="13">
        <f>IF($J13="","",SUMIFS('Hours Log'!$D:$D,'Hours Log'!$A:$A,"&gt;="&amp;$J13,'Hours Log'!$A:$A,"&lt;"&amp;$J13+7))</f>
        <v/>
      </c>
      <c r="E13" s="14">
        <f>IF($J13="","",IFERROR(C13/(B13*40),0))</f>
        <v/>
      </c>
      <c r="F13" s="13">
        <f>IF($J13="","",0)</f>
        <v/>
      </c>
      <c r="G13" s="13">
        <f>IF($J13="","",SUMIFS('Hours Log'!$E:$E,'Hours Log'!$A:$A,"&gt;="&amp;$J13,'Hours Log'!$A:$A,"&lt;"&amp;$J13+7))</f>
        <v/>
      </c>
      <c r="H13" s="12" t="inlineStr">
        <is>
          <t>Short week</t>
        </is>
      </c>
      <c r="J13">
        <f>IF(COUNT('Hours Log'!$A$4:$A$5000)=0,"",IF(MIN('Hours Log'!$A$4:$A$5000)+7*(ROW()-10)&gt;MAX('Hours Log'!$A$4:$A$5000),"",MIN('Hours Log'!$A$4:$A$5000)+7*(ROW()-10)))</f>
        <v/>
      </c>
    </row>
    <row r="14">
      <c r="A14" s="12">
        <f>IF($J14="","",YEAR($J14-WEEKDAY($J14,2)+4)&amp;"-W"&amp;TEXT(WEEKNUM($J14,21),"00"))</f>
        <v/>
      </c>
      <c r="B14" s="39">
        <f>IF($J14="","",COUNTIFS(Roster!$D$4:$D$500,"Active",Roster!$C$4:$C$500,"&lt;="&amp;$J14))</f>
        <v/>
      </c>
      <c r="C14" s="13">
        <f>IF($J14="","",SUMIFS('Hours Log'!$C:$C,'Hours Log'!$A:$A,"&gt;="&amp;$J14,'Hours Log'!$A:$A,"&lt;"&amp;$J14+7)+SUMIFS('Hours Log'!$D:$D,'Hours Log'!$A:$A,"&gt;="&amp;$J14,'Hours Log'!$A:$A,"&lt;"&amp;$J14+7))</f>
        <v/>
      </c>
      <c r="D14" s="13">
        <f>IF($J14="","",SUMIFS('Hours Log'!$D:$D,'Hours Log'!$A:$A,"&gt;="&amp;$J14,'Hours Log'!$A:$A,"&lt;"&amp;$J14+7))</f>
        <v/>
      </c>
      <c r="E14" s="14">
        <f>IF($J14="","",IFERROR(C14/(B14*40),0))</f>
        <v/>
      </c>
      <c r="F14" s="13">
        <f>IF($J14="","",0)</f>
        <v/>
      </c>
      <c r="G14" s="13">
        <f>IF($J14="","",SUMIFS('Hours Log'!$E:$E,'Hours Log'!$A:$A,"&gt;="&amp;$J14,'Hours Log'!$A:$A,"&lt;"&amp;$J14+7))</f>
        <v/>
      </c>
      <c r="H14" s="12" t="inlineStr">
        <is>
          <t>Christmas week</t>
        </is>
      </c>
      <c r="J14">
        <f>IF(COUNT('Hours Log'!$A$4:$A$5000)=0,"",IF(MIN('Hours Log'!$A$4:$A$5000)+7*(ROW()-10)&gt;MAX('Hours Log'!$A$4:$A$5000),"",MIN('Hours Log'!$A$4:$A$5000)+7*(ROW()-10)))</f>
        <v/>
      </c>
    </row>
    <row r="15">
      <c r="A15" s="12">
        <f>IF($J15="","",YEAR($J15-WEEKDAY($J15,2)+4)&amp;"-W"&amp;TEXT(WEEKNUM($J15,21),"00"))</f>
        <v/>
      </c>
      <c r="B15" s="39">
        <f>IF($J15="","",COUNTIFS(Roster!$D$4:$D$500,"Active",Roster!$C$4:$C$500,"&lt;="&amp;$J15))</f>
        <v/>
      </c>
      <c r="C15" s="13">
        <f>IF($J15="","",SUMIFS('Hours Log'!$C:$C,'Hours Log'!$A:$A,"&gt;="&amp;$J15,'Hours Log'!$A:$A,"&lt;"&amp;$J15+7)+SUMIFS('Hours Log'!$D:$D,'Hours Log'!$A:$A,"&gt;="&amp;$J15,'Hours Log'!$A:$A,"&lt;"&amp;$J15+7))</f>
        <v/>
      </c>
      <c r="D15" s="13">
        <f>IF($J15="","",SUMIFS('Hours Log'!$D:$D,'Hours Log'!$A:$A,"&gt;="&amp;$J15,'Hours Log'!$A:$A,"&lt;"&amp;$J15+7))</f>
        <v/>
      </c>
      <c r="E15" s="14">
        <f>IF($J15="","",IFERROR(C15/(B15*40),0))</f>
        <v/>
      </c>
      <c r="F15" s="13">
        <f>IF($J15="","",0)</f>
        <v/>
      </c>
      <c r="G15" s="13">
        <f>IF($J15="","",SUMIFS('Hours Log'!$E:$E,'Hours Log'!$A:$A,"&gt;="&amp;$J15,'Hours Log'!$A:$A,"&lt;"&amp;$J15+7))</f>
        <v/>
      </c>
      <c r="H15" s="12" t="inlineStr">
        <is>
          <t>New Years week</t>
        </is>
      </c>
      <c r="J15">
        <f>IF(COUNT('Hours Log'!$A$4:$A$5000)=0,"",IF(MIN('Hours Log'!$A$4:$A$5000)+7*(ROW()-10)&gt;MAX('Hours Log'!$A$4:$A$5000),"",MIN('Hours Log'!$A$4:$A$5000)+7*(ROW()-10)))</f>
        <v/>
      </c>
    </row>
    <row r="16">
      <c r="A16" s="12">
        <f>IF($J16="","",YEAR($J16-WEEKDAY($J16,2)+4)&amp;"-W"&amp;TEXT(WEEKNUM($J16,21),"00"))</f>
        <v/>
      </c>
      <c r="B16" s="39">
        <f>IF($J16="","",COUNTIFS(Roster!$D$4:$D$500,"Active",Roster!$C$4:$C$500,"&lt;="&amp;$J16))</f>
        <v/>
      </c>
      <c r="C16" s="13">
        <f>IF($J16="","",SUMIFS('Hours Log'!$C:$C,'Hours Log'!$A:$A,"&gt;="&amp;$J16,'Hours Log'!$A:$A,"&lt;"&amp;$J16+7)+SUMIFS('Hours Log'!$D:$D,'Hours Log'!$A:$A,"&gt;="&amp;$J16,'Hours Log'!$A:$A,"&lt;"&amp;$J16+7))</f>
        <v/>
      </c>
      <c r="D16" s="13">
        <f>IF($J16="","",SUMIFS('Hours Log'!$D:$D,'Hours Log'!$A:$A,"&gt;="&amp;$J16,'Hours Log'!$A:$A,"&lt;"&amp;$J16+7))</f>
        <v/>
      </c>
      <c r="E16" s="14">
        <f>IF($J16="","",IFERROR(C16/(B16*40),0))</f>
        <v/>
      </c>
      <c r="F16" s="13">
        <f>IF($J16="","",0)</f>
        <v/>
      </c>
      <c r="G16" s="13">
        <f>IF($J16="","",SUMIFS('Hours Log'!$E:$E,'Hours Log'!$A:$A,"&gt;="&amp;$J16,'Hours Log'!$A:$A,"&lt;"&amp;$J16+7))</f>
        <v/>
      </c>
      <c r="H16" s="12" t="inlineStr">
        <is>
          <t>Full staff return</t>
        </is>
      </c>
      <c r="J16">
        <f>IF(COUNT('Hours Log'!$A$4:$A$5000)=0,"",IF(MIN('Hours Log'!$A$4:$A$5000)+7*(ROW()-10)&gt;MAX('Hours Log'!$A$4:$A$5000),"",MIN('Hours Log'!$A$4:$A$5000)+7*(ROW()-10)))</f>
        <v/>
      </c>
    </row>
    <row r="17">
      <c r="A17" s="12">
        <f>IF($J17="","",YEAR($J17-WEEKDAY($J17,2)+4)&amp;"-W"&amp;TEXT(WEEKNUM($J17,21),"00"))</f>
        <v/>
      </c>
      <c r="B17" s="39">
        <f>IF($J17="","",COUNTIFS(Roster!$D$4:$D$500,"Active",Roster!$C$4:$C$500,"&lt;="&amp;$J17))</f>
        <v/>
      </c>
      <c r="C17" s="13">
        <f>IF($J17="","",SUMIFS('Hours Log'!$C:$C,'Hours Log'!$A:$A,"&gt;="&amp;$J17,'Hours Log'!$A:$A,"&lt;"&amp;$J17+7)+SUMIFS('Hours Log'!$D:$D,'Hours Log'!$A:$A,"&gt;="&amp;$J17,'Hours Log'!$A:$A,"&lt;"&amp;$J17+7))</f>
        <v/>
      </c>
      <c r="D17" s="13">
        <f>IF($J17="","",SUMIFS('Hours Log'!$D:$D,'Hours Log'!$A:$A,"&gt;="&amp;$J17,'Hours Log'!$A:$A,"&lt;"&amp;$J17+7))</f>
        <v/>
      </c>
      <c r="E17" s="14">
        <f>IF($J17="","",IFERROR(C17/(B17*40),0))</f>
        <v/>
      </c>
      <c r="F17" s="13">
        <f>IF($J17="","",0)</f>
        <v/>
      </c>
      <c r="G17" s="13">
        <f>IF($J17="","",SUMIFS('Hours Log'!$E:$E,'Hours Log'!$A:$A,"&gt;="&amp;$J17,'Hours Log'!$A:$A,"&lt;"&amp;$J17+7))</f>
        <v/>
      </c>
      <c r="H17" s="12" t="n"/>
      <c r="J17">
        <f>IF(COUNT('Hours Log'!$A$4:$A$5000)=0,"",IF(MIN('Hours Log'!$A$4:$A$5000)+7*(ROW()-10)&gt;MAX('Hours Log'!$A$4:$A$5000),"",MIN('Hours Log'!$A$4:$A$5000)+7*(ROW()-10)))</f>
        <v/>
      </c>
    </row>
    <row r="18">
      <c r="A18" s="15">
        <f>IF($J18="","",YEAR($J18-WEEKDAY($J18,2)+4)&amp;"-W"&amp;TEXT(WEEKNUM($J18,21),"00"))</f>
        <v/>
      </c>
      <c r="B18" s="40">
        <f>IF($J18="","",COUNTIFS(Roster!$D$4:$D$500,"Active",Roster!$C$4:$C$500,"&lt;="&amp;$J18))</f>
        <v/>
      </c>
      <c r="C18" s="16">
        <f>IF($J18="","",SUMIFS('Hours Log'!$C:$C,'Hours Log'!$A:$A,"&gt;="&amp;$J18,'Hours Log'!$A:$A,"&lt;"&amp;$J18+7)+SUMIFS('Hours Log'!$D:$D,'Hours Log'!$A:$A,"&gt;="&amp;$J18,'Hours Log'!$A:$A,"&lt;"&amp;$J18+7))</f>
        <v/>
      </c>
      <c r="D18" s="16">
        <f>IF($J18="","",SUMIFS('Hours Log'!$D:$D,'Hours Log'!$A:$A,"&gt;="&amp;$J18,'Hours Log'!$A:$A,"&lt;"&amp;$J18+7))</f>
        <v/>
      </c>
      <c r="E18" s="17">
        <f>IF($J18="","",IFERROR(C18/(B18*40),0))</f>
        <v/>
      </c>
      <c r="F18" s="16">
        <f>IF($J18="","",0)</f>
        <v/>
      </c>
      <c r="G18" s="16">
        <f>IF($J18="","",SUMIFS('Hours Log'!$E:$E,'Hours Log'!$A:$A,"&gt;="&amp;$J18,'Hours Log'!$A:$A,"&lt;"&amp;$J18+7))</f>
        <v/>
      </c>
      <c r="H18" s="15" t="n"/>
      <c r="J18">
        <f>IF(COUNT('Hours Log'!$A$4:$A$5000)=0,"",IF(MIN('Hours Log'!$A$4:$A$5000)+7*(ROW()-10)&gt;MAX('Hours Log'!$A$4:$A$5000),"",MIN('Hours Log'!$A$4:$A$5000)+7*(ROW()-10)))</f>
        <v/>
      </c>
    </row>
    <row r="19">
      <c r="A19" s="15">
        <f>IF($J19="","",YEAR($J19-WEEKDAY($J19,2)+4)&amp;"-W"&amp;TEXT(WEEKNUM($J19,21),"00"))</f>
        <v/>
      </c>
      <c r="B19" s="40">
        <f>IF($J19="","",COUNTIFS(Roster!$D$4:$D$500,"Active",Roster!$C$4:$C$500,"&lt;="&amp;$J19))</f>
        <v/>
      </c>
      <c r="C19" s="16">
        <f>IF($J19="","",SUMIFS('Hours Log'!$C:$C,'Hours Log'!$A:$A,"&gt;="&amp;$J19,'Hours Log'!$A:$A,"&lt;"&amp;$J19+7)+SUMIFS('Hours Log'!$D:$D,'Hours Log'!$A:$A,"&gt;="&amp;$J19,'Hours Log'!$A:$A,"&lt;"&amp;$J19+7))</f>
        <v/>
      </c>
      <c r="D19" s="16">
        <f>IF($J19="","",SUMIFS('Hours Log'!$D:$D,'Hours Log'!$A:$A,"&gt;="&amp;$J19,'Hours Log'!$A:$A,"&lt;"&amp;$J19+7))</f>
        <v/>
      </c>
      <c r="E19" s="17">
        <f>IF($J19="","",IFERROR(C19/(B19*40),0))</f>
        <v/>
      </c>
      <c r="F19" s="16">
        <f>IF($J19="","",0)</f>
        <v/>
      </c>
      <c r="G19" s="16">
        <f>IF($J19="","",SUMIFS('Hours Log'!$E:$E,'Hours Log'!$A:$A,"&gt;="&amp;$J19,'Hours Log'!$A:$A,"&lt;"&amp;$J19+7))</f>
        <v/>
      </c>
      <c r="H19" s="15" t="n"/>
      <c r="J19">
        <f>IF(COUNT('Hours Log'!$A$4:$A$5000)=0,"",IF(MIN('Hours Log'!$A$4:$A$5000)+7*(ROW()-10)&gt;MAX('Hours Log'!$A$4:$A$5000),"",MIN('Hours Log'!$A$4:$A$5000)+7*(ROW()-10)))</f>
        <v/>
      </c>
    </row>
    <row r="20">
      <c r="A20" s="15">
        <f>IF($J20="","",YEAR($J20-WEEKDAY($J20,2)+4)&amp;"-W"&amp;TEXT(WEEKNUM($J20,21),"00"))</f>
        <v/>
      </c>
      <c r="B20" s="40">
        <f>IF($J20="","",COUNTIFS(Roster!$D$4:$D$500,"Active",Roster!$C$4:$C$500,"&lt;="&amp;$J20))</f>
        <v/>
      </c>
      <c r="C20" s="16">
        <f>IF($J20="","",SUMIFS('Hours Log'!$C:$C,'Hours Log'!$A:$A,"&gt;="&amp;$J20,'Hours Log'!$A:$A,"&lt;"&amp;$J20+7)+SUMIFS('Hours Log'!$D:$D,'Hours Log'!$A:$A,"&gt;="&amp;$J20,'Hours Log'!$A:$A,"&lt;"&amp;$J20+7))</f>
        <v/>
      </c>
      <c r="D20" s="16">
        <f>IF($J20="","",SUMIFS('Hours Log'!$D:$D,'Hours Log'!$A:$A,"&gt;="&amp;$J20,'Hours Log'!$A:$A,"&lt;"&amp;$J20+7))</f>
        <v/>
      </c>
      <c r="E20" s="17">
        <f>IF($J20="","",IFERROR(C20/(B20*40),0))</f>
        <v/>
      </c>
      <c r="F20" s="16">
        <f>IF($J20="","",0)</f>
        <v/>
      </c>
      <c r="G20" s="16">
        <f>IF($J20="","",SUMIFS('Hours Log'!$E:$E,'Hours Log'!$A:$A,"&gt;="&amp;$J20,'Hours Log'!$A:$A,"&lt;"&amp;$J20+7))</f>
        <v/>
      </c>
      <c r="H20" s="15" t="n"/>
      <c r="J20">
        <f>IF(COUNT('Hours Log'!$A$4:$A$5000)=0,"",IF(MIN('Hours Log'!$A$4:$A$5000)+7*(ROW()-10)&gt;MAX('Hours Log'!$A$4:$A$5000),"",MIN('Hours Log'!$A$4:$A$5000)+7*(ROW()-10)))</f>
        <v/>
      </c>
    </row>
    <row r="21">
      <c r="A21" s="15">
        <f>IF($J21="","",YEAR($J21-WEEKDAY($J21,2)+4)&amp;"-W"&amp;TEXT(WEEKNUM($J21,21),"00"))</f>
        <v/>
      </c>
      <c r="B21" s="40">
        <f>IF($J21="","",COUNTIFS(Roster!$D$4:$D$500,"Active",Roster!$C$4:$C$500,"&lt;="&amp;$J21))</f>
        <v/>
      </c>
      <c r="C21" s="16">
        <f>IF($J21="","",SUMIFS('Hours Log'!$C:$C,'Hours Log'!$A:$A,"&gt;="&amp;$J21,'Hours Log'!$A:$A,"&lt;"&amp;$J21+7)+SUMIFS('Hours Log'!$D:$D,'Hours Log'!$A:$A,"&gt;="&amp;$J21,'Hours Log'!$A:$A,"&lt;"&amp;$J21+7))</f>
        <v/>
      </c>
      <c r="D21" s="16">
        <f>IF($J21="","",SUMIFS('Hours Log'!$D:$D,'Hours Log'!$A:$A,"&gt;="&amp;$J21,'Hours Log'!$A:$A,"&lt;"&amp;$J21+7))</f>
        <v/>
      </c>
      <c r="E21" s="17">
        <f>IF($J21="","",IFERROR(C21/(B21*40),0))</f>
        <v/>
      </c>
      <c r="F21" s="16">
        <f>IF($J21="","",0)</f>
        <v/>
      </c>
      <c r="G21" s="16">
        <f>IF($J21="","",SUMIFS('Hours Log'!$E:$E,'Hours Log'!$A:$A,"&gt;="&amp;$J21,'Hours Log'!$A:$A,"&lt;"&amp;$J21+7))</f>
        <v/>
      </c>
      <c r="H21" s="15" t="n"/>
      <c r="J21">
        <f>IF(COUNT('Hours Log'!$A$4:$A$5000)=0,"",IF(MIN('Hours Log'!$A$4:$A$5000)+7*(ROW()-10)&gt;MAX('Hours Log'!$A$4:$A$5000),"",MIN('Hours Log'!$A$4:$A$5000)+7*(ROW()-10)))</f>
        <v/>
      </c>
    </row>
    <row r="22">
      <c r="A22" s="15">
        <f>IF($J22="","",YEAR($J22-WEEKDAY($J22,2)+4)&amp;"-W"&amp;TEXT(WEEKNUM($J22,21),"00"))</f>
        <v/>
      </c>
      <c r="B22" s="40">
        <f>IF($J22="","",COUNTIFS(Roster!$D$4:$D$500,"Active",Roster!$C$4:$C$500,"&lt;="&amp;$J22))</f>
        <v/>
      </c>
      <c r="C22" s="16">
        <f>IF($J22="","",SUMIFS('Hours Log'!$C:$C,'Hours Log'!$A:$A,"&gt;="&amp;$J22,'Hours Log'!$A:$A,"&lt;"&amp;$J22+7)+SUMIFS('Hours Log'!$D:$D,'Hours Log'!$A:$A,"&gt;="&amp;$J22,'Hours Log'!$A:$A,"&lt;"&amp;$J22+7))</f>
        <v/>
      </c>
      <c r="D22" s="16">
        <f>IF($J22="","",SUMIFS('Hours Log'!$D:$D,'Hours Log'!$A:$A,"&gt;="&amp;$J22,'Hours Log'!$A:$A,"&lt;"&amp;$J22+7))</f>
        <v/>
      </c>
      <c r="E22" s="17">
        <f>IF($J22="","",IFERROR(C22/(B22*40),0))</f>
        <v/>
      </c>
      <c r="F22" s="16">
        <f>IF($J22="","",0)</f>
        <v/>
      </c>
      <c r="G22" s="16">
        <f>IF($J22="","",SUMIFS('Hours Log'!$E:$E,'Hours Log'!$A:$A,"&gt;="&amp;$J22,'Hours Log'!$A:$A,"&lt;"&amp;$J22+7))</f>
        <v/>
      </c>
      <c r="H22" s="15" t="n"/>
      <c r="J22">
        <f>IF(COUNT('Hours Log'!$A$4:$A$5000)=0,"",IF(MIN('Hours Log'!$A$4:$A$5000)+7*(ROW()-10)&gt;MAX('Hours Log'!$A$4:$A$5000),"",MIN('Hours Log'!$A$4:$A$5000)+7*(ROW()-10)))</f>
        <v/>
      </c>
    </row>
    <row r="23">
      <c r="A23" s="15">
        <f>IF($J23="","",YEAR($J23-WEEKDAY($J23,2)+4)&amp;"-W"&amp;TEXT(WEEKNUM($J23,21),"00"))</f>
        <v/>
      </c>
      <c r="B23" s="40">
        <f>IF($J23="","",COUNTIFS(Roster!$D$4:$D$500,"Active",Roster!$C$4:$C$500,"&lt;="&amp;$J23))</f>
        <v/>
      </c>
      <c r="C23" s="16">
        <f>IF($J23="","",SUMIFS('Hours Log'!$C:$C,'Hours Log'!$A:$A,"&gt;="&amp;$J23,'Hours Log'!$A:$A,"&lt;"&amp;$J23+7)+SUMIFS('Hours Log'!$D:$D,'Hours Log'!$A:$A,"&gt;="&amp;$J23,'Hours Log'!$A:$A,"&lt;"&amp;$J23+7))</f>
        <v/>
      </c>
      <c r="D23" s="16">
        <f>IF($J23="","",SUMIFS('Hours Log'!$D:$D,'Hours Log'!$A:$A,"&gt;="&amp;$J23,'Hours Log'!$A:$A,"&lt;"&amp;$J23+7))</f>
        <v/>
      </c>
      <c r="E23" s="17">
        <f>IF($J23="","",IFERROR(C23/(B23*40),0))</f>
        <v/>
      </c>
      <c r="F23" s="16">
        <f>IF($J23="","",0)</f>
        <v/>
      </c>
      <c r="G23" s="16">
        <f>IF($J23="","",SUMIFS('Hours Log'!$E:$E,'Hours Log'!$A:$A,"&gt;="&amp;$J23,'Hours Log'!$A:$A,"&lt;"&amp;$J23+7))</f>
        <v/>
      </c>
      <c r="H23" s="15" t="n"/>
      <c r="J23">
        <f>IF(COUNT('Hours Log'!$A$4:$A$5000)=0,"",IF(MIN('Hours Log'!$A$4:$A$5000)+7*(ROW()-10)&gt;MAX('Hours Log'!$A$4:$A$5000),"",MIN('Hours Log'!$A$4:$A$5000)+7*(ROW()-10)))</f>
        <v/>
      </c>
    </row>
    <row r="24">
      <c r="A24" s="15">
        <f>IF($J24="","",YEAR($J24-WEEKDAY($J24,2)+4)&amp;"-W"&amp;TEXT(WEEKNUM($J24,21),"00"))</f>
        <v/>
      </c>
      <c r="B24" s="40">
        <f>IF($J24="","",COUNTIFS(Roster!$D$4:$D$500,"Active",Roster!$C$4:$C$500,"&lt;="&amp;$J24))</f>
        <v/>
      </c>
      <c r="C24" s="16">
        <f>IF($J24="","",SUMIFS('Hours Log'!$C:$C,'Hours Log'!$A:$A,"&gt;="&amp;$J24,'Hours Log'!$A:$A,"&lt;"&amp;$J24+7)+SUMIFS('Hours Log'!$D:$D,'Hours Log'!$A:$A,"&gt;="&amp;$J24,'Hours Log'!$A:$A,"&lt;"&amp;$J24+7))</f>
        <v/>
      </c>
      <c r="D24" s="16">
        <f>IF($J24="","",SUMIFS('Hours Log'!$D:$D,'Hours Log'!$A:$A,"&gt;="&amp;$J24,'Hours Log'!$A:$A,"&lt;"&amp;$J24+7))</f>
        <v/>
      </c>
      <c r="E24" s="17">
        <f>IF($J24="","",IFERROR(C24/(B24*40),0))</f>
        <v/>
      </c>
      <c r="F24" s="16">
        <f>IF($J24="","",0)</f>
        <v/>
      </c>
      <c r="G24" s="16">
        <f>IF($J24="","",SUMIFS('Hours Log'!$E:$E,'Hours Log'!$A:$A,"&gt;="&amp;$J24,'Hours Log'!$A:$A,"&lt;"&amp;$J24+7))</f>
        <v/>
      </c>
      <c r="H24" s="15" t="n"/>
      <c r="J24">
        <f>IF(COUNT('Hours Log'!$A$4:$A$5000)=0,"",IF(MIN('Hours Log'!$A$4:$A$5000)+7*(ROW()-10)&gt;MAX('Hours Log'!$A$4:$A$5000),"",MIN('Hours Log'!$A$4:$A$5000)+7*(ROW()-10)))</f>
        <v/>
      </c>
    </row>
    <row r="25">
      <c r="A25" s="15">
        <f>IF($J25="","",YEAR($J25-WEEKDAY($J25,2)+4)&amp;"-W"&amp;TEXT(WEEKNUM($J25,21),"00"))</f>
        <v/>
      </c>
      <c r="B25" s="40">
        <f>IF($J25="","",COUNTIFS(Roster!$D$4:$D$500,"Active",Roster!$C$4:$C$500,"&lt;="&amp;$J25))</f>
        <v/>
      </c>
      <c r="C25" s="16">
        <f>IF($J25="","",SUMIFS('Hours Log'!$C:$C,'Hours Log'!$A:$A,"&gt;="&amp;$J25,'Hours Log'!$A:$A,"&lt;"&amp;$J25+7)+SUMIFS('Hours Log'!$D:$D,'Hours Log'!$A:$A,"&gt;="&amp;$J25,'Hours Log'!$A:$A,"&lt;"&amp;$J25+7))</f>
        <v/>
      </c>
      <c r="D25" s="16">
        <f>IF($J25="","",SUMIFS('Hours Log'!$D:$D,'Hours Log'!$A:$A,"&gt;="&amp;$J25,'Hours Log'!$A:$A,"&lt;"&amp;$J25+7))</f>
        <v/>
      </c>
      <c r="E25" s="17">
        <f>IF($J25="","",IFERROR(C25/(B25*40),0))</f>
        <v/>
      </c>
      <c r="F25" s="16">
        <f>IF($J25="","",0)</f>
        <v/>
      </c>
      <c r="G25" s="16">
        <f>IF($J25="","",SUMIFS('Hours Log'!$E:$E,'Hours Log'!$A:$A,"&gt;="&amp;$J25,'Hours Log'!$A:$A,"&lt;"&amp;$J25+7))</f>
        <v/>
      </c>
      <c r="H25" s="15" t="n"/>
      <c r="J25">
        <f>IF(COUNT('Hours Log'!$A$4:$A$5000)=0,"",IF(MIN('Hours Log'!$A$4:$A$5000)+7*(ROW()-10)&gt;MAX('Hours Log'!$A$4:$A$5000),"",MIN('Hours Log'!$A$4:$A$5000)+7*(ROW()-10)))</f>
        <v/>
      </c>
    </row>
    <row r="26">
      <c r="A26" s="15">
        <f>IF($J26="","",YEAR($J26-WEEKDAY($J26,2)+4)&amp;"-W"&amp;TEXT(WEEKNUM($J26,21),"00"))</f>
        <v/>
      </c>
      <c r="B26" s="40">
        <f>IF($J26="","",COUNTIFS(Roster!$D$4:$D$500,"Active",Roster!$C$4:$C$500,"&lt;="&amp;$J26))</f>
        <v/>
      </c>
      <c r="C26" s="16">
        <f>IF($J26="","",SUMIFS('Hours Log'!$C:$C,'Hours Log'!$A:$A,"&gt;="&amp;$J26,'Hours Log'!$A:$A,"&lt;"&amp;$J26+7)+SUMIFS('Hours Log'!$D:$D,'Hours Log'!$A:$A,"&gt;="&amp;$J26,'Hours Log'!$A:$A,"&lt;"&amp;$J26+7))</f>
        <v/>
      </c>
      <c r="D26" s="16">
        <f>IF($J26="","",SUMIFS('Hours Log'!$D:$D,'Hours Log'!$A:$A,"&gt;="&amp;$J26,'Hours Log'!$A:$A,"&lt;"&amp;$J26+7))</f>
        <v/>
      </c>
      <c r="E26" s="17">
        <f>IF($J26="","",IFERROR(C26/(B26*40),0))</f>
        <v/>
      </c>
      <c r="F26" s="16">
        <f>IF($J26="","",0)</f>
        <v/>
      </c>
      <c r="G26" s="16">
        <f>IF($J26="","",SUMIFS('Hours Log'!$E:$E,'Hours Log'!$A:$A,"&gt;="&amp;$J26,'Hours Log'!$A:$A,"&lt;"&amp;$J26+7))</f>
        <v/>
      </c>
      <c r="H26" s="15" t="inlineStr">
        <is>
          <t>Safety training</t>
        </is>
      </c>
      <c r="J26">
        <f>IF(COUNT('Hours Log'!$A$4:$A$5000)=0,"",IF(MIN('Hours Log'!$A$4:$A$5000)+7*(ROW()-10)&gt;MAX('Hours Log'!$A$4:$A$5000),"",MIN('Hours Log'!$A$4:$A$5000)+7*(ROW()-10)))</f>
        <v/>
      </c>
    </row>
    <row r="27">
      <c r="A27" s="15">
        <f>IF($J27="","",YEAR($J27-WEEKDAY($J27,2)+4)&amp;"-W"&amp;TEXT(WEEKNUM($J27,21),"00"))</f>
        <v/>
      </c>
      <c r="B27" s="40">
        <f>IF($J27="","",COUNTIFS(Roster!$D$4:$D$500,"Active",Roster!$C$4:$C$500,"&lt;="&amp;$J27))</f>
        <v/>
      </c>
      <c r="C27" s="16">
        <f>IF($J27="","",SUMIFS('Hours Log'!$C:$C,'Hours Log'!$A:$A,"&gt;="&amp;$J27,'Hours Log'!$A:$A,"&lt;"&amp;$J27+7)+SUMIFS('Hours Log'!$D:$D,'Hours Log'!$A:$A,"&gt;="&amp;$J27,'Hours Log'!$A:$A,"&lt;"&amp;$J27+7))</f>
        <v/>
      </c>
      <c r="D27" s="16">
        <f>IF($J27="","",SUMIFS('Hours Log'!$D:$D,'Hours Log'!$A:$A,"&gt;="&amp;$J27,'Hours Log'!$A:$A,"&lt;"&amp;$J27+7))</f>
        <v/>
      </c>
      <c r="E27" s="17">
        <f>IF($J27="","",IFERROR(C27/(B27*40),0))</f>
        <v/>
      </c>
      <c r="F27" s="16">
        <f>IF($J27="","",0)</f>
        <v/>
      </c>
      <c r="G27" s="16">
        <f>IF($J27="","",SUMIFS('Hours Log'!$E:$E,'Hours Log'!$A:$A,"&gt;="&amp;$J27,'Hours Log'!$A:$A,"&lt;"&amp;$J27+7))</f>
        <v/>
      </c>
      <c r="H27" s="15" t="n"/>
      <c r="J27">
        <f>IF(COUNT('Hours Log'!$A$4:$A$5000)=0,"",IF(MIN('Hours Log'!$A$4:$A$5000)+7*(ROW()-10)&gt;MAX('Hours Log'!$A$4:$A$5000),"",MIN('Hours Log'!$A$4:$A$5000)+7*(ROW()-10)))</f>
        <v/>
      </c>
    </row>
    <row r="28">
      <c r="A28" s="15">
        <f>IF($J28="","",YEAR($J28-WEEKDAY($J28,2)+4)&amp;"-W"&amp;TEXT(WEEKNUM($J28,21),"00"))</f>
        <v/>
      </c>
      <c r="B28" s="40">
        <f>IF($J28="","",COUNTIFS(Roster!$D$4:$D$500,"Active",Roster!$C$4:$C$500,"&lt;="&amp;$J28))</f>
        <v/>
      </c>
      <c r="C28" s="16">
        <f>IF($J28="","",SUMIFS('Hours Log'!$C:$C,'Hours Log'!$A:$A,"&gt;="&amp;$J28,'Hours Log'!$A:$A,"&lt;"&amp;$J28+7)+SUMIFS('Hours Log'!$D:$D,'Hours Log'!$A:$A,"&gt;="&amp;$J28,'Hours Log'!$A:$A,"&lt;"&amp;$J28+7))</f>
        <v/>
      </c>
      <c r="D28" s="16">
        <f>IF($J28="","",SUMIFS('Hours Log'!$D:$D,'Hours Log'!$A:$A,"&gt;="&amp;$J28,'Hours Log'!$A:$A,"&lt;"&amp;$J28+7))</f>
        <v/>
      </c>
      <c r="E28" s="17">
        <f>IF($J28="","",IFERROR(C28/(B28*40),0))</f>
        <v/>
      </c>
      <c r="F28" s="16">
        <f>IF($J28="","",0)</f>
        <v/>
      </c>
      <c r="G28" s="16">
        <f>IF($J28="","",SUMIFS('Hours Log'!$E:$E,'Hours Log'!$A:$A,"&gt;="&amp;$J28,'Hours Log'!$A:$A,"&lt;"&amp;$J28+7))</f>
        <v/>
      </c>
      <c r="H28" s="15" t="inlineStr">
        <is>
          <t>New hire week 1</t>
        </is>
      </c>
      <c r="J28">
        <f>IF(COUNT('Hours Log'!$A$4:$A$5000)=0,"",IF(MIN('Hours Log'!$A$4:$A$5000)+7*(ROW()-10)&gt;MAX('Hours Log'!$A$4:$A$5000),"",MIN('Hours Log'!$A$4:$A$5000)+7*(ROW()-10)))</f>
        <v/>
      </c>
    </row>
    <row r="29">
      <c r="A29" s="15">
        <f>IF($J29="","",YEAR($J29-WEEKDAY($J29,2)+4)&amp;"-W"&amp;TEXT(WEEKNUM($J29,21),"00"))</f>
        <v/>
      </c>
      <c r="B29" s="40">
        <f>IF($J29="","",COUNTIFS(Roster!$D$4:$D$500,"Active",Roster!$C$4:$C$500,"&lt;="&amp;$J29))</f>
        <v/>
      </c>
      <c r="C29" s="16">
        <f>IF($J29="","",SUMIFS('Hours Log'!$C:$C,'Hours Log'!$A:$A,"&gt;="&amp;$J29,'Hours Log'!$A:$A,"&lt;"&amp;$J29+7)+SUMIFS('Hours Log'!$D:$D,'Hours Log'!$A:$A,"&gt;="&amp;$J29,'Hours Log'!$A:$A,"&lt;"&amp;$J29+7))</f>
        <v/>
      </c>
      <c r="D29" s="16">
        <f>IF($J29="","",SUMIFS('Hours Log'!$D:$D,'Hours Log'!$A:$A,"&gt;="&amp;$J29,'Hours Log'!$A:$A,"&lt;"&amp;$J29+7))</f>
        <v/>
      </c>
      <c r="E29" s="17">
        <f>IF($J29="","",IFERROR(C29/(B29*40),0))</f>
        <v/>
      </c>
      <c r="F29" s="16">
        <f>IF($J29="","",0)</f>
        <v/>
      </c>
      <c r="G29" s="16">
        <f>IF($J29="","",SUMIFS('Hours Log'!$E:$E,'Hours Log'!$A:$A,"&gt;="&amp;$J29,'Hours Log'!$A:$A,"&lt;"&amp;$J29+7))</f>
        <v/>
      </c>
      <c r="H29" s="15" t="n"/>
      <c r="J29">
        <f>IF(COUNT('Hours Log'!$A$4:$A$5000)=0,"",IF(MIN('Hours Log'!$A$4:$A$5000)+7*(ROW()-10)&gt;MAX('Hours Log'!$A$4:$A$5000),"",MIN('Hours Log'!$A$4:$A$5000)+7*(ROW()-10)))</f>
        <v/>
      </c>
    </row>
    <row r="30">
      <c r="A30" s="15">
        <f>IF($J30="","",YEAR($J30-WEEKDAY($J30,2)+4)&amp;"-W"&amp;TEXT(WEEKNUM($J30,21),"00"))</f>
        <v/>
      </c>
      <c r="B30" s="40">
        <f>IF($J30="","",COUNTIFS(Roster!$D$4:$D$500,"Active",Roster!$C$4:$C$500,"&lt;="&amp;$J30))</f>
        <v/>
      </c>
      <c r="C30" s="16">
        <f>IF($J30="","",SUMIFS('Hours Log'!$C:$C,'Hours Log'!$A:$A,"&gt;="&amp;$J30,'Hours Log'!$A:$A,"&lt;"&amp;$J30+7)+SUMIFS('Hours Log'!$D:$D,'Hours Log'!$A:$A,"&gt;="&amp;$J30,'Hours Log'!$A:$A,"&lt;"&amp;$J30+7))</f>
        <v/>
      </c>
      <c r="D30" s="16">
        <f>IF($J30="","",SUMIFS('Hours Log'!$D:$D,'Hours Log'!$A:$A,"&gt;="&amp;$J30,'Hours Log'!$A:$A,"&lt;"&amp;$J30+7))</f>
        <v/>
      </c>
      <c r="E30" s="17">
        <f>IF($J30="","",IFERROR(C30/(B30*40),0))</f>
        <v/>
      </c>
      <c r="F30" s="16">
        <f>IF($J30="","",0)</f>
        <v/>
      </c>
      <c r="G30" s="16">
        <f>IF($J30="","",SUMIFS('Hours Log'!$E:$E,'Hours Log'!$A:$A,"&gt;="&amp;$J30,'Hours Log'!$A:$A,"&lt;"&amp;$J30+7))</f>
        <v/>
      </c>
      <c r="H30" s="15" t="inlineStr">
        <is>
          <t>Backfill in progress</t>
        </is>
      </c>
      <c r="J30">
        <f>IF(COUNT('Hours Log'!$A$4:$A$5000)=0,"",IF(MIN('Hours Log'!$A$4:$A$5000)+7*(ROW()-10)&gt;MAX('Hours Log'!$A$4:$A$5000),"",MIN('Hours Log'!$A$4:$A$5000)+7*(ROW()-10)))</f>
        <v/>
      </c>
    </row>
    <row r="31">
      <c r="A31" s="15">
        <f>IF($J31="","",YEAR($J31-WEEKDAY($J31,2)+4)&amp;"-W"&amp;TEXT(WEEKNUM($J31,21),"00"))</f>
        <v/>
      </c>
      <c r="B31" s="40">
        <f>IF($J31="","",COUNTIFS(Roster!$D$4:$D$500,"Active",Roster!$C$4:$C$500,"&lt;="&amp;$J31))</f>
        <v/>
      </c>
      <c r="C31" s="16">
        <f>IF($J31="","",SUMIFS('Hours Log'!$C:$C,'Hours Log'!$A:$A,"&gt;="&amp;$J31,'Hours Log'!$A:$A,"&lt;"&amp;$J31+7)+SUMIFS('Hours Log'!$D:$D,'Hours Log'!$A:$A,"&gt;="&amp;$J31,'Hours Log'!$A:$A,"&lt;"&amp;$J31+7))</f>
        <v/>
      </c>
      <c r="D31" s="16">
        <f>IF($J31="","",SUMIFS('Hours Log'!$D:$D,'Hours Log'!$A:$A,"&gt;="&amp;$J31,'Hours Log'!$A:$A,"&lt;"&amp;$J31+7))</f>
        <v/>
      </c>
      <c r="E31" s="17">
        <f>IF($J31="","",IFERROR(C31/(B31*40),0))</f>
        <v/>
      </c>
      <c r="F31" s="16">
        <f>IF($J31="","",0)</f>
        <v/>
      </c>
      <c r="G31" s="16">
        <f>IF($J31="","",SUMIFS('Hours Log'!$E:$E,'Hours Log'!$A:$A,"&gt;="&amp;$J31,'Hours Log'!$A:$A,"&lt;"&amp;$J31+7))</f>
        <v/>
      </c>
      <c r="H31" s="15" t="n"/>
      <c r="J31">
        <f>IF(COUNT('Hours Log'!$A$4:$A$5000)=0,"",IF(MIN('Hours Log'!$A$4:$A$5000)+7*(ROW()-10)&gt;MAX('Hours Log'!$A$4:$A$5000),"",MIN('Hours Log'!$A$4:$A$5000)+7*(ROW()-10)))</f>
        <v/>
      </c>
    </row>
    <row r="32">
      <c r="A32" s="15">
        <f>IF($J32="","",YEAR($J32-WEEKDAY($J32,2)+4)&amp;"-W"&amp;TEXT(WEEKNUM($J32,21),"00"))</f>
        <v/>
      </c>
      <c r="B32" s="40">
        <f>IF($J32="","",COUNTIFS(Roster!$D$4:$D$500,"Active",Roster!$C$4:$C$500,"&lt;="&amp;$J32))</f>
        <v/>
      </c>
      <c r="C32" s="16">
        <f>IF($J32="","",SUMIFS('Hours Log'!$C:$C,'Hours Log'!$A:$A,"&gt;="&amp;$J32,'Hours Log'!$A:$A,"&lt;"&amp;$J32+7)+SUMIFS('Hours Log'!$D:$D,'Hours Log'!$A:$A,"&gt;="&amp;$J32,'Hours Log'!$A:$A,"&lt;"&amp;$J32+7))</f>
        <v/>
      </c>
      <c r="D32" s="16">
        <f>IF($J32="","",SUMIFS('Hours Log'!$D:$D,'Hours Log'!$A:$A,"&gt;="&amp;$J32,'Hours Log'!$A:$A,"&lt;"&amp;$J32+7))</f>
        <v/>
      </c>
      <c r="E32" s="17">
        <f>IF($J32="","",IFERROR(C32/(B32*40),0))</f>
        <v/>
      </c>
      <c r="F32" s="16">
        <f>IF($J32="","",0)</f>
        <v/>
      </c>
      <c r="G32" s="16">
        <f>IF($J32="","",SUMIFS('Hours Log'!$E:$E,'Hours Log'!$A:$A,"&gt;="&amp;$J32,'Hours Log'!$A:$A,"&lt;"&amp;$J32+7))</f>
        <v/>
      </c>
      <c r="H32" s="15" t="inlineStr">
        <is>
          <t>Backfill in progress</t>
        </is>
      </c>
      <c r="J32">
        <f>IF(COUNT('Hours Log'!$A$4:$A$5000)=0,"",IF(MIN('Hours Log'!$A$4:$A$5000)+7*(ROW()-10)&gt;MAX('Hours Log'!$A$4:$A$5000),"",MIN('Hours Log'!$A$4:$A$5000)+7*(ROW()-10)))</f>
        <v/>
      </c>
    </row>
    <row r="33">
      <c r="A33" s="15">
        <f>IF($J33="","",YEAR($J33-WEEKDAY($J33,2)+4)&amp;"-W"&amp;TEXT(WEEKNUM($J33,21),"00"))</f>
        <v/>
      </c>
      <c r="B33" s="40">
        <f>IF($J33="","",COUNTIFS(Roster!$D$4:$D$500,"Active",Roster!$C$4:$C$500,"&lt;="&amp;$J33))</f>
        <v/>
      </c>
      <c r="C33" s="16">
        <f>IF($J33="","",SUMIFS('Hours Log'!$C:$C,'Hours Log'!$A:$A,"&gt;="&amp;$J33,'Hours Log'!$A:$A,"&lt;"&amp;$J33+7)+SUMIFS('Hours Log'!$D:$D,'Hours Log'!$A:$A,"&gt;="&amp;$J33,'Hours Log'!$A:$A,"&lt;"&amp;$J33+7))</f>
        <v/>
      </c>
      <c r="D33" s="16">
        <f>IF($J33="","",SUMIFS('Hours Log'!$D:$D,'Hours Log'!$A:$A,"&gt;="&amp;$J33,'Hours Log'!$A:$A,"&lt;"&amp;$J33+7))</f>
        <v/>
      </c>
      <c r="E33" s="17">
        <f>IF($J33="","",IFERROR(C33/(B33*40),0))</f>
        <v/>
      </c>
      <c r="F33" s="16">
        <f>IF($J33="","",0)</f>
        <v/>
      </c>
      <c r="G33" s="16">
        <f>IF($J33="","",SUMIFS('Hours Log'!$E:$E,'Hours Log'!$A:$A,"&gt;="&amp;$J33,'Hours Log'!$A:$A,"&lt;"&amp;$J33+7))</f>
        <v/>
      </c>
      <c r="H33" s="15" t="n"/>
      <c r="J33">
        <f>IF(COUNT('Hours Log'!$A$4:$A$5000)=0,"",IF(MIN('Hours Log'!$A$4:$A$5000)+7*(ROW()-10)&gt;MAX('Hours Log'!$A$4:$A$5000),"",MIN('Hours Log'!$A$4:$A$5000)+7*(ROW()-10)))</f>
        <v/>
      </c>
    </row>
    <row r="34">
      <c r="A34" s="15">
        <f>IF($J34="","",YEAR($J34-WEEKDAY($J34,2)+4)&amp;"-W"&amp;TEXT(WEEKNUM($J34,21),"00"))</f>
        <v/>
      </c>
      <c r="B34" s="40">
        <f>IF($J34="","",COUNTIFS(Roster!$D$4:$D$500,"Active",Roster!$C$4:$C$500,"&lt;="&amp;$J34))</f>
        <v/>
      </c>
      <c r="C34" s="16">
        <f>IF($J34="","",SUMIFS('Hours Log'!$C:$C,'Hours Log'!$A:$A,"&gt;="&amp;$J34,'Hours Log'!$A:$A,"&lt;"&amp;$J34+7)+SUMIFS('Hours Log'!$D:$D,'Hours Log'!$A:$A,"&gt;="&amp;$J34,'Hours Log'!$A:$A,"&lt;"&amp;$J34+7))</f>
        <v/>
      </c>
      <c r="D34" s="16">
        <f>IF($J34="","",SUMIFS('Hours Log'!$D:$D,'Hours Log'!$A:$A,"&gt;="&amp;$J34,'Hours Log'!$A:$A,"&lt;"&amp;$J34+7))</f>
        <v/>
      </c>
      <c r="E34" s="17">
        <f>IF($J34="","",IFERROR(C34/(B34*40),0))</f>
        <v/>
      </c>
      <c r="F34" s="16">
        <f>IF($J34="","",0)</f>
        <v/>
      </c>
      <c r="G34" s="16">
        <f>IF($J34="","",SUMIFS('Hours Log'!$E:$E,'Hours Log'!$A:$A,"&gt;="&amp;$J34,'Hours Log'!$A:$A,"&lt;"&amp;$J34+7))</f>
        <v/>
      </c>
      <c r="H34" s="15" t="n"/>
      <c r="J34">
        <f>IF(COUNT('Hours Log'!$A$4:$A$5000)=0,"",IF(MIN('Hours Log'!$A$4:$A$5000)+7*(ROW()-10)&gt;MAX('Hours Log'!$A$4:$A$5000),"",MIN('Hours Log'!$A$4:$A$5000)+7*(ROW()-10)))</f>
        <v/>
      </c>
    </row>
    <row r="35">
      <c r="A35" s="15">
        <f>IF($J35="","",YEAR($J35-WEEKDAY($J35,2)+4)&amp;"-W"&amp;TEXT(WEEKNUM($J35,21),"00"))</f>
        <v/>
      </c>
      <c r="B35" s="40">
        <f>IF($J35="","",COUNTIFS(Roster!$D$4:$D$500,"Active",Roster!$C$4:$C$500,"&lt;="&amp;$J35))</f>
        <v/>
      </c>
      <c r="C35" s="16">
        <f>IF($J35="","",SUMIFS('Hours Log'!$C:$C,'Hours Log'!$A:$A,"&gt;="&amp;$J35,'Hours Log'!$A:$A,"&lt;"&amp;$J35+7)+SUMIFS('Hours Log'!$D:$D,'Hours Log'!$A:$A,"&gt;="&amp;$J35,'Hours Log'!$A:$A,"&lt;"&amp;$J35+7))</f>
        <v/>
      </c>
      <c r="D35" s="16">
        <f>IF($J35="","",SUMIFS('Hours Log'!$D:$D,'Hours Log'!$A:$A,"&gt;="&amp;$J35,'Hours Log'!$A:$A,"&lt;"&amp;$J35+7))</f>
        <v/>
      </c>
      <c r="E35" s="17">
        <f>IF($J35="","",IFERROR(C35/(B35*40),0))</f>
        <v/>
      </c>
      <c r="F35" s="16">
        <f>IF($J35="","",0)</f>
        <v/>
      </c>
      <c r="G35" s="16">
        <f>IF($J35="","",SUMIFS('Hours Log'!$E:$E,'Hours Log'!$A:$A,"&gt;="&amp;$J35,'Hours Log'!$A:$A,"&lt;"&amp;$J35+7))</f>
        <v/>
      </c>
      <c r="H35" s="15" t="n"/>
      <c r="J35">
        <f>IF(COUNT('Hours Log'!$A$4:$A$5000)=0,"",IF(MIN('Hours Log'!$A$4:$A$5000)+7*(ROW()-10)&gt;MAX('Hours Log'!$A$4:$A$5000),"",MIN('Hours Log'!$A$4:$A$5000)+7*(ROW()-10)))</f>
        <v/>
      </c>
    </row>
    <row r="36">
      <c r="A36" s="15">
        <f>IF($J36="","",YEAR($J36-WEEKDAY($J36,2)+4)&amp;"-W"&amp;TEXT(WEEKNUM($J36,21),"00"))</f>
        <v/>
      </c>
      <c r="B36" s="40">
        <f>IF($J36="","",COUNTIFS(Roster!$D$4:$D$500,"Active",Roster!$C$4:$C$500,"&lt;="&amp;$J36))</f>
        <v/>
      </c>
      <c r="C36" s="16">
        <f>IF($J36="","",SUMIFS('Hours Log'!$C:$C,'Hours Log'!$A:$A,"&gt;="&amp;$J36,'Hours Log'!$A:$A,"&lt;"&amp;$J36+7)+SUMIFS('Hours Log'!$D:$D,'Hours Log'!$A:$A,"&gt;="&amp;$J36,'Hours Log'!$A:$A,"&lt;"&amp;$J36+7))</f>
        <v/>
      </c>
      <c r="D36" s="16">
        <f>IF($J36="","",SUMIFS('Hours Log'!$D:$D,'Hours Log'!$A:$A,"&gt;="&amp;$J36,'Hours Log'!$A:$A,"&lt;"&amp;$J36+7))</f>
        <v/>
      </c>
      <c r="E36" s="17">
        <f>IF($J36="","",IFERROR(C36/(B36*40),0))</f>
        <v/>
      </c>
      <c r="F36" s="16">
        <f>IF($J36="","",0)</f>
        <v/>
      </c>
      <c r="G36" s="16">
        <f>IF($J36="","",SUMIFS('Hours Log'!$E:$E,'Hours Log'!$A:$A,"&gt;="&amp;$J36,'Hours Log'!$A:$A,"&lt;"&amp;$J36+7))</f>
        <v/>
      </c>
      <c r="H36" s="15" t="n"/>
      <c r="J36">
        <f>IF(COUNT('Hours Log'!$A$4:$A$5000)=0,"",IF(MIN('Hours Log'!$A$4:$A$5000)+7*(ROW()-10)&gt;MAX('Hours Log'!$A$4:$A$5000),"",MIN('Hours Log'!$A$4:$A$5000)+7*(ROW()-10)))</f>
        <v/>
      </c>
    </row>
    <row r="37">
      <c r="A37" s="15">
        <f>IF($J37="","",YEAR($J37-WEEKDAY($J37,2)+4)&amp;"-W"&amp;TEXT(WEEKNUM($J37,21),"00"))</f>
        <v/>
      </c>
      <c r="B37" s="40">
        <f>IF($J37="","",COUNTIFS(Roster!$D$4:$D$500,"Active",Roster!$C$4:$C$500,"&lt;="&amp;$J37))</f>
        <v/>
      </c>
      <c r="C37" s="16">
        <f>IF($J37="","",SUMIFS('Hours Log'!$C:$C,'Hours Log'!$A:$A,"&gt;="&amp;$J37,'Hours Log'!$A:$A,"&lt;"&amp;$J37+7)+SUMIFS('Hours Log'!$D:$D,'Hours Log'!$A:$A,"&gt;="&amp;$J37,'Hours Log'!$A:$A,"&lt;"&amp;$J37+7))</f>
        <v/>
      </c>
      <c r="D37" s="16">
        <f>IF($J37="","",SUMIFS('Hours Log'!$D:$D,'Hours Log'!$A:$A,"&gt;="&amp;$J37,'Hours Log'!$A:$A,"&lt;"&amp;$J37+7))</f>
        <v/>
      </c>
      <c r="E37" s="17">
        <f>IF($J37="","",IFERROR(C37/(B37*40),0))</f>
        <v/>
      </c>
      <c r="F37" s="16">
        <f>IF($J37="","",0)</f>
        <v/>
      </c>
      <c r="G37" s="16">
        <f>IF($J37="","",SUMIFS('Hours Log'!$E:$E,'Hours Log'!$A:$A,"&gt;="&amp;$J37,'Hours Log'!$A:$A,"&lt;"&amp;$J37+7))</f>
        <v/>
      </c>
      <c r="H37" s="15" t="n"/>
      <c r="J37">
        <f>IF(COUNT('Hours Log'!$A$4:$A$5000)=0,"",IF(MIN('Hours Log'!$A$4:$A$5000)+7*(ROW()-10)&gt;MAX('Hours Log'!$A$4:$A$5000),"",MIN('Hours Log'!$A$4:$A$5000)+7*(ROW()-10)))</f>
        <v/>
      </c>
    </row>
    <row r="38">
      <c r="A38" s="15">
        <f>IF($J38="","",YEAR($J38-WEEKDAY($J38,2)+4)&amp;"-W"&amp;TEXT(WEEKNUM($J38,21),"00"))</f>
        <v/>
      </c>
      <c r="B38" s="40">
        <f>IF($J38="","",COUNTIFS(Roster!$D$4:$D$500,"Active",Roster!$C$4:$C$500,"&lt;="&amp;$J38))</f>
        <v/>
      </c>
      <c r="C38" s="16">
        <f>IF($J38="","",SUMIFS('Hours Log'!$C:$C,'Hours Log'!$A:$A,"&gt;="&amp;$J38,'Hours Log'!$A:$A,"&lt;"&amp;$J38+7)+SUMIFS('Hours Log'!$D:$D,'Hours Log'!$A:$A,"&gt;="&amp;$J38,'Hours Log'!$A:$A,"&lt;"&amp;$J38+7))</f>
        <v/>
      </c>
      <c r="D38" s="16">
        <f>IF($J38="","",SUMIFS('Hours Log'!$D:$D,'Hours Log'!$A:$A,"&gt;="&amp;$J38,'Hours Log'!$A:$A,"&lt;"&amp;$J38+7))</f>
        <v/>
      </c>
      <c r="E38" s="17">
        <f>IF($J38="","",IFERROR(C38/(B38*40),0))</f>
        <v/>
      </c>
      <c r="F38" s="16">
        <f>IF($J38="","",0)</f>
        <v/>
      </c>
      <c r="G38" s="16">
        <f>IF($J38="","",SUMIFS('Hours Log'!$E:$E,'Hours Log'!$A:$A,"&gt;="&amp;$J38,'Hours Log'!$A:$A,"&lt;"&amp;$J38+7))</f>
        <v/>
      </c>
      <c r="H38" s="15" t="inlineStr">
        <is>
          <t>Safety training</t>
        </is>
      </c>
      <c r="J38">
        <f>IF(COUNT('Hours Log'!$A$4:$A$5000)=0,"",IF(MIN('Hours Log'!$A$4:$A$5000)+7*(ROW()-10)&gt;MAX('Hours Log'!$A$4:$A$5000),"",MIN('Hours Log'!$A$4:$A$5000)+7*(ROW()-10)))</f>
        <v/>
      </c>
    </row>
    <row r="39">
      <c r="A39" s="15">
        <f>IF($J39="","",YEAR($J39-WEEKDAY($J39,2)+4)&amp;"-W"&amp;TEXT(WEEKNUM($J39,21),"00"))</f>
        <v/>
      </c>
      <c r="B39" s="40">
        <f>IF($J39="","",COUNTIFS(Roster!$D$4:$D$500,"Active",Roster!$C$4:$C$500,"&lt;="&amp;$J39))</f>
        <v/>
      </c>
      <c r="C39" s="16">
        <f>IF($J39="","",SUMIFS('Hours Log'!$C:$C,'Hours Log'!$A:$A,"&gt;="&amp;$J39,'Hours Log'!$A:$A,"&lt;"&amp;$J39+7)+SUMIFS('Hours Log'!$D:$D,'Hours Log'!$A:$A,"&gt;="&amp;$J39,'Hours Log'!$A:$A,"&lt;"&amp;$J39+7))</f>
        <v/>
      </c>
      <c r="D39" s="16">
        <f>IF($J39="","",SUMIFS('Hours Log'!$D:$D,'Hours Log'!$A:$A,"&gt;="&amp;$J39,'Hours Log'!$A:$A,"&lt;"&amp;$J39+7))</f>
        <v/>
      </c>
      <c r="E39" s="17">
        <f>IF($J39="","",IFERROR(C39/(B39*40),0))</f>
        <v/>
      </c>
      <c r="F39" s="16">
        <f>IF($J39="","",0)</f>
        <v/>
      </c>
      <c r="G39" s="16">
        <f>IF($J39="","",SUMIFS('Hours Log'!$E:$E,'Hours Log'!$A:$A,"&gt;="&amp;$J39,'Hours Log'!$A:$A,"&lt;"&amp;$J39+7))</f>
        <v/>
      </c>
      <c r="H39" s="15" t="n"/>
      <c r="J39">
        <f>IF(COUNT('Hours Log'!$A$4:$A$5000)=0,"",IF(MIN('Hours Log'!$A$4:$A$5000)+7*(ROW()-10)&gt;MAX('Hours Log'!$A$4:$A$5000),"",MIN('Hours Log'!$A$4:$A$5000)+7*(ROW()-10)))</f>
        <v/>
      </c>
    </row>
    <row r="40">
      <c r="A40" s="15">
        <f>IF($J40="","",YEAR($J40-WEEKDAY($J40,2)+4)&amp;"-W"&amp;TEXT(WEEKNUM($J40,21),"00"))</f>
        <v/>
      </c>
      <c r="B40" s="40">
        <f>IF($J40="","",COUNTIFS(Roster!$D$4:$D$500,"Active",Roster!$C$4:$C$500,"&lt;="&amp;$J40))</f>
        <v/>
      </c>
      <c r="C40" s="16">
        <f>IF($J40="","",SUMIFS('Hours Log'!$C:$C,'Hours Log'!$A:$A,"&gt;="&amp;$J40,'Hours Log'!$A:$A,"&lt;"&amp;$J40+7)+SUMIFS('Hours Log'!$D:$D,'Hours Log'!$A:$A,"&gt;="&amp;$J40,'Hours Log'!$A:$A,"&lt;"&amp;$J40+7))</f>
        <v/>
      </c>
      <c r="D40" s="16">
        <f>IF($J40="","",SUMIFS('Hours Log'!$D:$D,'Hours Log'!$A:$A,"&gt;="&amp;$J40,'Hours Log'!$A:$A,"&lt;"&amp;$J40+7))</f>
        <v/>
      </c>
      <c r="E40" s="17">
        <f>IF($J40="","",IFERROR(C40/(B40*40),0))</f>
        <v/>
      </c>
      <c r="F40" s="16">
        <f>IF($J40="","",0)</f>
        <v/>
      </c>
      <c r="G40" s="16">
        <f>IF($J40="","",SUMIFS('Hours Log'!$E:$E,'Hours Log'!$A:$A,"&gt;="&amp;$J40,'Hours Log'!$A:$A,"&lt;"&amp;$J40+7))</f>
        <v/>
      </c>
      <c r="H40" s="15" t="n"/>
      <c r="J40">
        <f>IF(COUNT('Hours Log'!$A$4:$A$5000)=0,"",IF(MIN('Hours Log'!$A$4:$A$5000)+7*(ROW()-10)&gt;MAX('Hours Log'!$A$4:$A$5000),"",MIN('Hours Log'!$A$4:$A$5000)+7*(ROW()-10)))</f>
        <v/>
      </c>
    </row>
    <row r="41">
      <c r="A41" s="15">
        <f>IF($J41="","",YEAR($J41-WEEKDAY($J41,2)+4)&amp;"-W"&amp;TEXT(WEEKNUM($J41,21),"00"))</f>
        <v/>
      </c>
      <c r="B41" s="40">
        <f>IF($J41="","",COUNTIFS(Roster!$D$4:$D$500,"Active",Roster!$C$4:$C$500,"&lt;="&amp;$J41))</f>
        <v/>
      </c>
      <c r="C41" s="16">
        <f>IF($J41="","",SUMIFS('Hours Log'!$C:$C,'Hours Log'!$A:$A,"&gt;="&amp;$J41,'Hours Log'!$A:$A,"&lt;"&amp;$J41+7)+SUMIFS('Hours Log'!$D:$D,'Hours Log'!$A:$A,"&gt;="&amp;$J41,'Hours Log'!$A:$A,"&lt;"&amp;$J41+7))</f>
        <v/>
      </c>
      <c r="D41" s="16">
        <f>IF($J41="","",SUMIFS('Hours Log'!$D:$D,'Hours Log'!$A:$A,"&gt;="&amp;$J41,'Hours Log'!$A:$A,"&lt;"&amp;$J41+7))</f>
        <v/>
      </c>
      <c r="E41" s="17">
        <f>IF($J41="","",IFERROR(C41/(B41*40),0))</f>
        <v/>
      </c>
      <c r="F41" s="16">
        <f>IF($J41="","",0)</f>
        <v/>
      </c>
      <c r="G41" s="16">
        <f>IF($J41="","",SUMIFS('Hours Log'!$E:$E,'Hours Log'!$A:$A,"&gt;="&amp;$J41,'Hours Log'!$A:$A,"&lt;"&amp;$J41+7))</f>
        <v/>
      </c>
      <c r="H41" s="15" t="inlineStr">
        <is>
          <t>Backfill in progress</t>
        </is>
      </c>
      <c r="J41">
        <f>IF(COUNT('Hours Log'!$A$4:$A$5000)=0,"",IF(MIN('Hours Log'!$A$4:$A$5000)+7*(ROW()-10)&gt;MAX('Hours Log'!$A$4:$A$5000),"",MIN('Hours Log'!$A$4:$A$5000)+7*(ROW()-10)))</f>
        <v/>
      </c>
    </row>
    <row r="42">
      <c r="A42" s="15">
        <f>IF($J42="","",YEAR($J42-WEEKDAY($J42,2)+4)&amp;"-W"&amp;TEXT(WEEKNUM($J42,21),"00"))</f>
        <v/>
      </c>
      <c r="B42" s="40">
        <f>IF($J42="","",COUNTIFS(Roster!$D$4:$D$500,"Active",Roster!$C$4:$C$500,"&lt;="&amp;$J42))</f>
        <v/>
      </c>
      <c r="C42" s="16">
        <f>IF($J42="","",SUMIFS('Hours Log'!$C:$C,'Hours Log'!$A:$A,"&gt;="&amp;$J42,'Hours Log'!$A:$A,"&lt;"&amp;$J42+7)+SUMIFS('Hours Log'!$D:$D,'Hours Log'!$A:$A,"&gt;="&amp;$J42,'Hours Log'!$A:$A,"&lt;"&amp;$J42+7))</f>
        <v/>
      </c>
      <c r="D42" s="16">
        <f>IF($J42="","",SUMIFS('Hours Log'!$D:$D,'Hours Log'!$A:$A,"&gt;="&amp;$J42,'Hours Log'!$A:$A,"&lt;"&amp;$J42+7))</f>
        <v/>
      </c>
      <c r="E42" s="17">
        <f>IF($J42="","",IFERROR(C42/(B42*40),0))</f>
        <v/>
      </c>
      <c r="F42" s="16">
        <f>IF($J42="","",0)</f>
        <v/>
      </c>
      <c r="G42" s="16">
        <f>IF($J42="","",SUMIFS('Hours Log'!$E:$E,'Hours Log'!$A:$A,"&gt;="&amp;$J42,'Hours Log'!$A:$A,"&lt;"&amp;$J42+7))</f>
        <v/>
      </c>
      <c r="H42" s="15" t="n"/>
      <c r="J42">
        <f>IF(COUNT('Hours Log'!$A$4:$A$5000)=0,"",IF(MIN('Hours Log'!$A$4:$A$5000)+7*(ROW()-10)&gt;MAX('Hours Log'!$A$4:$A$5000),"",MIN('Hours Log'!$A$4:$A$5000)+7*(ROW()-10)))</f>
        <v/>
      </c>
    </row>
    <row r="43">
      <c r="A43" s="15">
        <f>IF($J43="","",YEAR($J43-WEEKDAY($J43,2)+4)&amp;"-W"&amp;TEXT(WEEKNUM($J43,21),"00"))</f>
        <v/>
      </c>
      <c r="B43" s="40">
        <f>IF($J43="","",COUNTIFS(Roster!$D$4:$D$500,"Active",Roster!$C$4:$C$500,"&lt;="&amp;$J43))</f>
        <v/>
      </c>
      <c r="C43" s="16">
        <f>IF($J43="","",SUMIFS('Hours Log'!$C:$C,'Hours Log'!$A:$A,"&gt;="&amp;$J43,'Hours Log'!$A:$A,"&lt;"&amp;$J43+7)+SUMIFS('Hours Log'!$D:$D,'Hours Log'!$A:$A,"&gt;="&amp;$J43,'Hours Log'!$A:$A,"&lt;"&amp;$J43+7))</f>
        <v/>
      </c>
      <c r="D43" s="16">
        <f>IF($J43="","",SUMIFS('Hours Log'!$D:$D,'Hours Log'!$A:$A,"&gt;="&amp;$J43,'Hours Log'!$A:$A,"&lt;"&amp;$J43+7))</f>
        <v/>
      </c>
      <c r="E43" s="17">
        <f>IF($J43="","",IFERROR(C43/(B43*40),0))</f>
        <v/>
      </c>
      <c r="F43" s="16">
        <f>IF($J43="","",0)</f>
        <v/>
      </c>
      <c r="G43" s="16">
        <f>IF($J43="","",SUMIFS('Hours Log'!$E:$E,'Hours Log'!$A:$A,"&gt;="&amp;$J43,'Hours Log'!$A:$A,"&lt;"&amp;$J43+7))</f>
        <v/>
      </c>
      <c r="H43" s="15" t="inlineStr">
        <is>
          <t>Backfill in progress</t>
        </is>
      </c>
      <c r="J43">
        <f>IF(COUNT('Hours Log'!$A$4:$A$5000)=0,"",IF(MIN('Hours Log'!$A$4:$A$5000)+7*(ROW()-10)&gt;MAX('Hours Log'!$A$4:$A$5000),"",MIN('Hours Log'!$A$4:$A$5000)+7*(ROW()-10)))</f>
        <v/>
      </c>
    </row>
    <row r="44">
      <c r="A44" s="15">
        <f>IF($J44="","",YEAR($J44-WEEKDAY($J44,2)+4)&amp;"-W"&amp;TEXT(WEEKNUM($J44,21),"00"))</f>
        <v/>
      </c>
      <c r="B44" s="40">
        <f>IF($J44="","",COUNTIFS(Roster!$D$4:$D$500,"Active",Roster!$C$4:$C$500,"&lt;="&amp;$J44))</f>
        <v/>
      </c>
      <c r="C44" s="16">
        <f>IF($J44="","",SUMIFS('Hours Log'!$C:$C,'Hours Log'!$A:$A,"&gt;="&amp;$J44,'Hours Log'!$A:$A,"&lt;"&amp;$J44+7)+SUMIFS('Hours Log'!$D:$D,'Hours Log'!$A:$A,"&gt;="&amp;$J44,'Hours Log'!$A:$A,"&lt;"&amp;$J44+7))</f>
        <v/>
      </c>
      <c r="D44" s="16">
        <f>IF($J44="","",SUMIFS('Hours Log'!$D:$D,'Hours Log'!$A:$A,"&gt;="&amp;$J44,'Hours Log'!$A:$A,"&lt;"&amp;$J44+7))</f>
        <v/>
      </c>
      <c r="E44" s="17">
        <f>IF($J44="","",IFERROR(C44/(B44*40),0))</f>
        <v/>
      </c>
      <c r="F44" s="16">
        <f>IF($J44="","",0)</f>
        <v/>
      </c>
      <c r="G44" s="16">
        <f>IF($J44="","",SUMIFS('Hours Log'!$E:$E,'Hours Log'!$A:$A,"&gt;="&amp;$J44,'Hours Log'!$A:$A,"&lt;"&amp;$J44+7))</f>
        <v/>
      </c>
      <c r="H44" s="15" t="n"/>
      <c r="J44">
        <f>IF(COUNT('Hours Log'!$A$4:$A$5000)=0,"",IF(MIN('Hours Log'!$A$4:$A$5000)+7*(ROW()-10)&gt;MAX('Hours Log'!$A$4:$A$5000),"",MIN('Hours Log'!$A$4:$A$5000)+7*(ROW()-10)))</f>
        <v/>
      </c>
    </row>
    <row r="45">
      <c r="A45" s="15">
        <f>IF($J45="","",YEAR($J45-WEEKDAY($J45,2)+4)&amp;"-W"&amp;TEXT(WEEKNUM($J45,21),"00"))</f>
        <v/>
      </c>
      <c r="B45" s="40">
        <f>IF($J45="","",COUNTIFS(Roster!$D$4:$D$500,"Active",Roster!$C$4:$C$500,"&lt;="&amp;$J45))</f>
        <v/>
      </c>
      <c r="C45" s="16">
        <f>IF($J45="","",SUMIFS('Hours Log'!$C:$C,'Hours Log'!$A:$A,"&gt;="&amp;$J45,'Hours Log'!$A:$A,"&lt;"&amp;$J45+7)+SUMIFS('Hours Log'!$D:$D,'Hours Log'!$A:$A,"&gt;="&amp;$J45,'Hours Log'!$A:$A,"&lt;"&amp;$J45+7))</f>
        <v/>
      </c>
      <c r="D45" s="16">
        <f>IF($J45="","",SUMIFS('Hours Log'!$D:$D,'Hours Log'!$A:$A,"&gt;="&amp;$J45,'Hours Log'!$A:$A,"&lt;"&amp;$J45+7))</f>
        <v/>
      </c>
      <c r="E45" s="17">
        <f>IF($J45="","",IFERROR(C45/(B45*40),0))</f>
        <v/>
      </c>
      <c r="F45" s="16">
        <f>IF($J45="","",0)</f>
        <v/>
      </c>
      <c r="G45" s="16">
        <f>IF($J45="","",SUMIFS('Hours Log'!$E:$E,'Hours Log'!$A:$A,"&gt;="&amp;$J45,'Hours Log'!$A:$A,"&lt;"&amp;$J45+7))</f>
        <v/>
      </c>
      <c r="H45" s="15" t="n"/>
      <c r="J45">
        <f>IF(COUNT('Hours Log'!$A$4:$A$5000)=0,"",IF(MIN('Hours Log'!$A$4:$A$5000)+7*(ROW()-10)&gt;MAX('Hours Log'!$A$4:$A$5000),"",MIN('Hours Log'!$A$4:$A$5000)+7*(ROW()-10)))</f>
        <v/>
      </c>
    </row>
    <row r="46">
      <c r="A46" s="15">
        <f>IF($J46="","",YEAR($J46-WEEKDAY($J46,2)+4)&amp;"-W"&amp;TEXT(WEEKNUM($J46,21),"00"))</f>
        <v/>
      </c>
      <c r="B46" s="40">
        <f>IF($J46="","",COUNTIFS(Roster!$D$4:$D$500,"Active",Roster!$C$4:$C$500,"&lt;="&amp;$J46))</f>
        <v/>
      </c>
      <c r="C46" s="16">
        <f>IF($J46="","",SUMIFS('Hours Log'!$C:$C,'Hours Log'!$A:$A,"&gt;="&amp;$J46,'Hours Log'!$A:$A,"&lt;"&amp;$J46+7)+SUMIFS('Hours Log'!$D:$D,'Hours Log'!$A:$A,"&gt;="&amp;$J46,'Hours Log'!$A:$A,"&lt;"&amp;$J46+7))</f>
        <v/>
      </c>
      <c r="D46" s="16">
        <f>IF($J46="","",SUMIFS('Hours Log'!$D:$D,'Hours Log'!$A:$A,"&gt;="&amp;$J46,'Hours Log'!$A:$A,"&lt;"&amp;$J46+7))</f>
        <v/>
      </c>
      <c r="E46" s="17">
        <f>IF($J46="","",IFERROR(C46/(B46*40),0))</f>
        <v/>
      </c>
      <c r="F46" s="16">
        <f>IF($J46="","",0)</f>
        <v/>
      </c>
      <c r="G46" s="16">
        <f>IF($J46="","",SUMIFS('Hours Log'!$E:$E,'Hours Log'!$A:$A,"&gt;="&amp;$J46,'Hours Log'!$A:$A,"&lt;"&amp;$J46+7))</f>
        <v/>
      </c>
      <c r="H46" s="15" t="n"/>
      <c r="J46">
        <f>IF(COUNT('Hours Log'!$A$4:$A$5000)=0,"",IF(MIN('Hours Log'!$A$4:$A$5000)+7*(ROW()-10)&gt;MAX('Hours Log'!$A$4:$A$5000),"",MIN('Hours Log'!$A$4:$A$5000)+7*(ROW()-10)))</f>
        <v/>
      </c>
    </row>
    <row r="47">
      <c r="A47" s="15">
        <f>IF($J47="","",YEAR($J47-WEEKDAY($J47,2)+4)&amp;"-W"&amp;TEXT(WEEKNUM($J47,21),"00"))</f>
        <v/>
      </c>
      <c r="B47" s="40">
        <f>IF($J47="","",COUNTIFS(Roster!$D$4:$D$500,"Active",Roster!$C$4:$C$500,"&lt;="&amp;$J47))</f>
        <v/>
      </c>
      <c r="C47" s="16">
        <f>IF($J47="","",SUMIFS('Hours Log'!$C:$C,'Hours Log'!$A:$A,"&gt;="&amp;$J47,'Hours Log'!$A:$A,"&lt;"&amp;$J47+7)+SUMIFS('Hours Log'!$D:$D,'Hours Log'!$A:$A,"&gt;="&amp;$J47,'Hours Log'!$A:$A,"&lt;"&amp;$J47+7))</f>
        <v/>
      </c>
      <c r="D47" s="16">
        <f>IF($J47="","",SUMIFS('Hours Log'!$D:$D,'Hours Log'!$A:$A,"&gt;="&amp;$J47,'Hours Log'!$A:$A,"&lt;"&amp;$J47+7))</f>
        <v/>
      </c>
      <c r="E47" s="17">
        <f>IF($J47="","",IFERROR(C47/(B47*40),0))</f>
        <v/>
      </c>
      <c r="F47" s="16">
        <f>IF($J47="","",0)</f>
        <v/>
      </c>
      <c r="G47" s="16">
        <f>IF($J47="","",SUMIFS('Hours Log'!$E:$E,'Hours Log'!$A:$A,"&gt;="&amp;$J47,'Hours Log'!$A:$A,"&lt;"&amp;$J47+7))</f>
        <v/>
      </c>
      <c r="H47" s="15" t="inlineStr">
        <is>
          <t>Backfill in progress</t>
        </is>
      </c>
      <c r="J47">
        <f>IF(COUNT('Hours Log'!$A$4:$A$5000)=0,"",IF(MIN('Hours Log'!$A$4:$A$5000)+7*(ROW()-10)&gt;MAX('Hours Log'!$A$4:$A$5000),"",MIN('Hours Log'!$A$4:$A$5000)+7*(ROW()-10)))</f>
        <v/>
      </c>
    </row>
    <row r="48">
      <c r="A48" s="15">
        <f>IF($J48="","",YEAR($J48-WEEKDAY($J48,2)+4)&amp;"-W"&amp;TEXT(WEEKNUM($J48,21),"00"))</f>
        <v/>
      </c>
      <c r="B48" s="40">
        <f>IF($J48="","",COUNTIFS(Roster!$D$4:$D$500,"Active",Roster!$C$4:$C$500,"&lt;="&amp;$J48))</f>
        <v/>
      </c>
      <c r="C48" s="16">
        <f>IF($J48="","",SUMIFS('Hours Log'!$C:$C,'Hours Log'!$A:$A,"&gt;="&amp;$J48,'Hours Log'!$A:$A,"&lt;"&amp;$J48+7)+SUMIFS('Hours Log'!$D:$D,'Hours Log'!$A:$A,"&gt;="&amp;$J48,'Hours Log'!$A:$A,"&lt;"&amp;$J48+7))</f>
        <v/>
      </c>
      <c r="D48" s="16">
        <f>IF($J48="","",SUMIFS('Hours Log'!$D:$D,'Hours Log'!$A:$A,"&gt;="&amp;$J48,'Hours Log'!$A:$A,"&lt;"&amp;$J48+7))</f>
        <v/>
      </c>
      <c r="E48" s="17">
        <f>IF($J48="","",IFERROR(C48/(B48*40),0))</f>
        <v/>
      </c>
      <c r="F48" s="16">
        <f>IF($J48="","",0)</f>
        <v/>
      </c>
      <c r="G48" s="16">
        <f>IF($J48="","",SUMIFS('Hours Log'!$E:$E,'Hours Log'!$A:$A,"&gt;="&amp;$J48,'Hours Log'!$A:$A,"&lt;"&amp;$J48+7))</f>
        <v/>
      </c>
      <c r="H48" s="15" t="inlineStr">
        <is>
          <t>Safety training</t>
        </is>
      </c>
      <c r="J48">
        <f>IF(COUNT('Hours Log'!$A$4:$A$5000)=0,"",IF(MIN('Hours Log'!$A$4:$A$5000)+7*(ROW()-10)&gt;MAX('Hours Log'!$A$4:$A$5000),"",MIN('Hours Log'!$A$4:$A$5000)+7*(ROW()-10)))</f>
        <v/>
      </c>
    </row>
    <row r="49">
      <c r="A49" s="15">
        <f>IF($J49="","",YEAR($J49-WEEKDAY($J49,2)+4)&amp;"-W"&amp;TEXT(WEEKNUM($J49,21),"00"))</f>
        <v/>
      </c>
      <c r="B49" s="40">
        <f>IF($J49="","",COUNTIFS(Roster!$D$4:$D$500,"Active",Roster!$C$4:$C$500,"&lt;="&amp;$J49))</f>
        <v/>
      </c>
      <c r="C49" s="16">
        <f>IF($J49="","",SUMIFS('Hours Log'!$C:$C,'Hours Log'!$A:$A,"&gt;="&amp;$J49,'Hours Log'!$A:$A,"&lt;"&amp;$J49+7)+SUMIFS('Hours Log'!$D:$D,'Hours Log'!$A:$A,"&gt;="&amp;$J49,'Hours Log'!$A:$A,"&lt;"&amp;$J49+7))</f>
        <v/>
      </c>
      <c r="D49" s="16">
        <f>IF($J49="","",SUMIFS('Hours Log'!$D:$D,'Hours Log'!$A:$A,"&gt;="&amp;$J49,'Hours Log'!$A:$A,"&lt;"&amp;$J49+7))</f>
        <v/>
      </c>
      <c r="E49" s="17">
        <f>IF($J49="","",IFERROR(C49/(B49*40),0))</f>
        <v/>
      </c>
      <c r="F49" s="16">
        <f>IF($J49="","",0)</f>
        <v/>
      </c>
      <c r="G49" s="16">
        <f>IF($J49="","",SUMIFS('Hours Log'!$E:$E,'Hours Log'!$A:$A,"&gt;="&amp;$J49,'Hours Log'!$A:$A,"&lt;"&amp;$J49+7))</f>
        <v/>
      </c>
      <c r="H49" s="15" t="n"/>
      <c r="J49">
        <f>IF(COUNT('Hours Log'!$A$4:$A$5000)=0,"",IF(MIN('Hours Log'!$A$4:$A$5000)+7*(ROW()-10)&gt;MAX('Hours Log'!$A$4:$A$5000),"",MIN('Hours Log'!$A$4:$A$5000)+7*(ROW()-10)))</f>
        <v/>
      </c>
    </row>
    <row r="50">
      <c r="A50" s="15">
        <f>IF($J50="","",YEAR($J50-WEEKDAY($J50,2)+4)&amp;"-W"&amp;TEXT(WEEKNUM($J50,21),"00"))</f>
        <v/>
      </c>
      <c r="B50" s="40">
        <f>IF($J50="","",COUNTIFS(Roster!$D$4:$D$500,"Active",Roster!$C$4:$C$500,"&lt;="&amp;$J50))</f>
        <v/>
      </c>
      <c r="C50" s="16">
        <f>IF($J50="","",SUMIFS('Hours Log'!$C:$C,'Hours Log'!$A:$A,"&gt;="&amp;$J50,'Hours Log'!$A:$A,"&lt;"&amp;$J50+7)+SUMIFS('Hours Log'!$D:$D,'Hours Log'!$A:$A,"&gt;="&amp;$J50,'Hours Log'!$A:$A,"&lt;"&amp;$J50+7))</f>
        <v/>
      </c>
      <c r="D50" s="16">
        <f>IF($J50="","",SUMIFS('Hours Log'!$D:$D,'Hours Log'!$A:$A,"&gt;="&amp;$J50,'Hours Log'!$A:$A,"&lt;"&amp;$J50+7))</f>
        <v/>
      </c>
      <c r="E50" s="17">
        <f>IF($J50="","",IFERROR(C50/(B50*40),0))</f>
        <v/>
      </c>
      <c r="F50" s="16">
        <f>IF($J50="","",0)</f>
        <v/>
      </c>
      <c r="G50" s="16">
        <f>IF($J50="","",SUMIFS('Hours Log'!$E:$E,'Hours Log'!$A:$A,"&gt;="&amp;$J50,'Hours Log'!$A:$A,"&lt;"&amp;$J50+7))</f>
        <v/>
      </c>
      <c r="H50" s="15" t="n"/>
      <c r="J50">
        <f>IF(COUNT('Hours Log'!$A$4:$A$5000)=0,"",IF(MIN('Hours Log'!$A$4:$A$5000)+7*(ROW()-10)&gt;MAX('Hours Log'!$A$4:$A$5000),"",MIN('Hours Log'!$A$4:$A$5000)+7*(ROW()-10)))</f>
        <v/>
      </c>
    </row>
    <row r="51">
      <c r="A51" s="15">
        <f>IF($J51="","",YEAR($J51-WEEKDAY($J51,2)+4)&amp;"-W"&amp;TEXT(WEEKNUM($J51,21),"00"))</f>
        <v/>
      </c>
      <c r="B51" s="40">
        <f>IF($J51="","",COUNTIFS(Roster!$D$4:$D$500,"Active",Roster!$C$4:$C$500,"&lt;="&amp;$J51))</f>
        <v/>
      </c>
      <c r="C51" s="16">
        <f>IF($J51="","",SUMIFS('Hours Log'!$C:$C,'Hours Log'!$A:$A,"&gt;="&amp;$J51,'Hours Log'!$A:$A,"&lt;"&amp;$J51+7)+SUMIFS('Hours Log'!$D:$D,'Hours Log'!$A:$A,"&gt;="&amp;$J51,'Hours Log'!$A:$A,"&lt;"&amp;$J51+7))</f>
        <v/>
      </c>
      <c r="D51" s="16">
        <f>IF($J51="","",SUMIFS('Hours Log'!$D:$D,'Hours Log'!$A:$A,"&gt;="&amp;$J51,'Hours Log'!$A:$A,"&lt;"&amp;$J51+7))</f>
        <v/>
      </c>
      <c r="E51" s="17">
        <f>IF($J51="","",IFERROR(C51/(B51*40),0))</f>
        <v/>
      </c>
      <c r="F51" s="16">
        <f>IF($J51="","",0)</f>
        <v/>
      </c>
      <c r="G51" s="16">
        <f>IF($J51="","",SUMIFS('Hours Log'!$E:$E,'Hours Log'!$A:$A,"&gt;="&amp;$J51,'Hours Log'!$A:$A,"&lt;"&amp;$J51+7))</f>
        <v/>
      </c>
      <c r="H51" s="15" t="n"/>
      <c r="J51">
        <f>IF(COUNT('Hours Log'!$A$4:$A$5000)=0,"",IF(MIN('Hours Log'!$A$4:$A$5000)+7*(ROW()-10)&gt;MAX('Hours Log'!$A$4:$A$5000),"",MIN('Hours Log'!$A$4:$A$5000)+7*(ROW()-10)))</f>
        <v/>
      </c>
    </row>
    <row r="52">
      <c r="A52" s="15">
        <f>IF($J52="","",YEAR($J52-WEEKDAY($J52,2)+4)&amp;"-W"&amp;TEXT(WEEKNUM($J52,21),"00"))</f>
        <v/>
      </c>
      <c r="B52" s="40">
        <f>IF($J52="","",COUNTIFS(Roster!$D$4:$D$500,"Active",Roster!$C$4:$C$500,"&lt;="&amp;$J52))</f>
        <v/>
      </c>
      <c r="C52" s="16">
        <f>IF($J52="","",SUMIFS('Hours Log'!$C:$C,'Hours Log'!$A:$A,"&gt;="&amp;$J52,'Hours Log'!$A:$A,"&lt;"&amp;$J52+7)+SUMIFS('Hours Log'!$D:$D,'Hours Log'!$A:$A,"&gt;="&amp;$J52,'Hours Log'!$A:$A,"&lt;"&amp;$J52+7))</f>
        <v/>
      </c>
      <c r="D52" s="16">
        <f>IF($J52="","",SUMIFS('Hours Log'!$D:$D,'Hours Log'!$A:$A,"&gt;="&amp;$J52,'Hours Log'!$A:$A,"&lt;"&amp;$J52+7))</f>
        <v/>
      </c>
      <c r="E52" s="17">
        <f>IF($J52="","",IFERROR(C52/(B52*40),0))</f>
        <v/>
      </c>
      <c r="F52" s="16">
        <f>IF($J52="","",0)</f>
        <v/>
      </c>
      <c r="G52" s="16">
        <f>IF($J52="","",SUMIFS('Hours Log'!$E:$E,'Hours Log'!$A:$A,"&gt;="&amp;$J52,'Hours Log'!$A:$A,"&lt;"&amp;$J52+7))</f>
        <v/>
      </c>
      <c r="H52" s="15" t="n"/>
      <c r="J52">
        <f>IF(COUNT('Hours Log'!$A$4:$A$5000)=0,"",IF(MIN('Hours Log'!$A$4:$A$5000)+7*(ROW()-10)&gt;MAX('Hours Log'!$A$4:$A$5000),"",MIN('Hours Log'!$A$4:$A$5000)+7*(ROW()-10)))</f>
        <v/>
      </c>
    </row>
    <row r="53">
      <c r="A53" s="15">
        <f>IF($J53="","",YEAR($J53-WEEKDAY($J53,2)+4)&amp;"-W"&amp;TEXT(WEEKNUM($J53,21),"00"))</f>
        <v/>
      </c>
      <c r="B53" s="40">
        <f>IF($J53="","",COUNTIFS(Roster!$D$4:$D$500,"Active",Roster!$C$4:$C$500,"&lt;="&amp;$J53))</f>
        <v/>
      </c>
      <c r="C53" s="16">
        <f>IF($J53="","",SUMIFS('Hours Log'!$C:$C,'Hours Log'!$A:$A,"&gt;="&amp;$J53,'Hours Log'!$A:$A,"&lt;"&amp;$J53+7)+SUMIFS('Hours Log'!$D:$D,'Hours Log'!$A:$A,"&gt;="&amp;$J53,'Hours Log'!$A:$A,"&lt;"&amp;$J53+7))</f>
        <v/>
      </c>
      <c r="D53" s="16">
        <f>IF($J53="","",SUMIFS('Hours Log'!$D:$D,'Hours Log'!$A:$A,"&gt;="&amp;$J53,'Hours Log'!$A:$A,"&lt;"&amp;$J53+7))</f>
        <v/>
      </c>
      <c r="E53" s="17">
        <f>IF($J53="","",IFERROR(C53/(B53*40),0))</f>
        <v/>
      </c>
      <c r="F53" s="16">
        <f>IF($J53="","",0)</f>
        <v/>
      </c>
      <c r="G53" s="16">
        <f>IF($J53="","",SUMIFS('Hours Log'!$E:$E,'Hours Log'!$A:$A,"&gt;="&amp;$J53,'Hours Log'!$A:$A,"&lt;"&amp;$J53+7))</f>
        <v/>
      </c>
      <c r="H53" s="15" t="n"/>
      <c r="J53">
        <f>IF(COUNT('Hours Log'!$A$4:$A$5000)=0,"",IF(MIN('Hours Log'!$A$4:$A$5000)+7*(ROW()-10)&gt;MAX('Hours Log'!$A$4:$A$5000),"",MIN('Hours Log'!$A$4:$A$5000)+7*(ROW()-10)))</f>
        <v/>
      </c>
    </row>
    <row r="54">
      <c r="A54" s="15">
        <f>IF($J54="","",YEAR($J54-WEEKDAY($J54,2)+4)&amp;"-W"&amp;TEXT(WEEKNUM($J54,21),"00"))</f>
        <v/>
      </c>
      <c r="B54" s="40">
        <f>IF($J54="","",COUNTIFS(Roster!$D$4:$D$500,"Active",Roster!$C$4:$C$500,"&lt;="&amp;$J54))</f>
        <v/>
      </c>
      <c r="C54" s="16">
        <f>IF($J54="","",SUMIFS('Hours Log'!$C:$C,'Hours Log'!$A:$A,"&gt;="&amp;$J54,'Hours Log'!$A:$A,"&lt;"&amp;$J54+7)+SUMIFS('Hours Log'!$D:$D,'Hours Log'!$A:$A,"&gt;="&amp;$J54,'Hours Log'!$A:$A,"&lt;"&amp;$J54+7))</f>
        <v/>
      </c>
      <c r="D54" s="16">
        <f>IF($J54="","",SUMIFS('Hours Log'!$D:$D,'Hours Log'!$A:$A,"&gt;="&amp;$J54,'Hours Log'!$A:$A,"&lt;"&amp;$J54+7))</f>
        <v/>
      </c>
      <c r="E54" s="17">
        <f>IF($J54="","",IFERROR(C54/(B54*40),0))</f>
        <v/>
      </c>
      <c r="F54" s="16">
        <f>IF($J54="","",0)</f>
        <v/>
      </c>
      <c r="G54" s="16">
        <f>IF($J54="","",SUMIFS('Hours Log'!$E:$E,'Hours Log'!$A:$A,"&gt;="&amp;$J54,'Hours Log'!$A:$A,"&lt;"&amp;$J54+7))</f>
        <v/>
      </c>
      <c r="H54" s="15" t="n"/>
      <c r="J54">
        <f>IF(COUNT('Hours Log'!$A$4:$A$5000)=0,"",IF(MIN('Hours Log'!$A$4:$A$5000)+7*(ROW()-10)&gt;MAX('Hours Log'!$A$4:$A$5000),"",MIN('Hours Log'!$A$4:$A$5000)+7*(ROW()-10)))</f>
        <v/>
      </c>
    </row>
    <row r="55">
      <c r="A55" s="15">
        <f>IF($J55="","",YEAR($J55-WEEKDAY($J55,2)+4)&amp;"-W"&amp;TEXT(WEEKNUM($J55,21),"00"))</f>
        <v/>
      </c>
      <c r="B55" s="40">
        <f>IF($J55="","",COUNTIFS(Roster!$D$4:$D$500,"Active",Roster!$C$4:$C$500,"&lt;="&amp;$J55))</f>
        <v/>
      </c>
      <c r="C55" s="16">
        <f>IF($J55="","",SUMIFS('Hours Log'!$C:$C,'Hours Log'!$A:$A,"&gt;="&amp;$J55,'Hours Log'!$A:$A,"&lt;"&amp;$J55+7)+SUMIFS('Hours Log'!$D:$D,'Hours Log'!$A:$A,"&gt;="&amp;$J55,'Hours Log'!$A:$A,"&lt;"&amp;$J55+7))</f>
        <v/>
      </c>
      <c r="D55" s="16">
        <f>IF($J55="","",SUMIFS('Hours Log'!$D:$D,'Hours Log'!$A:$A,"&gt;="&amp;$J55,'Hours Log'!$A:$A,"&lt;"&amp;$J55+7))</f>
        <v/>
      </c>
      <c r="E55" s="17">
        <f>IF($J55="","",IFERROR(C55/(B55*40),0))</f>
        <v/>
      </c>
      <c r="F55" s="16">
        <f>IF($J55="","",0)</f>
        <v/>
      </c>
      <c r="G55" s="16">
        <f>IF($J55="","",SUMIFS('Hours Log'!$E:$E,'Hours Log'!$A:$A,"&gt;="&amp;$J55,'Hours Log'!$A:$A,"&lt;"&amp;$J55+7))</f>
        <v/>
      </c>
      <c r="H55" s="15" t="n"/>
      <c r="J55">
        <f>IF(COUNT('Hours Log'!$A$4:$A$5000)=0,"",IF(MIN('Hours Log'!$A$4:$A$5000)+7*(ROW()-10)&gt;MAX('Hours Log'!$A$4:$A$5000),"",MIN('Hours Log'!$A$4:$A$5000)+7*(ROW()-10)))</f>
        <v/>
      </c>
    </row>
    <row r="56">
      <c r="A56" s="15">
        <f>IF($J56="","",YEAR($J56-WEEKDAY($J56,2)+4)&amp;"-W"&amp;TEXT(WEEKNUM($J56,21),"00"))</f>
        <v/>
      </c>
      <c r="B56" s="40">
        <f>IF($J56="","",COUNTIFS(Roster!$D$4:$D$500,"Active",Roster!$C$4:$C$500,"&lt;="&amp;$J56))</f>
        <v/>
      </c>
      <c r="C56" s="16">
        <f>IF($J56="","",SUMIFS('Hours Log'!$C:$C,'Hours Log'!$A:$A,"&gt;="&amp;$J56,'Hours Log'!$A:$A,"&lt;"&amp;$J56+7)+SUMIFS('Hours Log'!$D:$D,'Hours Log'!$A:$A,"&gt;="&amp;$J56,'Hours Log'!$A:$A,"&lt;"&amp;$J56+7))</f>
        <v/>
      </c>
      <c r="D56" s="16">
        <f>IF($J56="","",SUMIFS('Hours Log'!$D:$D,'Hours Log'!$A:$A,"&gt;="&amp;$J56,'Hours Log'!$A:$A,"&lt;"&amp;$J56+7))</f>
        <v/>
      </c>
      <c r="E56" s="17">
        <f>IF($J56="","",IFERROR(C56/(B56*40),0))</f>
        <v/>
      </c>
      <c r="F56" s="16">
        <f>IF($J56="","",0)</f>
        <v/>
      </c>
      <c r="G56" s="16">
        <f>IF($J56="","",SUMIFS('Hours Log'!$E:$E,'Hours Log'!$A:$A,"&gt;="&amp;$J56,'Hours Log'!$A:$A,"&lt;"&amp;$J56+7))</f>
        <v/>
      </c>
      <c r="H56" s="15" t="n"/>
      <c r="J56">
        <f>IF(COUNT('Hours Log'!$A$4:$A$5000)=0,"",IF(MIN('Hours Log'!$A$4:$A$5000)+7*(ROW()-10)&gt;MAX('Hours Log'!$A$4:$A$5000),"",MIN('Hours Log'!$A$4:$A$5000)+7*(ROW()-10)))</f>
        <v/>
      </c>
    </row>
    <row r="57">
      <c r="A57" s="15">
        <f>IF($J57="","",YEAR($J57-WEEKDAY($J57,2)+4)&amp;"-W"&amp;TEXT(WEEKNUM($J57,21),"00"))</f>
        <v/>
      </c>
      <c r="B57" s="40">
        <f>IF($J57="","",COUNTIFS(Roster!$D$4:$D$500,"Active",Roster!$C$4:$C$500,"&lt;="&amp;$J57))</f>
        <v/>
      </c>
      <c r="C57" s="16">
        <f>IF($J57="","",SUMIFS('Hours Log'!$C:$C,'Hours Log'!$A:$A,"&gt;="&amp;$J57,'Hours Log'!$A:$A,"&lt;"&amp;$J57+7)+SUMIFS('Hours Log'!$D:$D,'Hours Log'!$A:$A,"&gt;="&amp;$J57,'Hours Log'!$A:$A,"&lt;"&amp;$J57+7))</f>
        <v/>
      </c>
      <c r="D57" s="16">
        <f>IF($J57="","",SUMIFS('Hours Log'!$D:$D,'Hours Log'!$A:$A,"&gt;="&amp;$J57,'Hours Log'!$A:$A,"&lt;"&amp;$J57+7))</f>
        <v/>
      </c>
      <c r="E57" s="17">
        <f>IF($J57="","",IFERROR(C57/(B57*40),0))</f>
        <v/>
      </c>
      <c r="F57" s="16">
        <f>IF($J57="","",0)</f>
        <v/>
      </c>
      <c r="G57" s="16">
        <f>IF($J57="","",SUMIFS('Hours Log'!$E:$E,'Hours Log'!$A:$A,"&gt;="&amp;$J57,'Hours Log'!$A:$A,"&lt;"&amp;$J57+7))</f>
        <v/>
      </c>
      <c r="H57" s="15" t="n"/>
      <c r="J57">
        <f>IF(COUNT('Hours Log'!$A$4:$A$5000)=0,"",IF(MIN('Hours Log'!$A$4:$A$5000)+7*(ROW()-10)&gt;MAX('Hours Log'!$A$4:$A$5000),"",MIN('Hours Log'!$A$4:$A$5000)+7*(ROW()-10)))</f>
        <v/>
      </c>
    </row>
    <row r="58">
      <c r="A58" s="15">
        <f>IF($J58="","",YEAR($J58-WEEKDAY($J58,2)+4)&amp;"-W"&amp;TEXT(WEEKNUM($J58,21),"00"))</f>
        <v/>
      </c>
      <c r="B58" s="40">
        <f>IF($J58="","",COUNTIFS(Roster!$D$4:$D$500,"Active",Roster!$C$4:$C$500,"&lt;="&amp;$J58))</f>
        <v/>
      </c>
      <c r="C58" s="16">
        <f>IF($J58="","",SUMIFS('Hours Log'!$C:$C,'Hours Log'!$A:$A,"&gt;="&amp;$J58,'Hours Log'!$A:$A,"&lt;"&amp;$J58+7)+SUMIFS('Hours Log'!$D:$D,'Hours Log'!$A:$A,"&gt;="&amp;$J58,'Hours Log'!$A:$A,"&lt;"&amp;$J58+7))</f>
        <v/>
      </c>
      <c r="D58" s="16">
        <f>IF($J58="","",SUMIFS('Hours Log'!$D:$D,'Hours Log'!$A:$A,"&gt;="&amp;$J58,'Hours Log'!$A:$A,"&lt;"&amp;$J58+7))</f>
        <v/>
      </c>
      <c r="E58" s="17">
        <f>IF($J58="","",IFERROR(C58/(B58*40),0))</f>
        <v/>
      </c>
      <c r="F58" s="16">
        <f>IF($J58="","",0)</f>
        <v/>
      </c>
      <c r="G58" s="16">
        <f>IF($J58="","",SUMIFS('Hours Log'!$E:$E,'Hours Log'!$A:$A,"&gt;="&amp;$J58,'Hours Log'!$A:$A,"&lt;"&amp;$J58+7))</f>
        <v/>
      </c>
      <c r="H58" s="15" t="n"/>
      <c r="J58">
        <f>IF(COUNT('Hours Log'!$A$4:$A$5000)=0,"",IF(MIN('Hours Log'!$A$4:$A$5000)+7*(ROW()-10)&gt;MAX('Hours Log'!$A$4:$A$5000),"",MIN('Hours Log'!$A$4:$A$5000)+7*(ROW()-10)))</f>
        <v/>
      </c>
    </row>
    <row r="59">
      <c r="A59" s="15">
        <f>IF($J59="","",YEAR($J59-WEEKDAY($J59,2)+4)&amp;"-W"&amp;TEXT(WEEKNUM($J59,21),"00"))</f>
        <v/>
      </c>
      <c r="B59" s="40">
        <f>IF($J59="","",COUNTIFS(Roster!$D$4:$D$500,"Active",Roster!$C$4:$C$500,"&lt;="&amp;$J59))</f>
        <v/>
      </c>
      <c r="C59" s="16">
        <f>IF($J59="","",SUMIFS('Hours Log'!$C:$C,'Hours Log'!$A:$A,"&gt;="&amp;$J59,'Hours Log'!$A:$A,"&lt;"&amp;$J59+7)+SUMIFS('Hours Log'!$D:$D,'Hours Log'!$A:$A,"&gt;="&amp;$J59,'Hours Log'!$A:$A,"&lt;"&amp;$J59+7))</f>
        <v/>
      </c>
      <c r="D59" s="16">
        <f>IF($J59="","",SUMIFS('Hours Log'!$D:$D,'Hours Log'!$A:$A,"&gt;="&amp;$J59,'Hours Log'!$A:$A,"&lt;"&amp;$J59+7))</f>
        <v/>
      </c>
      <c r="E59" s="17">
        <f>IF($J59="","",IFERROR(C59/(B59*40),0))</f>
        <v/>
      </c>
      <c r="F59" s="16">
        <f>IF($J59="","",0)</f>
        <v/>
      </c>
      <c r="G59" s="16">
        <f>IF($J59="","",SUMIFS('Hours Log'!$E:$E,'Hours Log'!$A:$A,"&gt;="&amp;$J59,'Hours Log'!$A:$A,"&lt;"&amp;$J59+7))</f>
        <v/>
      </c>
      <c r="H59" s="15" t="n"/>
      <c r="J59">
        <f>IF(COUNT('Hours Log'!$A$4:$A$5000)=0,"",IF(MIN('Hours Log'!$A$4:$A$5000)+7*(ROW()-10)&gt;MAX('Hours Log'!$A$4:$A$5000),"",MIN('Hours Log'!$A$4:$A$5000)+7*(ROW()-10)))</f>
        <v/>
      </c>
    </row>
    <row r="60">
      <c r="A60" s="15">
        <f>IF($J60="","",YEAR($J60-WEEKDAY($J60,2)+4)&amp;"-W"&amp;TEXT(WEEKNUM($J60,21),"00"))</f>
        <v/>
      </c>
      <c r="B60" s="40">
        <f>IF($J60="","",COUNTIFS(Roster!$D$4:$D$500,"Active",Roster!$C$4:$C$500,"&lt;="&amp;$J60))</f>
        <v/>
      </c>
      <c r="C60" s="16">
        <f>IF($J60="","",SUMIFS('Hours Log'!$C:$C,'Hours Log'!$A:$A,"&gt;="&amp;$J60,'Hours Log'!$A:$A,"&lt;"&amp;$J60+7)+SUMIFS('Hours Log'!$D:$D,'Hours Log'!$A:$A,"&gt;="&amp;$J60,'Hours Log'!$A:$A,"&lt;"&amp;$J60+7))</f>
        <v/>
      </c>
      <c r="D60" s="16">
        <f>IF($J60="","",SUMIFS('Hours Log'!$D:$D,'Hours Log'!$A:$A,"&gt;="&amp;$J60,'Hours Log'!$A:$A,"&lt;"&amp;$J60+7))</f>
        <v/>
      </c>
      <c r="E60" s="17">
        <f>IF($J60="","",IFERROR(C60/(B60*40),0))</f>
        <v/>
      </c>
      <c r="F60" s="16">
        <f>IF($J60="","",0)</f>
        <v/>
      </c>
      <c r="G60" s="16">
        <f>IF($J60="","",SUMIFS('Hours Log'!$E:$E,'Hours Log'!$A:$A,"&gt;="&amp;$J60,'Hours Log'!$A:$A,"&lt;"&amp;$J60+7))</f>
        <v/>
      </c>
      <c r="H60" s="15" t="n"/>
      <c r="J60">
        <f>IF(COUNT('Hours Log'!$A$4:$A$5000)=0,"",IF(MIN('Hours Log'!$A$4:$A$5000)+7*(ROW()-10)&gt;MAX('Hours Log'!$A$4:$A$5000),"",MIN('Hours Log'!$A$4:$A$5000)+7*(ROW()-10)))</f>
        <v/>
      </c>
    </row>
    <row r="61">
      <c r="A61" s="15">
        <f>IF($J61="","",YEAR($J61-WEEKDAY($J61,2)+4)&amp;"-W"&amp;TEXT(WEEKNUM($J61,21),"00"))</f>
        <v/>
      </c>
      <c r="B61" s="40">
        <f>IF($J61="","",COUNTIFS(Roster!$D$4:$D$500,"Active",Roster!$C$4:$C$500,"&lt;="&amp;$J61))</f>
        <v/>
      </c>
      <c r="C61" s="16">
        <f>IF($J61="","",SUMIFS('Hours Log'!$C:$C,'Hours Log'!$A:$A,"&gt;="&amp;$J61,'Hours Log'!$A:$A,"&lt;"&amp;$J61+7)+SUMIFS('Hours Log'!$D:$D,'Hours Log'!$A:$A,"&gt;="&amp;$J61,'Hours Log'!$A:$A,"&lt;"&amp;$J61+7))</f>
        <v/>
      </c>
      <c r="D61" s="16">
        <f>IF($J61="","",SUMIFS('Hours Log'!$D:$D,'Hours Log'!$A:$A,"&gt;="&amp;$J61,'Hours Log'!$A:$A,"&lt;"&amp;$J61+7))</f>
        <v/>
      </c>
      <c r="E61" s="17">
        <f>IF($J61="","",IFERROR(C61/(B61*40),0))</f>
        <v/>
      </c>
      <c r="F61" s="16">
        <f>IF($J61="","",0)</f>
        <v/>
      </c>
      <c r="G61" s="16">
        <f>IF($J61="","",SUMIFS('Hours Log'!$E:$E,'Hours Log'!$A:$A,"&gt;="&amp;$J61,'Hours Log'!$A:$A,"&lt;"&amp;$J61+7))</f>
        <v/>
      </c>
      <c r="H61" s="15" t="inlineStr">
        <is>
          <t>Safety training</t>
        </is>
      </c>
      <c r="J61">
        <f>IF(COUNT('Hours Log'!$A$4:$A$5000)=0,"",IF(MIN('Hours Log'!$A$4:$A$5000)+7*(ROW()-10)&gt;MAX('Hours Log'!$A$4:$A$5000),"",MIN('Hours Log'!$A$4:$A$5000)+7*(ROW()-10)))</f>
        <v/>
      </c>
    </row>
    <row r="62">
      <c r="A62" s="15">
        <f>IF($J62="","",YEAR($J62-WEEKDAY($J62,2)+4)&amp;"-W"&amp;TEXT(WEEKNUM($J62,21),"00"))</f>
        <v/>
      </c>
      <c r="B62" s="40">
        <f>IF($J62="","",COUNTIFS(Roster!$D$4:$D$500,"Active",Roster!$C$4:$C$500,"&lt;="&amp;$J62))</f>
        <v/>
      </c>
      <c r="C62" s="16">
        <f>IF($J62="","",SUMIFS('Hours Log'!$C:$C,'Hours Log'!$A:$A,"&gt;="&amp;$J62,'Hours Log'!$A:$A,"&lt;"&amp;$J62+7)+SUMIFS('Hours Log'!$D:$D,'Hours Log'!$A:$A,"&gt;="&amp;$J62,'Hours Log'!$A:$A,"&lt;"&amp;$J62+7))</f>
        <v/>
      </c>
      <c r="D62" s="16">
        <f>IF($J62="","",SUMIFS('Hours Log'!$D:$D,'Hours Log'!$A:$A,"&gt;="&amp;$J62,'Hours Log'!$A:$A,"&lt;"&amp;$J62+7))</f>
        <v/>
      </c>
      <c r="E62" s="17">
        <f>IF($J62="","",IFERROR(C62/(B62*40),0))</f>
        <v/>
      </c>
      <c r="F62" s="16">
        <f>IF($J62="","",0)</f>
        <v/>
      </c>
      <c r="G62" s="16">
        <f>IF($J62="","",SUMIFS('Hours Log'!$E:$E,'Hours Log'!$A:$A,"&gt;="&amp;$J62,'Hours Log'!$A:$A,"&lt;"&amp;$J62+7))</f>
        <v/>
      </c>
      <c r="H62" s="15" t="n"/>
      <c r="J62">
        <f>IF(COUNT('Hours Log'!$A$4:$A$5000)=0,"",IF(MIN('Hours Log'!$A$4:$A$5000)+7*(ROW()-10)&gt;MAX('Hours Log'!$A$4:$A$5000),"",MIN('Hours Log'!$A$4:$A$5000)+7*(ROW()-10)))</f>
        <v/>
      </c>
    </row>
    <row r="63">
      <c r="A63" s="15">
        <f>IF($J63="","",YEAR($J63-WEEKDAY($J63,2)+4)&amp;"-W"&amp;TEXT(WEEKNUM($J63,21),"00"))</f>
        <v/>
      </c>
      <c r="B63" s="40">
        <f>IF($J63="","",COUNTIFS(Roster!$D$4:$D$500,"Active",Roster!$C$4:$C$500,"&lt;="&amp;$J63))</f>
        <v/>
      </c>
      <c r="C63" s="16">
        <f>IF($J63="","",SUMIFS('Hours Log'!$C:$C,'Hours Log'!$A:$A,"&gt;="&amp;$J63,'Hours Log'!$A:$A,"&lt;"&amp;$J63+7)+SUMIFS('Hours Log'!$D:$D,'Hours Log'!$A:$A,"&gt;="&amp;$J63,'Hours Log'!$A:$A,"&lt;"&amp;$J63+7))</f>
        <v/>
      </c>
      <c r="D63" s="16">
        <f>IF($J63="","",SUMIFS('Hours Log'!$D:$D,'Hours Log'!$A:$A,"&gt;="&amp;$J63,'Hours Log'!$A:$A,"&lt;"&amp;$J63+7))</f>
        <v/>
      </c>
      <c r="E63" s="17">
        <f>IF($J63="","",IFERROR(C63/(B63*40),0))</f>
        <v/>
      </c>
      <c r="F63" s="16">
        <f>IF($J63="","",0)</f>
        <v/>
      </c>
      <c r="G63" s="16">
        <f>IF($J63="","",SUMIFS('Hours Log'!$E:$E,'Hours Log'!$A:$A,"&gt;="&amp;$J63,'Hours Log'!$A:$A,"&lt;"&amp;$J63+7))</f>
        <v/>
      </c>
      <c r="H63" s="15" t="n"/>
      <c r="J63">
        <f>IF(COUNT('Hours Log'!$A$4:$A$5000)=0,"",IF(MIN('Hours Log'!$A$4:$A$5000)+7*(ROW()-10)&gt;MAX('Hours Log'!$A$4:$A$5000),"",MIN('Hours Log'!$A$4:$A$5000)+7*(ROW()-10)))</f>
        <v/>
      </c>
    </row>
    <row r="64">
      <c r="A64" s="15">
        <f>IF($J64="","",YEAR($J64-WEEKDAY($J64,2)+4)&amp;"-W"&amp;TEXT(WEEKNUM($J64,21),"00"))</f>
        <v/>
      </c>
      <c r="B64" s="40">
        <f>IF($J64="","",COUNTIFS(Roster!$D$4:$D$500,"Active",Roster!$C$4:$C$500,"&lt;="&amp;$J64))</f>
        <v/>
      </c>
      <c r="C64" s="16">
        <f>IF($J64="","",SUMIFS('Hours Log'!$C:$C,'Hours Log'!$A:$A,"&gt;="&amp;$J64,'Hours Log'!$A:$A,"&lt;"&amp;$J64+7)+SUMIFS('Hours Log'!$D:$D,'Hours Log'!$A:$A,"&gt;="&amp;$J64,'Hours Log'!$A:$A,"&lt;"&amp;$J64+7))</f>
        <v/>
      </c>
      <c r="D64" s="16">
        <f>IF($J64="","",SUMIFS('Hours Log'!$D:$D,'Hours Log'!$A:$A,"&gt;="&amp;$J64,'Hours Log'!$A:$A,"&lt;"&amp;$J64+7))</f>
        <v/>
      </c>
      <c r="E64" s="17">
        <f>IF($J64="","",IFERROR(C64/(B64*40),0))</f>
        <v/>
      </c>
      <c r="F64" s="16">
        <f>IF($J64="","",0)</f>
        <v/>
      </c>
      <c r="G64" s="16">
        <f>IF($J64="","",SUMIFS('Hours Log'!$E:$E,'Hours Log'!$A:$A,"&gt;="&amp;$J64,'Hours Log'!$A:$A,"&lt;"&amp;$J64+7))</f>
        <v/>
      </c>
      <c r="H64" s="15" t="n"/>
      <c r="J64">
        <f>IF(COUNT('Hours Log'!$A$4:$A$5000)=0,"",IF(MIN('Hours Log'!$A$4:$A$5000)+7*(ROW()-10)&gt;MAX('Hours Log'!$A$4:$A$5000),"",MIN('Hours Log'!$A$4:$A$5000)+7*(ROW()-10)))</f>
        <v/>
      </c>
    </row>
    <row r="65">
      <c r="A65" s="15">
        <f>IF($J65="","",YEAR($J65-WEEKDAY($J65,2)+4)&amp;"-W"&amp;TEXT(WEEKNUM($J65,21),"00"))</f>
        <v/>
      </c>
      <c r="B65" s="40">
        <f>IF($J65="","",COUNTIFS(Roster!$D$4:$D$500,"Active",Roster!$C$4:$C$500,"&lt;="&amp;$J65))</f>
        <v/>
      </c>
      <c r="C65" s="16">
        <f>IF($J65="","",SUMIFS('Hours Log'!$C:$C,'Hours Log'!$A:$A,"&gt;="&amp;$J65,'Hours Log'!$A:$A,"&lt;"&amp;$J65+7)+SUMIFS('Hours Log'!$D:$D,'Hours Log'!$A:$A,"&gt;="&amp;$J65,'Hours Log'!$A:$A,"&lt;"&amp;$J65+7))</f>
        <v/>
      </c>
      <c r="D65" s="16">
        <f>IF($J65="","",SUMIFS('Hours Log'!$D:$D,'Hours Log'!$A:$A,"&gt;="&amp;$J65,'Hours Log'!$A:$A,"&lt;"&amp;$J65+7))</f>
        <v/>
      </c>
      <c r="E65" s="17">
        <f>IF($J65="","",IFERROR(C65/(B65*40),0))</f>
        <v/>
      </c>
      <c r="F65" s="16">
        <f>IF($J65="","",0)</f>
        <v/>
      </c>
      <c r="G65" s="16">
        <f>IF($J65="","",SUMIFS('Hours Log'!$E:$E,'Hours Log'!$A:$A,"&gt;="&amp;$J65,'Hours Log'!$A:$A,"&lt;"&amp;$J65+7))</f>
        <v/>
      </c>
      <c r="H65" s="15" t="n"/>
      <c r="J65">
        <f>IF(COUNT('Hours Log'!$A$4:$A$5000)=0,"",IF(MIN('Hours Log'!$A$4:$A$5000)+7*(ROW()-10)&gt;MAX('Hours Log'!$A$4:$A$5000),"",MIN('Hours Log'!$A$4:$A$5000)+7*(ROW()-10)))</f>
        <v/>
      </c>
    </row>
    <row r="66">
      <c r="A66" s="15">
        <f>IF($J66="","",YEAR($J66-WEEKDAY($J66,2)+4)&amp;"-W"&amp;TEXT(WEEKNUM($J66,21),"00"))</f>
        <v/>
      </c>
      <c r="B66" s="40">
        <f>IF($J66="","",COUNTIFS(Roster!$D$4:$D$500,"Active",Roster!$C$4:$C$500,"&lt;="&amp;$J66))</f>
        <v/>
      </c>
      <c r="C66" s="16">
        <f>IF($J66="","",SUMIFS('Hours Log'!$C:$C,'Hours Log'!$A:$A,"&gt;="&amp;$J66,'Hours Log'!$A:$A,"&lt;"&amp;$J66+7)+SUMIFS('Hours Log'!$D:$D,'Hours Log'!$A:$A,"&gt;="&amp;$J66,'Hours Log'!$A:$A,"&lt;"&amp;$J66+7))</f>
        <v/>
      </c>
      <c r="D66" s="16">
        <f>IF($J66="","",SUMIFS('Hours Log'!$D:$D,'Hours Log'!$A:$A,"&gt;="&amp;$J66,'Hours Log'!$A:$A,"&lt;"&amp;$J66+7))</f>
        <v/>
      </c>
      <c r="E66" s="17">
        <f>IF($J66="","",IFERROR(C66/(B66*40),0))</f>
        <v/>
      </c>
      <c r="F66" s="16">
        <f>IF($J66="","",0)</f>
        <v/>
      </c>
      <c r="G66" s="16">
        <f>IF($J66="","",SUMIFS('Hours Log'!$E:$E,'Hours Log'!$A:$A,"&gt;="&amp;$J66,'Hours Log'!$A:$A,"&lt;"&amp;$J66+7))</f>
        <v/>
      </c>
      <c r="H66" s="15" t="n"/>
      <c r="J66">
        <f>IF(COUNT('Hours Log'!$A$4:$A$5000)=0,"",IF(MIN('Hours Log'!$A$4:$A$5000)+7*(ROW()-10)&gt;MAX('Hours Log'!$A$4:$A$5000),"",MIN('Hours Log'!$A$4:$A$5000)+7*(ROW()-10)))</f>
        <v/>
      </c>
    </row>
    <row r="67">
      <c r="A67" s="15">
        <f>IF($J67="","",YEAR($J67-WEEKDAY($J67,2)+4)&amp;"-W"&amp;TEXT(WEEKNUM($J67,21),"00"))</f>
        <v/>
      </c>
      <c r="B67" s="40">
        <f>IF($J67="","",COUNTIFS(Roster!$D$4:$D$500,"Active",Roster!$C$4:$C$500,"&lt;="&amp;$J67))</f>
        <v/>
      </c>
      <c r="C67" s="16">
        <f>IF($J67="","",SUMIFS('Hours Log'!$C:$C,'Hours Log'!$A:$A,"&gt;="&amp;$J67,'Hours Log'!$A:$A,"&lt;"&amp;$J67+7)+SUMIFS('Hours Log'!$D:$D,'Hours Log'!$A:$A,"&gt;="&amp;$J67,'Hours Log'!$A:$A,"&lt;"&amp;$J67+7))</f>
        <v/>
      </c>
      <c r="D67" s="16">
        <f>IF($J67="","",SUMIFS('Hours Log'!$D:$D,'Hours Log'!$A:$A,"&gt;="&amp;$J67,'Hours Log'!$A:$A,"&lt;"&amp;$J67+7))</f>
        <v/>
      </c>
      <c r="E67" s="17">
        <f>IF($J67="","",IFERROR(C67/(B67*40),0))</f>
        <v/>
      </c>
      <c r="F67" s="16">
        <f>IF($J67="","",0)</f>
        <v/>
      </c>
      <c r="G67" s="16">
        <f>IF($J67="","",SUMIFS('Hours Log'!$E:$E,'Hours Log'!$A:$A,"&gt;="&amp;$J67,'Hours Log'!$A:$A,"&lt;"&amp;$J67+7))</f>
        <v/>
      </c>
      <c r="H67" s="15" t="n"/>
      <c r="J67">
        <f>IF(COUNT('Hours Log'!$A$4:$A$5000)=0,"",IF(MIN('Hours Log'!$A$4:$A$5000)+7*(ROW()-10)&gt;MAX('Hours Log'!$A$4:$A$5000),"",MIN('Hours Log'!$A$4:$A$5000)+7*(ROW()-10)))</f>
        <v/>
      </c>
    </row>
    <row r="68">
      <c r="A68" s="15">
        <f>IF($J68="","",YEAR($J68-WEEKDAY($J68,2)+4)&amp;"-W"&amp;TEXT(WEEKNUM($J68,21),"00"))</f>
        <v/>
      </c>
      <c r="B68" s="40">
        <f>IF($J68="","",COUNTIFS(Roster!$D$4:$D$500,"Active",Roster!$C$4:$C$500,"&lt;="&amp;$J68))</f>
        <v/>
      </c>
      <c r="C68" s="16">
        <f>IF($J68="","",SUMIFS('Hours Log'!$C:$C,'Hours Log'!$A:$A,"&gt;="&amp;$J68,'Hours Log'!$A:$A,"&lt;"&amp;$J68+7)+SUMIFS('Hours Log'!$D:$D,'Hours Log'!$A:$A,"&gt;="&amp;$J68,'Hours Log'!$A:$A,"&lt;"&amp;$J68+7))</f>
        <v/>
      </c>
      <c r="D68" s="16">
        <f>IF($J68="","",SUMIFS('Hours Log'!$D:$D,'Hours Log'!$A:$A,"&gt;="&amp;$J68,'Hours Log'!$A:$A,"&lt;"&amp;$J68+7))</f>
        <v/>
      </c>
      <c r="E68" s="17">
        <f>IF($J68="","",IFERROR(C68/(B68*40),0))</f>
        <v/>
      </c>
      <c r="F68" s="16">
        <f>IF($J68="","",0)</f>
        <v/>
      </c>
      <c r="G68" s="16">
        <f>IF($J68="","",SUMIFS('Hours Log'!$E:$E,'Hours Log'!$A:$A,"&gt;="&amp;$J68,'Hours Log'!$A:$A,"&lt;"&amp;$J68+7))</f>
        <v/>
      </c>
      <c r="H68" s="15" t="n"/>
      <c r="J68">
        <f>IF(COUNT('Hours Log'!$A$4:$A$5000)=0,"",IF(MIN('Hours Log'!$A$4:$A$5000)+7*(ROW()-10)&gt;MAX('Hours Log'!$A$4:$A$5000),"",MIN('Hours Log'!$A$4:$A$5000)+7*(ROW()-10)))</f>
        <v/>
      </c>
    </row>
    <row r="69">
      <c r="A69" s="15">
        <f>IF($J69="","",YEAR($J69-WEEKDAY($J69,2)+4)&amp;"-W"&amp;TEXT(WEEKNUM($J69,21),"00"))</f>
        <v/>
      </c>
      <c r="B69" s="40">
        <f>IF($J69="","",COUNTIFS(Roster!$D$4:$D$500,"Active",Roster!$C$4:$C$500,"&lt;="&amp;$J69))</f>
        <v/>
      </c>
      <c r="C69" s="16">
        <f>IF($J69="","",SUMIFS('Hours Log'!$C:$C,'Hours Log'!$A:$A,"&gt;="&amp;$J69,'Hours Log'!$A:$A,"&lt;"&amp;$J69+7)+SUMIFS('Hours Log'!$D:$D,'Hours Log'!$A:$A,"&gt;="&amp;$J69,'Hours Log'!$A:$A,"&lt;"&amp;$J69+7))</f>
        <v/>
      </c>
      <c r="D69" s="16">
        <f>IF($J69="","",SUMIFS('Hours Log'!$D:$D,'Hours Log'!$A:$A,"&gt;="&amp;$J69,'Hours Log'!$A:$A,"&lt;"&amp;$J69+7))</f>
        <v/>
      </c>
      <c r="E69" s="17">
        <f>IF($J69="","",IFERROR(C69/(B69*40),0))</f>
        <v/>
      </c>
      <c r="F69" s="16">
        <f>IF($J69="","",0)</f>
        <v/>
      </c>
      <c r="G69" s="16">
        <f>IF($J69="","",SUMIFS('Hours Log'!$E:$E,'Hours Log'!$A:$A,"&gt;="&amp;$J69,'Hours Log'!$A:$A,"&lt;"&amp;$J69+7))</f>
        <v/>
      </c>
      <c r="H69" s="15" t="n"/>
      <c r="J69">
        <f>IF(COUNT('Hours Log'!$A$4:$A$5000)=0,"",IF(MIN('Hours Log'!$A$4:$A$5000)+7*(ROW()-10)&gt;MAX('Hours Log'!$A$4:$A$5000),"",MIN('Hours Log'!$A$4:$A$5000)+7*(ROW()-10)))</f>
        <v/>
      </c>
    </row>
    <row r="70">
      <c r="A70" s="15">
        <f>IF($J70="","",YEAR($J70-WEEKDAY($J70,2)+4)&amp;"-W"&amp;TEXT(WEEKNUM($J70,21),"00"))</f>
        <v/>
      </c>
      <c r="B70" s="40">
        <f>IF($J70="","",COUNTIFS(Roster!$D$4:$D$500,"Active",Roster!$C$4:$C$500,"&lt;="&amp;$J70))</f>
        <v/>
      </c>
      <c r="C70" s="16">
        <f>IF($J70="","",SUMIFS('Hours Log'!$C:$C,'Hours Log'!$A:$A,"&gt;="&amp;$J70,'Hours Log'!$A:$A,"&lt;"&amp;$J70+7)+SUMIFS('Hours Log'!$D:$D,'Hours Log'!$A:$A,"&gt;="&amp;$J70,'Hours Log'!$A:$A,"&lt;"&amp;$J70+7))</f>
        <v/>
      </c>
      <c r="D70" s="16">
        <f>IF($J70="","",SUMIFS('Hours Log'!$D:$D,'Hours Log'!$A:$A,"&gt;="&amp;$J70,'Hours Log'!$A:$A,"&lt;"&amp;$J70+7))</f>
        <v/>
      </c>
      <c r="E70" s="17">
        <f>IF($J70="","",IFERROR(C70/(B70*40),0))</f>
        <v/>
      </c>
      <c r="F70" s="16">
        <f>IF($J70="","",0)</f>
        <v/>
      </c>
      <c r="G70" s="16">
        <f>IF($J70="","",SUMIFS('Hours Log'!$E:$E,'Hours Log'!$A:$A,"&gt;="&amp;$J70,'Hours Log'!$A:$A,"&lt;"&amp;$J70+7))</f>
        <v/>
      </c>
      <c r="H70" s="15" t="n"/>
      <c r="J70">
        <f>IF(COUNT('Hours Log'!$A$4:$A$5000)=0,"",IF(MIN('Hours Log'!$A$4:$A$5000)+7*(ROW()-10)&gt;MAX('Hours Log'!$A$4:$A$5000),"",MIN('Hours Log'!$A$4:$A$5000)+7*(ROW()-10)))</f>
        <v/>
      </c>
    </row>
    <row r="71">
      <c r="A71" s="15">
        <f>IF($J71="","",YEAR($J71-WEEKDAY($J71,2)+4)&amp;"-W"&amp;TEXT(WEEKNUM($J71,21),"00"))</f>
        <v/>
      </c>
      <c r="B71" s="40">
        <f>IF($J71="","",COUNTIFS(Roster!$D$4:$D$500,"Active",Roster!$C$4:$C$500,"&lt;="&amp;$J71))</f>
        <v/>
      </c>
      <c r="C71" s="16">
        <f>IF($J71="","",SUMIFS('Hours Log'!$C:$C,'Hours Log'!$A:$A,"&gt;="&amp;$J71,'Hours Log'!$A:$A,"&lt;"&amp;$J71+7)+SUMIFS('Hours Log'!$D:$D,'Hours Log'!$A:$A,"&gt;="&amp;$J71,'Hours Log'!$A:$A,"&lt;"&amp;$J71+7))</f>
        <v/>
      </c>
      <c r="D71" s="16">
        <f>IF($J71="","",SUMIFS('Hours Log'!$D:$D,'Hours Log'!$A:$A,"&gt;="&amp;$J71,'Hours Log'!$A:$A,"&lt;"&amp;$J71+7))</f>
        <v/>
      </c>
      <c r="E71" s="17">
        <f>IF($J71="","",IFERROR(C71/(B71*40),0))</f>
        <v/>
      </c>
      <c r="F71" s="16">
        <f>IF($J71="","",0)</f>
        <v/>
      </c>
      <c r="G71" s="16">
        <f>IF($J71="","",SUMIFS('Hours Log'!$E:$E,'Hours Log'!$A:$A,"&gt;="&amp;$J71,'Hours Log'!$A:$A,"&lt;"&amp;$J71+7))</f>
        <v/>
      </c>
      <c r="H71" s="15" t="n"/>
      <c r="J71">
        <f>IF(COUNT('Hours Log'!$A$4:$A$5000)=0,"",IF(MIN('Hours Log'!$A$4:$A$5000)+7*(ROW()-10)&gt;MAX('Hours Log'!$A$4:$A$5000),"",MIN('Hours Log'!$A$4:$A$5000)+7*(ROW()-10)))</f>
        <v/>
      </c>
    </row>
    <row r="72">
      <c r="A72" s="15">
        <f>IF($J72="","",YEAR($J72-WEEKDAY($J72,2)+4)&amp;"-W"&amp;TEXT(WEEKNUM($J72,21),"00"))</f>
        <v/>
      </c>
      <c r="B72" s="40">
        <f>IF($J72="","",COUNTIFS(Roster!$D$4:$D$500,"Active",Roster!$C$4:$C$500,"&lt;="&amp;$J72))</f>
        <v/>
      </c>
      <c r="C72" s="16">
        <f>IF($J72="","",SUMIFS('Hours Log'!$C:$C,'Hours Log'!$A:$A,"&gt;="&amp;$J72,'Hours Log'!$A:$A,"&lt;"&amp;$J72+7)+SUMIFS('Hours Log'!$D:$D,'Hours Log'!$A:$A,"&gt;="&amp;$J72,'Hours Log'!$A:$A,"&lt;"&amp;$J72+7))</f>
        <v/>
      </c>
      <c r="D72" s="16">
        <f>IF($J72="","",SUMIFS('Hours Log'!$D:$D,'Hours Log'!$A:$A,"&gt;="&amp;$J72,'Hours Log'!$A:$A,"&lt;"&amp;$J72+7))</f>
        <v/>
      </c>
      <c r="E72" s="17">
        <f>IF($J72="","",IFERROR(C72/(B72*40),0))</f>
        <v/>
      </c>
      <c r="F72" s="16">
        <f>IF($J72="","",0)</f>
        <v/>
      </c>
      <c r="G72" s="16">
        <f>IF($J72="","",SUMIFS('Hours Log'!$E:$E,'Hours Log'!$A:$A,"&gt;="&amp;$J72,'Hours Log'!$A:$A,"&lt;"&amp;$J72+7))</f>
        <v/>
      </c>
      <c r="H72" s="15" t="n"/>
      <c r="J72">
        <f>IF(COUNT('Hours Log'!$A$4:$A$5000)=0,"",IF(MIN('Hours Log'!$A$4:$A$5000)+7*(ROW()-10)&gt;MAX('Hours Log'!$A$4:$A$5000),"",MIN('Hours Log'!$A$4:$A$5000)+7*(ROW()-10)))</f>
        <v/>
      </c>
    </row>
    <row r="73">
      <c r="A73" s="15">
        <f>IF($J73="","",YEAR($J73-WEEKDAY($J73,2)+4)&amp;"-W"&amp;TEXT(WEEKNUM($J73,21),"00"))</f>
        <v/>
      </c>
      <c r="B73" s="40">
        <f>IF($J73="","",COUNTIFS(Roster!$D$4:$D$500,"Active",Roster!$C$4:$C$500,"&lt;="&amp;$J73))</f>
        <v/>
      </c>
      <c r="C73" s="16">
        <f>IF($J73="","",SUMIFS('Hours Log'!$C:$C,'Hours Log'!$A:$A,"&gt;="&amp;$J73,'Hours Log'!$A:$A,"&lt;"&amp;$J73+7)+SUMIFS('Hours Log'!$D:$D,'Hours Log'!$A:$A,"&gt;="&amp;$J73,'Hours Log'!$A:$A,"&lt;"&amp;$J73+7))</f>
        <v/>
      </c>
      <c r="D73" s="16">
        <f>IF($J73="","",SUMIFS('Hours Log'!$D:$D,'Hours Log'!$A:$A,"&gt;="&amp;$J73,'Hours Log'!$A:$A,"&lt;"&amp;$J73+7))</f>
        <v/>
      </c>
      <c r="E73" s="17">
        <f>IF($J73="","",IFERROR(C73/(B73*40),0))</f>
        <v/>
      </c>
      <c r="F73" s="16">
        <f>IF($J73="","",0)</f>
        <v/>
      </c>
      <c r="G73" s="16">
        <f>IF($J73="","",SUMIFS('Hours Log'!$E:$E,'Hours Log'!$A:$A,"&gt;="&amp;$J73,'Hours Log'!$A:$A,"&lt;"&amp;$J73+7))</f>
        <v/>
      </c>
      <c r="H73" s="15" t="n"/>
      <c r="J73">
        <f>IF(COUNT('Hours Log'!$A$4:$A$5000)=0,"",IF(MIN('Hours Log'!$A$4:$A$5000)+7*(ROW()-10)&gt;MAX('Hours Log'!$A$4:$A$5000),"",MIN('Hours Log'!$A$4:$A$5000)+7*(ROW()-10)))</f>
        <v/>
      </c>
    </row>
    <row r="74">
      <c r="A74" s="15">
        <f>IF($J74="","",YEAR($J74-WEEKDAY($J74,2)+4)&amp;"-W"&amp;TEXT(WEEKNUM($J74,21),"00"))</f>
        <v/>
      </c>
      <c r="B74" s="40">
        <f>IF($J74="","",COUNTIFS(Roster!$D$4:$D$500,"Active",Roster!$C$4:$C$500,"&lt;="&amp;$J74))</f>
        <v/>
      </c>
      <c r="C74" s="16">
        <f>IF($J74="","",SUMIFS('Hours Log'!$C:$C,'Hours Log'!$A:$A,"&gt;="&amp;$J74,'Hours Log'!$A:$A,"&lt;"&amp;$J74+7)+SUMIFS('Hours Log'!$D:$D,'Hours Log'!$A:$A,"&gt;="&amp;$J74,'Hours Log'!$A:$A,"&lt;"&amp;$J74+7))</f>
        <v/>
      </c>
      <c r="D74" s="16">
        <f>IF($J74="","",SUMIFS('Hours Log'!$D:$D,'Hours Log'!$A:$A,"&gt;="&amp;$J74,'Hours Log'!$A:$A,"&lt;"&amp;$J74+7))</f>
        <v/>
      </c>
      <c r="E74" s="17">
        <f>IF($J74="","",IFERROR(C74/(B74*40),0))</f>
        <v/>
      </c>
      <c r="F74" s="16">
        <f>IF($J74="","",0)</f>
        <v/>
      </c>
      <c r="G74" s="16">
        <f>IF($J74="","",SUMIFS('Hours Log'!$E:$E,'Hours Log'!$A:$A,"&gt;="&amp;$J74,'Hours Log'!$A:$A,"&lt;"&amp;$J74+7))</f>
        <v/>
      </c>
      <c r="H74" s="15" t="inlineStr">
        <is>
          <t>Safety training</t>
        </is>
      </c>
      <c r="J74">
        <f>IF(COUNT('Hours Log'!$A$4:$A$5000)=0,"",IF(MIN('Hours Log'!$A$4:$A$5000)+7*(ROW()-10)&gt;MAX('Hours Log'!$A$4:$A$5000),"",MIN('Hours Log'!$A$4:$A$5000)+7*(ROW()-10)))</f>
        <v/>
      </c>
    </row>
    <row r="75">
      <c r="A75" s="15">
        <f>IF($J75="","",YEAR($J75-WEEKDAY($J75,2)+4)&amp;"-W"&amp;TEXT(WEEKNUM($J75,21),"00"))</f>
        <v/>
      </c>
      <c r="B75" s="40">
        <f>IF($J75="","",COUNTIFS(Roster!$D$4:$D$500,"Active",Roster!$C$4:$C$500,"&lt;="&amp;$J75))</f>
        <v/>
      </c>
      <c r="C75" s="16">
        <f>IF($J75="","",SUMIFS('Hours Log'!$C:$C,'Hours Log'!$A:$A,"&gt;="&amp;$J75,'Hours Log'!$A:$A,"&lt;"&amp;$J75+7)+SUMIFS('Hours Log'!$D:$D,'Hours Log'!$A:$A,"&gt;="&amp;$J75,'Hours Log'!$A:$A,"&lt;"&amp;$J75+7))</f>
        <v/>
      </c>
      <c r="D75" s="16">
        <f>IF($J75="","",SUMIFS('Hours Log'!$D:$D,'Hours Log'!$A:$A,"&gt;="&amp;$J75,'Hours Log'!$A:$A,"&lt;"&amp;$J75+7))</f>
        <v/>
      </c>
      <c r="E75" s="17">
        <f>IF($J75="","",IFERROR(C75/(B75*40),0))</f>
        <v/>
      </c>
      <c r="F75" s="16">
        <f>IF($J75="","",0)</f>
        <v/>
      </c>
      <c r="G75" s="16">
        <f>IF($J75="","",SUMIFS('Hours Log'!$E:$E,'Hours Log'!$A:$A,"&gt;="&amp;$J75,'Hours Log'!$A:$A,"&lt;"&amp;$J75+7))</f>
        <v/>
      </c>
      <c r="H75" s="15" t="n"/>
      <c r="J75">
        <f>IF(COUNT('Hours Log'!$A$4:$A$5000)=0,"",IF(MIN('Hours Log'!$A$4:$A$5000)+7*(ROW()-10)&gt;MAX('Hours Log'!$A$4:$A$5000),"",MIN('Hours Log'!$A$4:$A$5000)+7*(ROW()-10)))</f>
        <v/>
      </c>
    </row>
    <row r="76">
      <c r="A76" s="15">
        <f>IF($J76="","",YEAR($J76-WEEKDAY($J76,2)+4)&amp;"-W"&amp;TEXT(WEEKNUM($J76,21),"00"))</f>
        <v/>
      </c>
      <c r="B76" s="40">
        <f>IF($J76="","",COUNTIFS(Roster!$D$4:$D$500,"Active",Roster!$C$4:$C$500,"&lt;="&amp;$J76))</f>
        <v/>
      </c>
      <c r="C76" s="16">
        <f>IF($J76="","",SUMIFS('Hours Log'!$C:$C,'Hours Log'!$A:$A,"&gt;="&amp;$J76,'Hours Log'!$A:$A,"&lt;"&amp;$J76+7)+SUMIFS('Hours Log'!$D:$D,'Hours Log'!$A:$A,"&gt;="&amp;$J76,'Hours Log'!$A:$A,"&lt;"&amp;$J76+7))</f>
        <v/>
      </c>
      <c r="D76" s="16">
        <f>IF($J76="","",SUMIFS('Hours Log'!$D:$D,'Hours Log'!$A:$A,"&gt;="&amp;$J76,'Hours Log'!$A:$A,"&lt;"&amp;$J76+7))</f>
        <v/>
      </c>
      <c r="E76" s="17">
        <f>IF($J76="","",IFERROR(C76/(B76*40),0))</f>
        <v/>
      </c>
      <c r="F76" s="16">
        <f>IF($J76="","",0)</f>
        <v/>
      </c>
      <c r="G76" s="16">
        <f>IF($J76="","",SUMIFS('Hours Log'!$E:$E,'Hours Log'!$A:$A,"&gt;="&amp;$J76,'Hours Log'!$A:$A,"&lt;"&amp;$J76+7))</f>
        <v/>
      </c>
      <c r="H76" s="15" t="n"/>
      <c r="J76">
        <f>IF(COUNT('Hours Log'!$A$4:$A$5000)=0,"",IF(MIN('Hours Log'!$A$4:$A$5000)+7*(ROW()-10)&gt;MAX('Hours Log'!$A$4:$A$5000),"",MIN('Hours Log'!$A$4:$A$5000)+7*(ROW()-10)))</f>
        <v/>
      </c>
    </row>
    <row r="77">
      <c r="A77" s="15">
        <f>IF($J77="","",YEAR($J77-WEEKDAY($J77,2)+4)&amp;"-W"&amp;TEXT(WEEKNUM($J77,21),"00"))</f>
        <v/>
      </c>
      <c r="B77" s="40">
        <f>IF($J77="","",COUNTIFS(Roster!$D$4:$D$500,"Active",Roster!$C$4:$C$500,"&lt;="&amp;$J77))</f>
        <v/>
      </c>
      <c r="C77" s="16">
        <f>IF($J77="","",SUMIFS('Hours Log'!$C:$C,'Hours Log'!$A:$A,"&gt;="&amp;$J77,'Hours Log'!$A:$A,"&lt;"&amp;$J77+7)+SUMIFS('Hours Log'!$D:$D,'Hours Log'!$A:$A,"&gt;="&amp;$J77,'Hours Log'!$A:$A,"&lt;"&amp;$J77+7))</f>
        <v/>
      </c>
      <c r="D77" s="16">
        <f>IF($J77="","",SUMIFS('Hours Log'!$D:$D,'Hours Log'!$A:$A,"&gt;="&amp;$J77,'Hours Log'!$A:$A,"&lt;"&amp;$J77+7))</f>
        <v/>
      </c>
      <c r="E77" s="17">
        <f>IF($J77="","",IFERROR(C77/(B77*40),0))</f>
        <v/>
      </c>
      <c r="F77" s="16">
        <f>IF($J77="","",0)</f>
        <v/>
      </c>
      <c r="G77" s="16">
        <f>IF($J77="","",SUMIFS('Hours Log'!$E:$E,'Hours Log'!$A:$A,"&gt;="&amp;$J77,'Hours Log'!$A:$A,"&lt;"&amp;$J77+7))</f>
        <v/>
      </c>
      <c r="H77" s="15" t="n"/>
      <c r="J77">
        <f>IF(COUNT('Hours Log'!$A$4:$A$5000)=0,"",IF(MIN('Hours Log'!$A$4:$A$5000)+7*(ROW()-10)&gt;MAX('Hours Log'!$A$4:$A$5000),"",MIN('Hours Log'!$A$4:$A$5000)+7*(ROW()-10)))</f>
        <v/>
      </c>
    </row>
    <row r="78">
      <c r="A78" s="15">
        <f>IF($J78="","",YEAR($J78-WEEKDAY($J78,2)+4)&amp;"-W"&amp;TEXT(WEEKNUM($J78,21),"00"))</f>
        <v/>
      </c>
      <c r="B78" s="40">
        <f>IF($J78="","",COUNTIFS(Roster!$D$4:$D$500,"Active",Roster!$C$4:$C$500,"&lt;="&amp;$J78))</f>
        <v/>
      </c>
      <c r="C78" s="16">
        <f>IF($J78="","",SUMIFS('Hours Log'!$C:$C,'Hours Log'!$A:$A,"&gt;="&amp;$J78,'Hours Log'!$A:$A,"&lt;"&amp;$J78+7)+SUMIFS('Hours Log'!$D:$D,'Hours Log'!$A:$A,"&gt;="&amp;$J78,'Hours Log'!$A:$A,"&lt;"&amp;$J78+7))</f>
        <v/>
      </c>
      <c r="D78" s="16">
        <f>IF($J78="","",SUMIFS('Hours Log'!$D:$D,'Hours Log'!$A:$A,"&gt;="&amp;$J78,'Hours Log'!$A:$A,"&lt;"&amp;$J78+7))</f>
        <v/>
      </c>
      <c r="E78" s="17">
        <f>IF($J78="","",IFERROR(C78/(B78*40),0))</f>
        <v/>
      </c>
      <c r="F78" s="16">
        <f>IF($J78="","",0)</f>
        <v/>
      </c>
      <c r="G78" s="16">
        <f>IF($J78="","",SUMIFS('Hours Log'!$E:$E,'Hours Log'!$A:$A,"&gt;="&amp;$J78,'Hours Log'!$A:$A,"&lt;"&amp;$J78+7))</f>
        <v/>
      </c>
      <c r="H78" s="15" t="n"/>
      <c r="J78">
        <f>IF(COUNT('Hours Log'!$A$4:$A$5000)=0,"",IF(MIN('Hours Log'!$A$4:$A$5000)+7*(ROW()-10)&gt;MAX('Hours Log'!$A$4:$A$5000),"",MIN('Hours Log'!$A$4:$A$5000)+7*(ROW()-10)))</f>
        <v/>
      </c>
    </row>
    <row r="79">
      <c r="A79" s="15">
        <f>IF($J79="","",YEAR($J79-WEEKDAY($J79,2)+4)&amp;"-W"&amp;TEXT(WEEKNUM($J79,21),"00"))</f>
        <v/>
      </c>
      <c r="B79" s="40">
        <f>IF($J79="","",COUNTIFS(Roster!$D$4:$D$500,"Active",Roster!$C$4:$C$500,"&lt;="&amp;$J79))</f>
        <v/>
      </c>
      <c r="C79" s="16">
        <f>IF($J79="","",SUMIFS('Hours Log'!$C:$C,'Hours Log'!$A:$A,"&gt;="&amp;$J79,'Hours Log'!$A:$A,"&lt;"&amp;$J79+7)+SUMIFS('Hours Log'!$D:$D,'Hours Log'!$A:$A,"&gt;="&amp;$J79,'Hours Log'!$A:$A,"&lt;"&amp;$J79+7))</f>
        <v/>
      </c>
      <c r="D79" s="16">
        <f>IF($J79="","",SUMIFS('Hours Log'!$D:$D,'Hours Log'!$A:$A,"&gt;="&amp;$J79,'Hours Log'!$A:$A,"&lt;"&amp;$J79+7))</f>
        <v/>
      </c>
      <c r="E79" s="17">
        <f>IF($J79="","",IFERROR(C79/(B79*40),0))</f>
        <v/>
      </c>
      <c r="F79" s="16">
        <f>IF($J79="","",0)</f>
        <v/>
      </c>
      <c r="G79" s="16">
        <f>IF($J79="","",SUMIFS('Hours Log'!$E:$E,'Hours Log'!$A:$A,"&gt;="&amp;$J79,'Hours Log'!$A:$A,"&lt;"&amp;$J79+7))</f>
        <v/>
      </c>
      <c r="H79" s="15" t="inlineStr">
        <is>
          <t>Backfill in progress</t>
        </is>
      </c>
      <c r="J79">
        <f>IF(COUNT('Hours Log'!$A$4:$A$5000)=0,"",IF(MIN('Hours Log'!$A$4:$A$5000)+7*(ROW()-10)&gt;MAX('Hours Log'!$A$4:$A$5000),"",MIN('Hours Log'!$A$4:$A$5000)+7*(ROW()-10)))</f>
        <v/>
      </c>
    </row>
    <row r="80">
      <c r="A80" s="15">
        <f>IF($J80="","",YEAR($J80-WEEKDAY($J80,2)+4)&amp;"-W"&amp;TEXT(WEEKNUM($J80,21),"00"))</f>
        <v/>
      </c>
      <c r="B80" s="40">
        <f>IF($J80="","",COUNTIFS(Roster!$D$4:$D$500,"Active",Roster!$C$4:$C$500,"&lt;="&amp;$J80))</f>
        <v/>
      </c>
      <c r="C80" s="16">
        <f>IF($J80="","",SUMIFS('Hours Log'!$C:$C,'Hours Log'!$A:$A,"&gt;="&amp;$J80,'Hours Log'!$A:$A,"&lt;"&amp;$J80+7)+SUMIFS('Hours Log'!$D:$D,'Hours Log'!$A:$A,"&gt;="&amp;$J80,'Hours Log'!$A:$A,"&lt;"&amp;$J80+7))</f>
        <v/>
      </c>
      <c r="D80" s="16">
        <f>IF($J80="","",SUMIFS('Hours Log'!$D:$D,'Hours Log'!$A:$A,"&gt;="&amp;$J80,'Hours Log'!$A:$A,"&lt;"&amp;$J80+7))</f>
        <v/>
      </c>
      <c r="E80" s="17">
        <f>IF($J80="","",IFERROR(C80/(B80*40),0))</f>
        <v/>
      </c>
      <c r="F80" s="16">
        <f>IF($J80="","",0)</f>
        <v/>
      </c>
      <c r="G80" s="16">
        <f>IF($J80="","",SUMIFS('Hours Log'!$E:$E,'Hours Log'!$A:$A,"&gt;="&amp;$J80,'Hours Log'!$A:$A,"&lt;"&amp;$J80+7))</f>
        <v/>
      </c>
      <c r="H80" s="15" t="n"/>
      <c r="J80">
        <f>IF(COUNT('Hours Log'!$A$4:$A$5000)=0,"",IF(MIN('Hours Log'!$A$4:$A$5000)+7*(ROW()-10)&gt;MAX('Hours Log'!$A$4:$A$5000),"",MIN('Hours Log'!$A$4:$A$5000)+7*(ROW()-10)))</f>
        <v/>
      </c>
    </row>
    <row r="81">
      <c r="A81" s="15">
        <f>IF($J81="","",YEAR($J81-WEEKDAY($J81,2)+4)&amp;"-W"&amp;TEXT(WEEKNUM($J81,21),"00"))</f>
        <v/>
      </c>
      <c r="B81" s="40">
        <f>IF($J81="","",COUNTIFS(Roster!$D$4:$D$500,"Active",Roster!$C$4:$C$500,"&lt;="&amp;$J81))</f>
        <v/>
      </c>
      <c r="C81" s="16">
        <f>IF($J81="","",SUMIFS('Hours Log'!$C:$C,'Hours Log'!$A:$A,"&gt;="&amp;$J81,'Hours Log'!$A:$A,"&lt;"&amp;$J81+7)+SUMIFS('Hours Log'!$D:$D,'Hours Log'!$A:$A,"&gt;="&amp;$J81,'Hours Log'!$A:$A,"&lt;"&amp;$J81+7))</f>
        <v/>
      </c>
      <c r="D81" s="16">
        <f>IF($J81="","",SUMIFS('Hours Log'!$D:$D,'Hours Log'!$A:$A,"&gt;="&amp;$J81,'Hours Log'!$A:$A,"&lt;"&amp;$J81+7))</f>
        <v/>
      </c>
      <c r="E81" s="17">
        <f>IF($J81="","",IFERROR(C81/(B81*40),0))</f>
        <v/>
      </c>
      <c r="F81" s="16">
        <f>IF($J81="","",0)</f>
        <v/>
      </c>
      <c r="G81" s="16">
        <f>IF($J81="","",SUMIFS('Hours Log'!$E:$E,'Hours Log'!$A:$A,"&gt;="&amp;$J81,'Hours Log'!$A:$A,"&lt;"&amp;$J81+7))</f>
        <v/>
      </c>
      <c r="H81" s="15" t="n"/>
      <c r="J81">
        <f>IF(COUNT('Hours Log'!$A$4:$A$5000)=0,"",IF(MIN('Hours Log'!$A$4:$A$5000)+7*(ROW()-10)&gt;MAX('Hours Log'!$A$4:$A$5000),"",MIN('Hours Log'!$A$4:$A$5000)+7*(ROW()-10)))</f>
        <v/>
      </c>
    </row>
    <row r="82">
      <c r="A82" s="15">
        <f>IF($J82="","",YEAR($J82-WEEKDAY($J82,2)+4)&amp;"-W"&amp;TEXT(WEEKNUM($J82,21),"00"))</f>
        <v/>
      </c>
      <c r="B82" s="40">
        <f>IF($J82="","",COUNTIFS(Roster!$D$4:$D$500,"Active",Roster!$C$4:$C$500,"&lt;="&amp;$J82))</f>
        <v/>
      </c>
      <c r="C82" s="16">
        <f>IF($J82="","",SUMIFS('Hours Log'!$C:$C,'Hours Log'!$A:$A,"&gt;="&amp;$J82,'Hours Log'!$A:$A,"&lt;"&amp;$J82+7)+SUMIFS('Hours Log'!$D:$D,'Hours Log'!$A:$A,"&gt;="&amp;$J82,'Hours Log'!$A:$A,"&lt;"&amp;$J82+7))</f>
        <v/>
      </c>
      <c r="D82" s="16">
        <f>IF($J82="","",SUMIFS('Hours Log'!$D:$D,'Hours Log'!$A:$A,"&gt;="&amp;$J82,'Hours Log'!$A:$A,"&lt;"&amp;$J82+7))</f>
        <v/>
      </c>
      <c r="E82" s="17">
        <f>IF($J82="","",IFERROR(C82/(B82*40),0))</f>
        <v/>
      </c>
      <c r="F82" s="16">
        <f>IF($J82="","",0)</f>
        <v/>
      </c>
      <c r="G82" s="16">
        <f>IF($J82="","",SUMIFS('Hours Log'!$E:$E,'Hours Log'!$A:$A,"&gt;="&amp;$J82,'Hours Log'!$A:$A,"&lt;"&amp;$J82+7))</f>
        <v/>
      </c>
      <c r="H82" s="15" t="n"/>
      <c r="J82">
        <f>IF(COUNT('Hours Log'!$A$4:$A$5000)=0,"",IF(MIN('Hours Log'!$A$4:$A$5000)+7*(ROW()-10)&gt;MAX('Hours Log'!$A$4:$A$5000),"",MIN('Hours Log'!$A$4:$A$5000)+7*(ROW()-10)))</f>
        <v/>
      </c>
    </row>
    <row r="83">
      <c r="A83" s="15">
        <f>IF($J83="","",YEAR($J83-WEEKDAY($J83,2)+4)&amp;"-W"&amp;TEXT(WEEKNUM($J83,21),"00"))</f>
        <v/>
      </c>
      <c r="B83" s="40">
        <f>IF($J83="","",COUNTIFS(Roster!$D$4:$D$500,"Active",Roster!$C$4:$C$500,"&lt;="&amp;$J83))</f>
        <v/>
      </c>
      <c r="C83" s="16">
        <f>IF($J83="","",SUMIFS('Hours Log'!$C:$C,'Hours Log'!$A:$A,"&gt;="&amp;$J83,'Hours Log'!$A:$A,"&lt;"&amp;$J83+7)+SUMIFS('Hours Log'!$D:$D,'Hours Log'!$A:$A,"&gt;="&amp;$J83,'Hours Log'!$A:$A,"&lt;"&amp;$J83+7))</f>
        <v/>
      </c>
      <c r="D83" s="16">
        <f>IF($J83="","",SUMIFS('Hours Log'!$D:$D,'Hours Log'!$A:$A,"&gt;="&amp;$J83,'Hours Log'!$A:$A,"&lt;"&amp;$J83+7))</f>
        <v/>
      </c>
      <c r="E83" s="17">
        <f>IF($J83="","",IFERROR(C83/(B83*40),0))</f>
        <v/>
      </c>
      <c r="F83" s="16">
        <f>IF($J83="","",0)</f>
        <v/>
      </c>
      <c r="G83" s="16">
        <f>IF($J83="","",SUMIFS('Hours Log'!$E:$E,'Hours Log'!$A:$A,"&gt;="&amp;$J83,'Hours Log'!$A:$A,"&lt;"&amp;$J83+7))</f>
        <v/>
      </c>
      <c r="H83" s="15" t="n"/>
      <c r="J83">
        <f>IF(COUNT('Hours Log'!$A$4:$A$5000)=0,"",IF(MIN('Hours Log'!$A$4:$A$5000)+7*(ROW()-10)&gt;MAX('Hours Log'!$A$4:$A$5000),"",MIN('Hours Log'!$A$4:$A$5000)+7*(ROW()-10)))</f>
        <v/>
      </c>
    </row>
    <row r="84">
      <c r="A84" s="15">
        <f>IF($J84="","",YEAR($J84-WEEKDAY($J84,2)+4)&amp;"-W"&amp;TEXT(WEEKNUM($J84,21),"00"))</f>
        <v/>
      </c>
      <c r="B84" s="40">
        <f>IF($J84="","",COUNTIFS(Roster!$D$4:$D$500,"Active",Roster!$C$4:$C$500,"&lt;="&amp;$J84))</f>
        <v/>
      </c>
      <c r="C84" s="16">
        <f>IF($J84="","",SUMIFS('Hours Log'!$C:$C,'Hours Log'!$A:$A,"&gt;="&amp;$J84,'Hours Log'!$A:$A,"&lt;"&amp;$J84+7)+SUMIFS('Hours Log'!$D:$D,'Hours Log'!$A:$A,"&gt;="&amp;$J84,'Hours Log'!$A:$A,"&lt;"&amp;$J84+7))</f>
        <v/>
      </c>
      <c r="D84" s="16">
        <f>IF($J84="","",SUMIFS('Hours Log'!$D:$D,'Hours Log'!$A:$A,"&gt;="&amp;$J84,'Hours Log'!$A:$A,"&lt;"&amp;$J84+7))</f>
        <v/>
      </c>
      <c r="E84" s="17">
        <f>IF($J84="","",IFERROR(C84/(B84*40),0))</f>
        <v/>
      </c>
      <c r="F84" s="16">
        <f>IF($J84="","",0)</f>
        <v/>
      </c>
      <c r="G84" s="16">
        <f>IF($J84="","",SUMIFS('Hours Log'!$E:$E,'Hours Log'!$A:$A,"&gt;="&amp;$J84,'Hours Log'!$A:$A,"&lt;"&amp;$J84+7))</f>
        <v/>
      </c>
      <c r="H84" s="15" t="n"/>
      <c r="J84">
        <f>IF(COUNT('Hours Log'!$A$4:$A$5000)=0,"",IF(MIN('Hours Log'!$A$4:$A$5000)+7*(ROW()-10)&gt;MAX('Hours Log'!$A$4:$A$5000),"",MIN('Hours Log'!$A$4:$A$5000)+7*(ROW()-10)))</f>
        <v/>
      </c>
    </row>
    <row r="85">
      <c r="A85" s="15">
        <f>IF($J85="","",YEAR($J85-WEEKDAY($J85,2)+4)&amp;"-W"&amp;TEXT(WEEKNUM($J85,21),"00"))</f>
        <v/>
      </c>
      <c r="B85" s="40">
        <f>IF($J85="","",COUNTIFS(Roster!$D$4:$D$500,"Active",Roster!$C$4:$C$500,"&lt;="&amp;$J85))</f>
        <v/>
      </c>
      <c r="C85" s="16">
        <f>IF($J85="","",SUMIFS('Hours Log'!$C:$C,'Hours Log'!$A:$A,"&gt;="&amp;$J85,'Hours Log'!$A:$A,"&lt;"&amp;$J85+7)+SUMIFS('Hours Log'!$D:$D,'Hours Log'!$A:$A,"&gt;="&amp;$J85,'Hours Log'!$A:$A,"&lt;"&amp;$J85+7))</f>
        <v/>
      </c>
      <c r="D85" s="16">
        <f>IF($J85="","",SUMIFS('Hours Log'!$D:$D,'Hours Log'!$A:$A,"&gt;="&amp;$J85,'Hours Log'!$A:$A,"&lt;"&amp;$J85+7))</f>
        <v/>
      </c>
      <c r="E85" s="17">
        <f>IF($J85="","",IFERROR(C85/(B85*40),0))</f>
        <v/>
      </c>
      <c r="F85" s="16">
        <f>IF($J85="","",0)</f>
        <v/>
      </c>
      <c r="G85" s="16">
        <f>IF($J85="","",SUMIFS('Hours Log'!$E:$E,'Hours Log'!$A:$A,"&gt;="&amp;$J85,'Hours Log'!$A:$A,"&lt;"&amp;$J85+7))</f>
        <v/>
      </c>
      <c r="H85" s="15" t="n"/>
      <c r="J85">
        <f>IF(COUNT('Hours Log'!$A$4:$A$5000)=0,"",IF(MIN('Hours Log'!$A$4:$A$5000)+7*(ROW()-10)&gt;MAX('Hours Log'!$A$4:$A$5000),"",MIN('Hours Log'!$A$4:$A$5000)+7*(ROW()-10)))</f>
        <v/>
      </c>
    </row>
    <row r="86">
      <c r="A86" s="15">
        <f>IF($J86="","",YEAR($J86-WEEKDAY($J86,2)+4)&amp;"-W"&amp;TEXT(WEEKNUM($J86,21),"00"))</f>
        <v/>
      </c>
      <c r="B86" s="40">
        <f>IF($J86="","",COUNTIFS(Roster!$D$4:$D$500,"Active",Roster!$C$4:$C$500,"&lt;="&amp;$J86))</f>
        <v/>
      </c>
      <c r="C86" s="16">
        <f>IF($J86="","",SUMIFS('Hours Log'!$C:$C,'Hours Log'!$A:$A,"&gt;="&amp;$J86,'Hours Log'!$A:$A,"&lt;"&amp;$J86+7)+SUMIFS('Hours Log'!$D:$D,'Hours Log'!$A:$A,"&gt;="&amp;$J86,'Hours Log'!$A:$A,"&lt;"&amp;$J86+7))</f>
        <v/>
      </c>
      <c r="D86" s="16">
        <f>IF($J86="","",SUMIFS('Hours Log'!$D:$D,'Hours Log'!$A:$A,"&gt;="&amp;$J86,'Hours Log'!$A:$A,"&lt;"&amp;$J86+7))</f>
        <v/>
      </c>
      <c r="E86" s="17">
        <f>IF($J86="","",IFERROR(C86/(B86*40),0))</f>
        <v/>
      </c>
      <c r="F86" s="16">
        <f>IF($J86="","",0)</f>
        <v/>
      </c>
      <c r="G86" s="16">
        <f>IF($J86="","",SUMIFS('Hours Log'!$E:$E,'Hours Log'!$A:$A,"&gt;="&amp;$J86,'Hours Log'!$A:$A,"&lt;"&amp;$J86+7))</f>
        <v/>
      </c>
      <c r="H86" s="15" t="n"/>
      <c r="J86">
        <f>IF(COUNT('Hours Log'!$A$4:$A$5000)=0,"",IF(MIN('Hours Log'!$A$4:$A$5000)+7*(ROW()-10)&gt;MAX('Hours Log'!$A$4:$A$5000),"",MIN('Hours Log'!$A$4:$A$5000)+7*(ROW()-10)))</f>
        <v/>
      </c>
    </row>
    <row r="87">
      <c r="A87" s="15">
        <f>IF($J87="","",YEAR($J87-WEEKDAY($J87,2)+4)&amp;"-W"&amp;TEXT(WEEKNUM($J87,21),"00"))</f>
        <v/>
      </c>
      <c r="B87" s="40">
        <f>IF($J87="","",COUNTIFS(Roster!$D$4:$D$500,"Active",Roster!$C$4:$C$500,"&lt;="&amp;$J87))</f>
        <v/>
      </c>
      <c r="C87" s="16">
        <f>IF($J87="","",SUMIFS('Hours Log'!$C:$C,'Hours Log'!$A:$A,"&gt;="&amp;$J87,'Hours Log'!$A:$A,"&lt;"&amp;$J87+7)+SUMIFS('Hours Log'!$D:$D,'Hours Log'!$A:$A,"&gt;="&amp;$J87,'Hours Log'!$A:$A,"&lt;"&amp;$J87+7))</f>
        <v/>
      </c>
      <c r="D87" s="16">
        <f>IF($J87="","",SUMIFS('Hours Log'!$D:$D,'Hours Log'!$A:$A,"&gt;="&amp;$J87,'Hours Log'!$A:$A,"&lt;"&amp;$J87+7))</f>
        <v/>
      </c>
      <c r="E87" s="17">
        <f>IF($J87="","",IFERROR(C87/(B87*40),0))</f>
        <v/>
      </c>
      <c r="F87" s="16">
        <f>IF($J87="","",0)</f>
        <v/>
      </c>
      <c r="G87" s="16">
        <f>IF($J87="","",SUMIFS('Hours Log'!$E:$E,'Hours Log'!$A:$A,"&gt;="&amp;$J87,'Hours Log'!$A:$A,"&lt;"&amp;$J87+7))</f>
        <v/>
      </c>
      <c r="H87" s="15" t="inlineStr">
        <is>
          <t>Safety training</t>
        </is>
      </c>
      <c r="J87">
        <f>IF(COUNT('Hours Log'!$A$4:$A$5000)=0,"",IF(MIN('Hours Log'!$A$4:$A$5000)+7*(ROW()-10)&gt;MAX('Hours Log'!$A$4:$A$5000),"",MIN('Hours Log'!$A$4:$A$5000)+7*(ROW()-10)))</f>
        <v/>
      </c>
    </row>
    <row r="88">
      <c r="A88" s="15">
        <f>IF($J88="","",YEAR($J88-WEEKDAY($J88,2)+4)&amp;"-W"&amp;TEXT(WEEKNUM($J88,21),"00"))</f>
        <v/>
      </c>
      <c r="B88" s="40">
        <f>IF($J88="","",COUNTIFS(Roster!$D$4:$D$500,"Active",Roster!$C$4:$C$500,"&lt;="&amp;$J88))</f>
        <v/>
      </c>
      <c r="C88" s="16">
        <f>IF($J88="","",SUMIFS('Hours Log'!$C:$C,'Hours Log'!$A:$A,"&gt;="&amp;$J88,'Hours Log'!$A:$A,"&lt;"&amp;$J88+7)+SUMIFS('Hours Log'!$D:$D,'Hours Log'!$A:$A,"&gt;="&amp;$J88,'Hours Log'!$A:$A,"&lt;"&amp;$J88+7))</f>
        <v/>
      </c>
      <c r="D88" s="16">
        <f>IF($J88="","",SUMIFS('Hours Log'!$D:$D,'Hours Log'!$A:$A,"&gt;="&amp;$J88,'Hours Log'!$A:$A,"&lt;"&amp;$J88+7))</f>
        <v/>
      </c>
      <c r="E88" s="17">
        <f>IF($J88="","",IFERROR(C88/(B88*40),0))</f>
        <v/>
      </c>
      <c r="F88" s="16">
        <f>IF($J88="","",0)</f>
        <v/>
      </c>
      <c r="G88" s="16">
        <f>IF($J88="","",SUMIFS('Hours Log'!$E:$E,'Hours Log'!$A:$A,"&gt;="&amp;$J88,'Hours Log'!$A:$A,"&lt;"&amp;$J88+7))</f>
        <v/>
      </c>
      <c r="H88" s="15" t="n"/>
      <c r="J88">
        <f>IF(COUNT('Hours Log'!$A$4:$A$5000)=0,"",IF(MIN('Hours Log'!$A$4:$A$5000)+7*(ROW()-10)&gt;MAX('Hours Log'!$A$4:$A$5000),"",MIN('Hours Log'!$A$4:$A$5000)+7*(ROW()-10)))</f>
        <v/>
      </c>
    </row>
    <row r="89">
      <c r="A89" s="15">
        <f>IF($J89="","",YEAR($J89-WEEKDAY($J89,2)+4)&amp;"-W"&amp;TEXT(WEEKNUM($J89,21),"00"))</f>
        <v/>
      </c>
      <c r="B89" s="40">
        <f>IF($J89="","",COUNTIFS(Roster!$D$4:$D$500,"Active",Roster!$C$4:$C$500,"&lt;="&amp;$J89))</f>
        <v/>
      </c>
      <c r="C89" s="16">
        <f>IF($J89="","",SUMIFS('Hours Log'!$C:$C,'Hours Log'!$A:$A,"&gt;="&amp;$J89,'Hours Log'!$A:$A,"&lt;"&amp;$J89+7)+SUMIFS('Hours Log'!$D:$D,'Hours Log'!$A:$A,"&gt;="&amp;$J89,'Hours Log'!$A:$A,"&lt;"&amp;$J89+7))</f>
        <v/>
      </c>
      <c r="D89" s="16">
        <f>IF($J89="","",SUMIFS('Hours Log'!$D:$D,'Hours Log'!$A:$A,"&gt;="&amp;$J89,'Hours Log'!$A:$A,"&lt;"&amp;$J89+7))</f>
        <v/>
      </c>
      <c r="E89" s="17">
        <f>IF($J89="","",IFERROR(C89/(B89*40),0))</f>
        <v/>
      </c>
      <c r="F89" s="16">
        <f>IF($J89="","",0)</f>
        <v/>
      </c>
      <c r="G89" s="16">
        <f>IF($J89="","",SUMIFS('Hours Log'!$E:$E,'Hours Log'!$A:$A,"&gt;="&amp;$J89,'Hours Log'!$A:$A,"&lt;"&amp;$J89+7))</f>
        <v/>
      </c>
      <c r="H89" s="15" t="n"/>
      <c r="J89">
        <f>IF(COUNT('Hours Log'!$A$4:$A$5000)=0,"",IF(MIN('Hours Log'!$A$4:$A$5000)+7*(ROW()-10)&gt;MAX('Hours Log'!$A$4:$A$5000),"",MIN('Hours Log'!$A$4:$A$5000)+7*(ROW()-10)))</f>
        <v/>
      </c>
    </row>
    <row r="90">
      <c r="A90" s="15">
        <f>IF($J90="","",YEAR($J90-WEEKDAY($J90,2)+4)&amp;"-W"&amp;TEXT(WEEKNUM($J90,21),"00"))</f>
        <v/>
      </c>
      <c r="B90" s="40">
        <f>IF($J90="","",COUNTIFS(Roster!$D$4:$D$500,"Active",Roster!$C$4:$C$500,"&lt;="&amp;$J90))</f>
        <v/>
      </c>
      <c r="C90" s="16">
        <f>IF($J90="","",SUMIFS('Hours Log'!$C:$C,'Hours Log'!$A:$A,"&gt;="&amp;$J90,'Hours Log'!$A:$A,"&lt;"&amp;$J90+7)+SUMIFS('Hours Log'!$D:$D,'Hours Log'!$A:$A,"&gt;="&amp;$J90,'Hours Log'!$A:$A,"&lt;"&amp;$J90+7))</f>
        <v/>
      </c>
      <c r="D90" s="16">
        <f>IF($J90="","",SUMIFS('Hours Log'!$D:$D,'Hours Log'!$A:$A,"&gt;="&amp;$J90,'Hours Log'!$A:$A,"&lt;"&amp;$J90+7))</f>
        <v/>
      </c>
      <c r="E90" s="17">
        <f>IF($J90="","",IFERROR(C90/(B90*40),0))</f>
        <v/>
      </c>
      <c r="F90" s="16">
        <f>IF($J90="","",0)</f>
        <v/>
      </c>
      <c r="G90" s="16">
        <f>IF($J90="","",SUMIFS('Hours Log'!$E:$E,'Hours Log'!$A:$A,"&gt;="&amp;$J90,'Hours Log'!$A:$A,"&lt;"&amp;$J90+7))</f>
        <v/>
      </c>
      <c r="H90" s="15" t="n"/>
      <c r="J90">
        <f>IF(COUNT('Hours Log'!$A$4:$A$5000)=0,"",IF(MIN('Hours Log'!$A$4:$A$5000)+7*(ROW()-10)&gt;MAX('Hours Log'!$A$4:$A$5000),"",MIN('Hours Log'!$A$4:$A$5000)+7*(ROW()-10)))</f>
        <v/>
      </c>
    </row>
    <row r="91">
      <c r="A91" s="15">
        <f>IF($J91="","",YEAR($J91-WEEKDAY($J91,2)+4)&amp;"-W"&amp;TEXT(WEEKNUM($J91,21),"00"))</f>
        <v/>
      </c>
      <c r="B91" s="40">
        <f>IF($J91="","",COUNTIFS(Roster!$D$4:$D$500,"Active",Roster!$C$4:$C$500,"&lt;="&amp;$J91))</f>
        <v/>
      </c>
      <c r="C91" s="16">
        <f>IF($J91="","",SUMIFS('Hours Log'!$C:$C,'Hours Log'!$A:$A,"&gt;="&amp;$J91,'Hours Log'!$A:$A,"&lt;"&amp;$J91+7)+SUMIFS('Hours Log'!$D:$D,'Hours Log'!$A:$A,"&gt;="&amp;$J91,'Hours Log'!$A:$A,"&lt;"&amp;$J91+7))</f>
        <v/>
      </c>
      <c r="D91" s="16">
        <f>IF($J91="","",SUMIFS('Hours Log'!$D:$D,'Hours Log'!$A:$A,"&gt;="&amp;$J91,'Hours Log'!$A:$A,"&lt;"&amp;$J91+7))</f>
        <v/>
      </c>
      <c r="E91" s="17">
        <f>IF($J91="","",IFERROR(C91/(B91*40),0))</f>
        <v/>
      </c>
      <c r="F91" s="16">
        <f>IF($J91="","",0)</f>
        <v/>
      </c>
      <c r="G91" s="16">
        <f>IF($J91="","",SUMIFS('Hours Log'!$E:$E,'Hours Log'!$A:$A,"&gt;="&amp;$J91,'Hours Log'!$A:$A,"&lt;"&amp;$J91+7))</f>
        <v/>
      </c>
      <c r="H91" s="15" t="n"/>
      <c r="J91">
        <f>IF(COUNT('Hours Log'!$A$4:$A$5000)=0,"",IF(MIN('Hours Log'!$A$4:$A$5000)+7*(ROW()-10)&gt;MAX('Hours Log'!$A$4:$A$5000),"",MIN('Hours Log'!$A$4:$A$5000)+7*(ROW()-10)))</f>
        <v/>
      </c>
    </row>
    <row r="92">
      <c r="A92" s="15">
        <f>IF($J92="","",YEAR($J92-WEEKDAY($J92,2)+4)&amp;"-W"&amp;TEXT(WEEKNUM($J92,21),"00"))</f>
        <v/>
      </c>
      <c r="B92" s="40">
        <f>IF($J92="","",COUNTIFS(Roster!$D$4:$D$500,"Active",Roster!$C$4:$C$500,"&lt;="&amp;$J92))</f>
        <v/>
      </c>
      <c r="C92" s="16">
        <f>IF($J92="","",SUMIFS('Hours Log'!$C:$C,'Hours Log'!$A:$A,"&gt;="&amp;$J92,'Hours Log'!$A:$A,"&lt;"&amp;$J92+7)+SUMIFS('Hours Log'!$D:$D,'Hours Log'!$A:$A,"&gt;="&amp;$J92,'Hours Log'!$A:$A,"&lt;"&amp;$J92+7))</f>
        <v/>
      </c>
      <c r="D92" s="16">
        <f>IF($J92="","",SUMIFS('Hours Log'!$D:$D,'Hours Log'!$A:$A,"&gt;="&amp;$J92,'Hours Log'!$A:$A,"&lt;"&amp;$J92+7))</f>
        <v/>
      </c>
      <c r="E92" s="17">
        <f>IF($J92="","",IFERROR(C92/(B92*40),0))</f>
        <v/>
      </c>
      <c r="F92" s="16">
        <f>IF($J92="","",0)</f>
        <v/>
      </c>
      <c r="G92" s="16">
        <f>IF($J92="","",SUMIFS('Hours Log'!$E:$E,'Hours Log'!$A:$A,"&gt;="&amp;$J92,'Hours Log'!$A:$A,"&lt;"&amp;$J92+7))</f>
        <v/>
      </c>
      <c r="H92" s="15" t="n"/>
      <c r="J92">
        <f>IF(COUNT('Hours Log'!$A$4:$A$5000)=0,"",IF(MIN('Hours Log'!$A$4:$A$5000)+7*(ROW()-10)&gt;MAX('Hours Log'!$A$4:$A$5000),"",MIN('Hours Log'!$A$4:$A$5000)+7*(ROW()-10)))</f>
        <v/>
      </c>
    </row>
    <row r="93">
      <c r="A93" s="15">
        <f>IF($J93="","",YEAR($J93-WEEKDAY($J93,2)+4)&amp;"-W"&amp;TEXT(WEEKNUM($J93,21),"00"))</f>
        <v/>
      </c>
      <c r="B93" s="40">
        <f>IF($J93="","",COUNTIFS(Roster!$D$4:$D$500,"Active",Roster!$C$4:$C$500,"&lt;="&amp;$J93))</f>
        <v/>
      </c>
      <c r="C93" s="16">
        <f>IF($J93="","",SUMIFS('Hours Log'!$C:$C,'Hours Log'!$A:$A,"&gt;="&amp;$J93,'Hours Log'!$A:$A,"&lt;"&amp;$J93+7)+SUMIFS('Hours Log'!$D:$D,'Hours Log'!$A:$A,"&gt;="&amp;$J93,'Hours Log'!$A:$A,"&lt;"&amp;$J93+7))</f>
        <v/>
      </c>
      <c r="D93" s="16">
        <f>IF($J93="","",SUMIFS('Hours Log'!$D:$D,'Hours Log'!$A:$A,"&gt;="&amp;$J93,'Hours Log'!$A:$A,"&lt;"&amp;$J93+7))</f>
        <v/>
      </c>
      <c r="E93" s="17">
        <f>IF($J93="","",IFERROR(C93/(B93*40),0))</f>
        <v/>
      </c>
      <c r="F93" s="16">
        <f>IF($J93="","",0)</f>
        <v/>
      </c>
      <c r="G93" s="16">
        <f>IF($J93="","",SUMIFS('Hours Log'!$E:$E,'Hours Log'!$A:$A,"&gt;="&amp;$J93,'Hours Log'!$A:$A,"&lt;"&amp;$J93+7))</f>
        <v/>
      </c>
      <c r="H93" s="15" t="n"/>
      <c r="J93">
        <f>IF(COUNT('Hours Log'!$A$4:$A$5000)=0,"",IF(MIN('Hours Log'!$A$4:$A$5000)+7*(ROW()-10)&gt;MAX('Hours Log'!$A$4:$A$5000),"",MIN('Hours Log'!$A$4:$A$5000)+7*(ROW()-10)))</f>
        <v/>
      </c>
    </row>
    <row r="94">
      <c r="A94" s="15">
        <f>IF($J94="","",YEAR($J94-WEEKDAY($J94,2)+4)&amp;"-W"&amp;TEXT(WEEKNUM($J94,21),"00"))</f>
        <v/>
      </c>
      <c r="B94" s="40">
        <f>IF($J94="","",COUNTIFS(Roster!$D$4:$D$500,"Active",Roster!$C$4:$C$500,"&lt;="&amp;$J94))</f>
        <v/>
      </c>
      <c r="C94" s="16">
        <f>IF($J94="","",SUMIFS('Hours Log'!$C:$C,'Hours Log'!$A:$A,"&gt;="&amp;$J94,'Hours Log'!$A:$A,"&lt;"&amp;$J94+7)+SUMIFS('Hours Log'!$D:$D,'Hours Log'!$A:$A,"&gt;="&amp;$J94,'Hours Log'!$A:$A,"&lt;"&amp;$J94+7))</f>
        <v/>
      </c>
      <c r="D94" s="16">
        <f>IF($J94="","",SUMIFS('Hours Log'!$D:$D,'Hours Log'!$A:$A,"&gt;="&amp;$J94,'Hours Log'!$A:$A,"&lt;"&amp;$J94+7))</f>
        <v/>
      </c>
      <c r="E94" s="17">
        <f>IF($J94="","",IFERROR(C94/(B94*40),0))</f>
        <v/>
      </c>
      <c r="F94" s="16">
        <f>IF($J94="","",0)</f>
        <v/>
      </c>
      <c r="G94" s="16">
        <f>IF($J94="","",SUMIFS('Hours Log'!$E:$E,'Hours Log'!$A:$A,"&gt;="&amp;$J94,'Hours Log'!$A:$A,"&lt;"&amp;$J94+7))</f>
        <v/>
      </c>
      <c r="H94" s="15" t="n"/>
      <c r="J94">
        <f>IF(COUNT('Hours Log'!$A$4:$A$5000)=0,"",IF(MIN('Hours Log'!$A$4:$A$5000)+7*(ROW()-10)&gt;MAX('Hours Log'!$A$4:$A$5000),"",MIN('Hours Log'!$A$4:$A$5000)+7*(ROW()-10)))</f>
        <v/>
      </c>
    </row>
    <row r="95">
      <c r="A95">
        <f>IF($J95="","",YEAR($J95-WEEKDAY($J95,2)+4)&amp;"-W"&amp;TEXT(WEEKNUM($J95,21),"00"))</f>
        <v/>
      </c>
      <c r="B95" s="41">
        <f>IF($J95="","",COUNTIFS(Roster!$D$4:$D$500,"Active",Roster!$C$4:$C$500,"&lt;="&amp;$J95))</f>
        <v/>
      </c>
      <c r="C95">
        <f>IF($J95="","",SUMIFS('Hours Log'!$C:$C,'Hours Log'!$A:$A,"&gt;="&amp;$J95,'Hours Log'!$A:$A,"&lt;"&amp;$J95+7)+SUMIFS('Hours Log'!$D:$D,'Hours Log'!$A:$A,"&gt;="&amp;$J95,'Hours Log'!$A:$A,"&lt;"&amp;$J95+7))</f>
        <v/>
      </c>
      <c r="D95">
        <f>IF($J95="","",SUMIFS('Hours Log'!$D:$D,'Hours Log'!$A:$A,"&gt;="&amp;$J95,'Hours Log'!$A:$A,"&lt;"&amp;$J95+7))</f>
        <v/>
      </c>
      <c r="E95">
        <f>IF($J95="","",IFERROR(C95/(B95*40),0))</f>
        <v/>
      </c>
      <c r="F95">
        <f>IF($J95="","",0)</f>
        <v/>
      </c>
      <c r="G95">
        <f>IF($J95="","",SUMIFS('Hours Log'!$E:$E,'Hours Log'!$A:$A,"&gt;="&amp;$J95,'Hours Log'!$A:$A,"&lt;"&amp;$J95+7))</f>
        <v/>
      </c>
      <c r="J95">
        <f>IF(COUNT('Hours Log'!$A$4:$A$5000)=0,"",IF(MIN('Hours Log'!$A$4:$A$5000)+7*(ROW()-10)&gt;MAX('Hours Log'!$A$4:$A$5000),"",MIN('Hours Log'!$A$4:$A$5000)+7*(ROW()-10)))</f>
        <v/>
      </c>
    </row>
    <row r="96">
      <c r="A96">
        <f>IF($J96="","",YEAR($J96-WEEKDAY($J96,2)+4)&amp;"-W"&amp;TEXT(WEEKNUM($J96,21),"00"))</f>
        <v/>
      </c>
      <c r="B96" s="41">
        <f>IF($J96="","",COUNTIFS(Roster!$D$4:$D$500,"Active",Roster!$C$4:$C$500,"&lt;="&amp;$J96))</f>
        <v/>
      </c>
      <c r="C96">
        <f>IF($J96="","",SUMIFS('Hours Log'!$C:$C,'Hours Log'!$A:$A,"&gt;="&amp;$J96,'Hours Log'!$A:$A,"&lt;"&amp;$J96+7)+SUMIFS('Hours Log'!$D:$D,'Hours Log'!$A:$A,"&gt;="&amp;$J96,'Hours Log'!$A:$A,"&lt;"&amp;$J96+7))</f>
        <v/>
      </c>
      <c r="D96">
        <f>IF($J96="","",SUMIFS('Hours Log'!$D:$D,'Hours Log'!$A:$A,"&gt;="&amp;$J96,'Hours Log'!$A:$A,"&lt;"&amp;$J96+7))</f>
        <v/>
      </c>
      <c r="E96">
        <f>IF($J96="","",IFERROR(C96/(B96*40),0))</f>
        <v/>
      </c>
      <c r="F96">
        <f>IF($J96="","",0)</f>
        <v/>
      </c>
      <c r="G96">
        <f>IF($J96="","",SUMIFS('Hours Log'!$E:$E,'Hours Log'!$A:$A,"&gt;="&amp;$J96,'Hours Log'!$A:$A,"&lt;"&amp;$J96+7))</f>
        <v/>
      </c>
      <c r="J96">
        <f>IF(COUNT('Hours Log'!$A$4:$A$5000)=0,"",IF(MIN('Hours Log'!$A$4:$A$5000)+7*(ROW()-10)&gt;MAX('Hours Log'!$A$4:$A$5000),"",MIN('Hours Log'!$A$4:$A$5000)+7*(ROW()-10)))</f>
        <v/>
      </c>
    </row>
    <row r="97">
      <c r="A97">
        <f>IF($J97="","",YEAR($J97-WEEKDAY($J97,2)+4)&amp;"-W"&amp;TEXT(WEEKNUM($J97,21),"00"))</f>
        <v/>
      </c>
      <c r="B97" s="41">
        <f>IF($J97="","",COUNTIFS(Roster!$D$4:$D$500,"Active",Roster!$C$4:$C$500,"&lt;="&amp;$J97))</f>
        <v/>
      </c>
      <c r="C97">
        <f>IF($J97="","",SUMIFS('Hours Log'!$C:$C,'Hours Log'!$A:$A,"&gt;="&amp;$J97,'Hours Log'!$A:$A,"&lt;"&amp;$J97+7)+SUMIFS('Hours Log'!$D:$D,'Hours Log'!$A:$A,"&gt;="&amp;$J97,'Hours Log'!$A:$A,"&lt;"&amp;$J97+7))</f>
        <v/>
      </c>
      <c r="D97">
        <f>IF($J97="","",SUMIFS('Hours Log'!$D:$D,'Hours Log'!$A:$A,"&gt;="&amp;$J97,'Hours Log'!$A:$A,"&lt;"&amp;$J97+7))</f>
        <v/>
      </c>
      <c r="E97">
        <f>IF($J97="","",IFERROR(C97/(B97*40),0))</f>
        <v/>
      </c>
      <c r="F97">
        <f>IF($J97="","",0)</f>
        <v/>
      </c>
      <c r="G97">
        <f>IF($J97="","",SUMIFS('Hours Log'!$E:$E,'Hours Log'!$A:$A,"&gt;="&amp;$J97,'Hours Log'!$A:$A,"&lt;"&amp;$J97+7))</f>
        <v/>
      </c>
      <c r="J97">
        <f>IF(COUNT('Hours Log'!$A$4:$A$5000)=0,"",IF(MIN('Hours Log'!$A$4:$A$5000)+7*(ROW()-10)&gt;MAX('Hours Log'!$A$4:$A$5000),"",MIN('Hours Log'!$A$4:$A$5000)+7*(ROW()-10)))</f>
        <v/>
      </c>
    </row>
    <row r="98">
      <c r="A98">
        <f>IF($J98="","",YEAR($J98-WEEKDAY($J98,2)+4)&amp;"-W"&amp;TEXT(WEEKNUM($J98,21),"00"))</f>
        <v/>
      </c>
      <c r="B98" s="41">
        <f>IF($J98="","",COUNTIFS(Roster!$D$4:$D$500,"Active",Roster!$C$4:$C$500,"&lt;="&amp;$J98))</f>
        <v/>
      </c>
      <c r="C98">
        <f>IF($J98="","",SUMIFS('Hours Log'!$C:$C,'Hours Log'!$A:$A,"&gt;="&amp;$J98,'Hours Log'!$A:$A,"&lt;"&amp;$J98+7)+SUMIFS('Hours Log'!$D:$D,'Hours Log'!$A:$A,"&gt;="&amp;$J98,'Hours Log'!$A:$A,"&lt;"&amp;$J98+7))</f>
        <v/>
      </c>
      <c r="D98">
        <f>IF($J98="","",SUMIFS('Hours Log'!$D:$D,'Hours Log'!$A:$A,"&gt;="&amp;$J98,'Hours Log'!$A:$A,"&lt;"&amp;$J98+7))</f>
        <v/>
      </c>
      <c r="E98">
        <f>IF($J98="","",IFERROR(C98/(B98*40),0))</f>
        <v/>
      </c>
      <c r="F98">
        <f>IF($J98="","",0)</f>
        <v/>
      </c>
      <c r="G98">
        <f>IF($J98="","",SUMIFS('Hours Log'!$E:$E,'Hours Log'!$A:$A,"&gt;="&amp;$J98,'Hours Log'!$A:$A,"&lt;"&amp;$J98+7))</f>
        <v/>
      </c>
      <c r="J98">
        <f>IF(COUNT('Hours Log'!$A$4:$A$5000)=0,"",IF(MIN('Hours Log'!$A$4:$A$5000)+7*(ROW()-10)&gt;MAX('Hours Log'!$A$4:$A$5000),"",MIN('Hours Log'!$A$4:$A$5000)+7*(ROW()-10)))</f>
        <v/>
      </c>
    </row>
    <row r="99">
      <c r="A99">
        <f>IF($J99="","",YEAR($J99-WEEKDAY($J99,2)+4)&amp;"-W"&amp;TEXT(WEEKNUM($J99,21),"00"))</f>
        <v/>
      </c>
      <c r="B99" s="41">
        <f>IF($J99="","",COUNTIFS(Roster!$D$4:$D$500,"Active",Roster!$C$4:$C$500,"&lt;="&amp;$J99))</f>
        <v/>
      </c>
      <c r="C99">
        <f>IF($J99="","",SUMIFS('Hours Log'!$C:$C,'Hours Log'!$A:$A,"&gt;="&amp;$J99,'Hours Log'!$A:$A,"&lt;"&amp;$J99+7)+SUMIFS('Hours Log'!$D:$D,'Hours Log'!$A:$A,"&gt;="&amp;$J99,'Hours Log'!$A:$A,"&lt;"&amp;$J99+7))</f>
        <v/>
      </c>
      <c r="D99">
        <f>IF($J99="","",SUMIFS('Hours Log'!$D:$D,'Hours Log'!$A:$A,"&gt;="&amp;$J99,'Hours Log'!$A:$A,"&lt;"&amp;$J99+7))</f>
        <v/>
      </c>
      <c r="E99">
        <f>IF($J99="","",IFERROR(C99/(B99*40),0))</f>
        <v/>
      </c>
      <c r="F99">
        <f>IF($J99="","",0)</f>
        <v/>
      </c>
      <c r="G99">
        <f>IF($J99="","",SUMIFS('Hours Log'!$E:$E,'Hours Log'!$A:$A,"&gt;="&amp;$J99,'Hours Log'!$A:$A,"&lt;"&amp;$J99+7))</f>
        <v/>
      </c>
      <c r="J99">
        <f>IF(COUNT('Hours Log'!$A$4:$A$5000)=0,"",IF(MIN('Hours Log'!$A$4:$A$5000)+7*(ROW()-10)&gt;MAX('Hours Log'!$A$4:$A$5000),"",MIN('Hours Log'!$A$4:$A$5000)+7*(ROW()-10)))</f>
        <v/>
      </c>
    </row>
    <row r="100">
      <c r="A100">
        <f>IF($J100="","",YEAR($J100-WEEKDAY($J100,2)+4)&amp;"-W"&amp;TEXT(WEEKNUM($J100,21),"00"))</f>
        <v/>
      </c>
      <c r="B100" s="41">
        <f>IF($J100="","",COUNTIFS(Roster!$D$4:$D$500,"Active",Roster!$C$4:$C$500,"&lt;="&amp;$J100))</f>
        <v/>
      </c>
      <c r="C100">
        <f>IF($J100="","",SUMIFS('Hours Log'!$C:$C,'Hours Log'!$A:$A,"&gt;="&amp;$J100,'Hours Log'!$A:$A,"&lt;"&amp;$J100+7)+SUMIFS('Hours Log'!$D:$D,'Hours Log'!$A:$A,"&gt;="&amp;$J100,'Hours Log'!$A:$A,"&lt;"&amp;$J100+7))</f>
        <v/>
      </c>
      <c r="D100">
        <f>IF($J100="","",SUMIFS('Hours Log'!$D:$D,'Hours Log'!$A:$A,"&gt;="&amp;$J100,'Hours Log'!$A:$A,"&lt;"&amp;$J100+7))</f>
        <v/>
      </c>
      <c r="E100">
        <f>IF($J100="","",IFERROR(C100/(B100*40),0))</f>
        <v/>
      </c>
      <c r="F100">
        <f>IF($J100="","",0)</f>
        <v/>
      </c>
      <c r="G100">
        <f>IF($J100="","",SUMIFS('Hours Log'!$E:$E,'Hours Log'!$A:$A,"&gt;="&amp;$J100,'Hours Log'!$A:$A,"&lt;"&amp;$J100+7))</f>
        <v/>
      </c>
      <c r="J100">
        <f>IF(COUNT('Hours Log'!$A$4:$A$5000)=0,"",IF(MIN('Hours Log'!$A$4:$A$5000)+7*(ROW()-10)&gt;MAX('Hours Log'!$A$4:$A$5000),"",MIN('Hours Log'!$A$4:$A$5000)+7*(ROW()-10)))</f>
        <v/>
      </c>
    </row>
    <row r="101">
      <c r="A101">
        <f>IF($J101="","",YEAR($J101-WEEKDAY($J101,2)+4)&amp;"-W"&amp;TEXT(WEEKNUM($J101,21),"00"))</f>
        <v/>
      </c>
      <c r="B101" s="41">
        <f>IF($J101="","",COUNTIFS(Roster!$D$4:$D$500,"Active",Roster!$C$4:$C$500,"&lt;="&amp;$J101))</f>
        <v/>
      </c>
      <c r="C101">
        <f>IF($J101="","",SUMIFS('Hours Log'!$C:$C,'Hours Log'!$A:$A,"&gt;="&amp;$J101,'Hours Log'!$A:$A,"&lt;"&amp;$J101+7)+SUMIFS('Hours Log'!$D:$D,'Hours Log'!$A:$A,"&gt;="&amp;$J101,'Hours Log'!$A:$A,"&lt;"&amp;$J101+7))</f>
        <v/>
      </c>
      <c r="D101">
        <f>IF($J101="","",SUMIFS('Hours Log'!$D:$D,'Hours Log'!$A:$A,"&gt;="&amp;$J101,'Hours Log'!$A:$A,"&lt;"&amp;$J101+7))</f>
        <v/>
      </c>
      <c r="E101">
        <f>IF($J101="","",IFERROR(C101/(B101*40),0))</f>
        <v/>
      </c>
      <c r="F101">
        <f>IF($J101="","",0)</f>
        <v/>
      </c>
      <c r="G101">
        <f>IF($J101="","",SUMIFS('Hours Log'!$E:$E,'Hours Log'!$A:$A,"&gt;="&amp;$J101,'Hours Log'!$A:$A,"&lt;"&amp;$J101+7))</f>
        <v/>
      </c>
      <c r="J101">
        <f>IF(COUNT('Hours Log'!$A$4:$A$5000)=0,"",IF(MIN('Hours Log'!$A$4:$A$5000)+7*(ROW()-10)&gt;MAX('Hours Log'!$A$4:$A$5000),"",MIN('Hours Log'!$A$4:$A$5000)+7*(ROW()-10)))</f>
        <v/>
      </c>
    </row>
    <row r="102">
      <c r="A102">
        <f>IF($J102="","",YEAR($J102-WEEKDAY($J102,2)+4)&amp;"-W"&amp;TEXT(WEEKNUM($J102,21),"00"))</f>
        <v/>
      </c>
      <c r="B102" s="41">
        <f>IF($J102="","",COUNTIFS(Roster!$D$4:$D$500,"Active",Roster!$C$4:$C$500,"&lt;="&amp;$J102))</f>
        <v/>
      </c>
      <c r="C102">
        <f>IF($J102="","",SUMIFS('Hours Log'!$C:$C,'Hours Log'!$A:$A,"&gt;="&amp;$J102,'Hours Log'!$A:$A,"&lt;"&amp;$J102+7)+SUMIFS('Hours Log'!$D:$D,'Hours Log'!$A:$A,"&gt;="&amp;$J102,'Hours Log'!$A:$A,"&lt;"&amp;$J102+7))</f>
        <v/>
      </c>
      <c r="D102">
        <f>IF($J102="","",SUMIFS('Hours Log'!$D:$D,'Hours Log'!$A:$A,"&gt;="&amp;$J102,'Hours Log'!$A:$A,"&lt;"&amp;$J102+7))</f>
        <v/>
      </c>
      <c r="E102">
        <f>IF($J102="","",IFERROR(C102/(B102*40),0))</f>
        <v/>
      </c>
      <c r="F102">
        <f>IF($J102="","",0)</f>
        <v/>
      </c>
      <c r="G102">
        <f>IF($J102="","",SUMIFS('Hours Log'!$E:$E,'Hours Log'!$A:$A,"&gt;="&amp;$J102,'Hours Log'!$A:$A,"&lt;"&amp;$J102+7))</f>
        <v/>
      </c>
      <c r="J102">
        <f>IF(COUNT('Hours Log'!$A$4:$A$5000)=0,"",IF(MIN('Hours Log'!$A$4:$A$5000)+7*(ROW()-10)&gt;MAX('Hours Log'!$A$4:$A$5000),"",MIN('Hours Log'!$A$4:$A$5000)+7*(ROW()-10)))</f>
        <v/>
      </c>
    </row>
    <row r="103">
      <c r="A103">
        <f>IF($J103="","",YEAR($J103-WEEKDAY($J103,2)+4)&amp;"-W"&amp;TEXT(WEEKNUM($J103,21),"00"))</f>
        <v/>
      </c>
      <c r="B103" s="41">
        <f>IF($J103="","",COUNTIFS(Roster!$D$4:$D$500,"Active",Roster!$C$4:$C$500,"&lt;="&amp;$J103))</f>
        <v/>
      </c>
      <c r="C103">
        <f>IF($J103="","",SUMIFS('Hours Log'!$C:$C,'Hours Log'!$A:$A,"&gt;="&amp;$J103,'Hours Log'!$A:$A,"&lt;"&amp;$J103+7)+SUMIFS('Hours Log'!$D:$D,'Hours Log'!$A:$A,"&gt;="&amp;$J103,'Hours Log'!$A:$A,"&lt;"&amp;$J103+7))</f>
        <v/>
      </c>
      <c r="D103">
        <f>IF($J103="","",SUMIFS('Hours Log'!$D:$D,'Hours Log'!$A:$A,"&gt;="&amp;$J103,'Hours Log'!$A:$A,"&lt;"&amp;$J103+7))</f>
        <v/>
      </c>
      <c r="E103">
        <f>IF($J103="","",IFERROR(C103/(B103*40),0))</f>
        <v/>
      </c>
      <c r="F103">
        <f>IF($J103="","",0)</f>
        <v/>
      </c>
      <c r="G103">
        <f>IF($J103="","",SUMIFS('Hours Log'!$E:$E,'Hours Log'!$A:$A,"&gt;="&amp;$J103,'Hours Log'!$A:$A,"&lt;"&amp;$J103+7))</f>
        <v/>
      </c>
      <c r="J103">
        <f>IF(COUNT('Hours Log'!$A$4:$A$5000)=0,"",IF(MIN('Hours Log'!$A$4:$A$5000)+7*(ROW()-10)&gt;MAX('Hours Log'!$A$4:$A$5000),"",MIN('Hours Log'!$A$4:$A$5000)+7*(ROW()-10)))</f>
        <v/>
      </c>
    </row>
    <row r="104">
      <c r="A104">
        <f>IF($J104="","",YEAR($J104-WEEKDAY($J104,2)+4)&amp;"-W"&amp;TEXT(WEEKNUM($J104,21),"00"))</f>
        <v/>
      </c>
      <c r="B104" s="41">
        <f>IF($J104="","",COUNTIFS(Roster!$D$4:$D$500,"Active",Roster!$C$4:$C$500,"&lt;="&amp;$J104))</f>
        <v/>
      </c>
      <c r="C104">
        <f>IF($J104="","",SUMIFS('Hours Log'!$C:$C,'Hours Log'!$A:$A,"&gt;="&amp;$J104,'Hours Log'!$A:$A,"&lt;"&amp;$J104+7)+SUMIFS('Hours Log'!$D:$D,'Hours Log'!$A:$A,"&gt;="&amp;$J104,'Hours Log'!$A:$A,"&lt;"&amp;$J104+7))</f>
        <v/>
      </c>
      <c r="D104">
        <f>IF($J104="","",SUMIFS('Hours Log'!$D:$D,'Hours Log'!$A:$A,"&gt;="&amp;$J104,'Hours Log'!$A:$A,"&lt;"&amp;$J104+7))</f>
        <v/>
      </c>
      <c r="E104">
        <f>IF($J104="","",IFERROR(C104/(B104*40),0))</f>
        <v/>
      </c>
      <c r="F104">
        <f>IF($J104="","",0)</f>
        <v/>
      </c>
      <c r="G104">
        <f>IF($J104="","",SUMIFS('Hours Log'!$E:$E,'Hours Log'!$A:$A,"&gt;="&amp;$J104,'Hours Log'!$A:$A,"&lt;"&amp;$J104+7))</f>
        <v/>
      </c>
      <c r="J104">
        <f>IF(COUNT('Hours Log'!$A$4:$A$5000)=0,"",IF(MIN('Hours Log'!$A$4:$A$5000)+7*(ROW()-10)&gt;MAX('Hours Log'!$A$4:$A$5000),"",MIN('Hours Log'!$A$4:$A$5000)+7*(ROW()-10)))</f>
        <v/>
      </c>
    </row>
    <row r="105">
      <c r="A105">
        <f>IF($J105="","",YEAR($J105-WEEKDAY($J105,2)+4)&amp;"-W"&amp;TEXT(WEEKNUM($J105,21),"00"))</f>
        <v/>
      </c>
      <c r="B105" s="41">
        <f>IF($J105="","",COUNTIFS(Roster!$D$4:$D$500,"Active",Roster!$C$4:$C$500,"&lt;="&amp;$J105))</f>
        <v/>
      </c>
      <c r="C105">
        <f>IF($J105="","",SUMIFS('Hours Log'!$C:$C,'Hours Log'!$A:$A,"&gt;="&amp;$J105,'Hours Log'!$A:$A,"&lt;"&amp;$J105+7)+SUMIFS('Hours Log'!$D:$D,'Hours Log'!$A:$A,"&gt;="&amp;$J105,'Hours Log'!$A:$A,"&lt;"&amp;$J105+7))</f>
        <v/>
      </c>
      <c r="D105">
        <f>IF($J105="","",SUMIFS('Hours Log'!$D:$D,'Hours Log'!$A:$A,"&gt;="&amp;$J105,'Hours Log'!$A:$A,"&lt;"&amp;$J105+7))</f>
        <v/>
      </c>
      <c r="E105">
        <f>IF($J105="","",IFERROR(C105/(B105*40),0))</f>
        <v/>
      </c>
      <c r="F105">
        <f>IF($J105="","",0)</f>
        <v/>
      </c>
      <c r="G105">
        <f>IF($J105="","",SUMIFS('Hours Log'!$E:$E,'Hours Log'!$A:$A,"&gt;="&amp;$J105,'Hours Log'!$A:$A,"&lt;"&amp;$J105+7))</f>
        <v/>
      </c>
      <c r="J105">
        <f>IF(COUNT('Hours Log'!$A$4:$A$5000)=0,"",IF(MIN('Hours Log'!$A$4:$A$5000)+7*(ROW()-10)&gt;MAX('Hours Log'!$A$4:$A$5000),"",MIN('Hours Log'!$A$4:$A$5000)+7*(ROW()-10)))</f>
        <v/>
      </c>
    </row>
    <row r="106">
      <c r="A106">
        <f>IF($J106="","",YEAR($J106-WEEKDAY($J106,2)+4)&amp;"-W"&amp;TEXT(WEEKNUM($J106,21),"00"))</f>
        <v/>
      </c>
      <c r="B106" s="41">
        <f>IF($J106="","",COUNTIFS(Roster!$D$4:$D$500,"Active",Roster!$C$4:$C$500,"&lt;="&amp;$J106))</f>
        <v/>
      </c>
      <c r="C106">
        <f>IF($J106="","",SUMIFS('Hours Log'!$C:$C,'Hours Log'!$A:$A,"&gt;="&amp;$J106,'Hours Log'!$A:$A,"&lt;"&amp;$J106+7)+SUMIFS('Hours Log'!$D:$D,'Hours Log'!$A:$A,"&gt;="&amp;$J106,'Hours Log'!$A:$A,"&lt;"&amp;$J106+7))</f>
        <v/>
      </c>
      <c r="D106">
        <f>IF($J106="","",SUMIFS('Hours Log'!$D:$D,'Hours Log'!$A:$A,"&gt;="&amp;$J106,'Hours Log'!$A:$A,"&lt;"&amp;$J106+7))</f>
        <v/>
      </c>
      <c r="E106">
        <f>IF($J106="","",IFERROR(C106/(B106*40),0))</f>
        <v/>
      </c>
      <c r="F106">
        <f>IF($J106="","",0)</f>
        <v/>
      </c>
      <c r="G106">
        <f>IF($J106="","",SUMIFS('Hours Log'!$E:$E,'Hours Log'!$A:$A,"&gt;="&amp;$J106,'Hours Log'!$A:$A,"&lt;"&amp;$J106+7))</f>
        <v/>
      </c>
      <c r="J106">
        <f>IF(COUNT('Hours Log'!$A$4:$A$5000)=0,"",IF(MIN('Hours Log'!$A$4:$A$5000)+7*(ROW()-10)&gt;MAX('Hours Log'!$A$4:$A$5000),"",MIN('Hours Log'!$A$4:$A$5000)+7*(ROW()-10)))</f>
        <v/>
      </c>
    </row>
    <row r="107">
      <c r="A107">
        <f>IF($J107="","",YEAR($J107-WEEKDAY($J107,2)+4)&amp;"-W"&amp;TEXT(WEEKNUM($J107,21),"00"))</f>
        <v/>
      </c>
      <c r="B107" s="41">
        <f>IF($J107="","",COUNTIFS(Roster!$D$4:$D$500,"Active",Roster!$C$4:$C$500,"&lt;="&amp;$J107))</f>
        <v/>
      </c>
      <c r="C107">
        <f>IF($J107="","",SUMIFS('Hours Log'!$C:$C,'Hours Log'!$A:$A,"&gt;="&amp;$J107,'Hours Log'!$A:$A,"&lt;"&amp;$J107+7)+SUMIFS('Hours Log'!$D:$D,'Hours Log'!$A:$A,"&gt;="&amp;$J107,'Hours Log'!$A:$A,"&lt;"&amp;$J107+7))</f>
        <v/>
      </c>
      <c r="D107">
        <f>IF($J107="","",SUMIFS('Hours Log'!$D:$D,'Hours Log'!$A:$A,"&gt;="&amp;$J107,'Hours Log'!$A:$A,"&lt;"&amp;$J107+7))</f>
        <v/>
      </c>
      <c r="E107">
        <f>IF($J107="","",IFERROR(C107/(B107*40),0))</f>
        <v/>
      </c>
      <c r="F107">
        <f>IF($J107="","",0)</f>
        <v/>
      </c>
      <c r="G107">
        <f>IF($J107="","",SUMIFS('Hours Log'!$E:$E,'Hours Log'!$A:$A,"&gt;="&amp;$J107,'Hours Log'!$A:$A,"&lt;"&amp;$J107+7))</f>
        <v/>
      </c>
      <c r="J107">
        <f>IF(COUNT('Hours Log'!$A$4:$A$5000)=0,"",IF(MIN('Hours Log'!$A$4:$A$5000)+7*(ROW()-10)&gt;MAX('Hours Log'!$A$4:$A$5000),"",MIN('Hours Log'!$A$4:$A$5000)+7*(ROW()-10)))</f>
        <v/>
      </c>
    </row>
    <row r="108">
      <c r="A108">
        <f>IF($J108="","",YEAR($J108-WEEKDAY($J108,2)+4)&amp;"-W"&amp;TEXT(WEEKNUM($J108,21),"00"))</f>
        <v/>
      </c>
      <c r="B108" s="41">
        <f>IF($J108="","",COUNTIFS(Roster!$D$4:$D$500,"Active",Roster!$C$4:$C$500,"&lt;="&amp;$J108))</f>
        <v/>
      </c>
      <c r="C108">
        <f>IF($J108="","",SUMIFS('Hours Log'!$C:$C,'Hours Log'!$A:$A,"&gt;="&amp;$J108,'Hours Log'!$A:$A,"&lt;"&amp;$J108+7)+SUMIFS('Hours Log'!$D:$D,'Hours Log'!$A:$A,"&gt;="&amp;$J108,'Hours Log'!$A:$A,"&lt;"&amp;$J108+7))</f>
        <v/>
      </c>
      <c r="D108">
        <f>IF($J108="","",SUMIFS('Hours Log'!$D:$D,'Hours Log'!$A:$A,"&gt;="&amp;$J108,'Hours Log'!$A:$A,"&lt;"&amp;$J108+7))</f>
        <v/>
      </c>
      <c r="E108">
        <f>IF($J108="","",IFERROR(C108/(B108*40),0))</f>
        <v/>
      </c>
      <c r="F108">
        <f>IF($J108="","",0)</f>
        <v/>
      </c>
      <c r="G108">
        <f>IF($J108="","",SUMIFS('Hours Log'!$E:$E,'Hours Log'!$A:$A,"&gt;="&amp;$J108,'Hours Log'!$A:$A,"&lt;"&amp;$J108+7))</f>
        <v/>
      </c>
      <c r="J108">
        <f>IF(COUNT('Hours Log'!$A$4:$A$5000)=0,"",IF(MIN('Hours Log'!$A$4:$A$5000)+7*(ROW()-10)&gt;MAX('Hours Log'!$A$4:$A$5000),"",MIN('Hours Log'!$A$4:$A$5000)+7*(ROW()-10)))</f>
        <v/>
      </c>
    </row>
    <row r="109">
      <c r="A109">
        <f>IF($J109="","",YEAR($J109-WEEKDAY($J109,2)+4)&amp;"-W"&amp;TEXT(WEEKNUM($J109,21),"00"))</f>
        <v/>
      </c>
      <c r="B109" s="41">
        <f>IF($J109="","",COUNTIFS(Roster!$D$4:$D$500,"Active",Roster!$C$4:$C$500,"&lt;="&amp;$J109))</f>
        <v/>
      </c>
      <c r="C109">
        <f>IF($J109="","",SUMIFS('Hours Log'!$C:$C,'Hours Log'!$A:$A,"&gt;="&amp;$J109,'Hours Log'!$A:$A,"&lt;"&amp;$J109+7)+SUMIFS('Hours Log'!$D:$D,'Hours Log'!$A:$A,"&gt;="&amp;$J109,'Hours Log'!$A:$A,"&lt;"&amp;$J109+7))</f>
        <v/>
      </c>
      <c r="D109">
        <f>IF($J109="","",SUMIFS('Hours Log'!$D:$D,'Hours Log'!$A:$A,"&gt;="&amp;$J109,'Hours Log'!$A:$A,"&lt;"&amp;$J109+7))</f>
        <v/>
      </c>
      <c r="E109">
        <f>IF($J109="","",IFERROR(C109/(B109*40),0))</f>
        <v/>
      </c>
      <c r="F109">
        <f>IF($J109="","",0)</f>
        <v/>
      </c>
      <c r="G109">
        <f>IF($J109="","",SUMIFS('Hours Log'!$E:$E,'Hours Log'!$A:$A,"&gt;="&amp;$J109,'Hours Log'!$A:$A,"&lt;"&amp;$J109+7))</f>
        <v/>
      </c>
      <c r="J109">
        <f>IF(COUNT('Hours Log'!$A$4:$A$5000)=0,"",IF(MIN('Hours Log'!$A$4:$A$5000)+7*(ROW()-10)&gt;MAX('Hours Log'!$A$4:$A$5000),"",MIN('Hours Log'!$A$4:$A$5000)+7*(ROW()-10)))</f>
        <v/>
      </c>
    </row>
    <row r="110">
      <c r="A110">
        <f>IF($J110="","",YEAR($J110-WEEKDAY($J110,2)+4)&amp;"-W"&amp;TEXT(WEEKNUM($J110,21),"00"))</f>
        <v/>
      </c>
      <c r="B110" s="41">
        <f>IF($J110="","",COUNTIFS(Roster!$D$4:$D$500,"Active",Roster!$C$4:$C$500,"&lt;="&amp;$J110))</f>
        <v/>
      </c>
      <c r="C110">
        <f>IF($J110="","",SUMIFS('Hours Log'!$C:$C,'Hours Log'!$A:$A,"&gt;="&amp;$J110,'Hours Log'!$A:$A,"&lt;"&amp;$J110+7)+SUMIFS('Hours Log'!$D:$D,'Hours Log'!$A:$A,"&gt;="&amp;$J110,'Hours Log'!$A:$A,"&lt;"&amp;$J110+7))</f>
        <v/>
      </c>
      <c r="D110">
        <f>IF($J110="","",SUMIFS('Hours Log'!$D:$D,'Hours Log'!$A:$A,"&gt;="&amp;$J110,'Hours Log'!$A:$A,"&lt;"&amp;$J110+7))</f>
        <v/>
      </c>
      <c r="E110">
        <f>IF($J110="","",IFERROR(C110/(B110*40),0))</f>
        <v/>
      </c>
      <c r="F110">
        <f>IF($J110="","",0)</f>
        <v/>
      </c>
      <c r="G110">
        <f>IF($J110="","",SUMIFS('Hours Log'!$E:$E,'Hours Log'!$A:$A,"&gt;="&amp;$J110,'Hours Log'!$A:$A,"&lt;"&amp;$J110+7))</f>
        <v/>
      </c>
      <c r="J110">
        <f>IF(COUNT('Hours Log'!$A$4:$A$5000)=0,"",IF(MIN('Hours Log'!$A$4:$A$5000)+7*(ROW()-10)&gt;MAX('Hours Log'!$A$4:$A$5000),"",MIN('Hours Log'!$A$4:$A$5000)+7*(ROW()-10)))</f>
        <v/>
      </c>
    </row>
    <row r="111">
      <c r="A111">
        <f>IF($J111="","",YEAR($J111-WEEKDAY($J111,2)+4)&amp;"-W"&amp;TEXT(WEEKNUM($J111,21),"00"))</f>
        <v/>
      </c>
      <c r="B111" s="41">
        <f>IF($J111="","",COUNTIFS(Roster!$D$4:$D$500,"Active",Roster!$C$4:$C$500,"&lt;="&amp;$J111))</f>
        <v/>
      </c>
      <c r="C111">
        <f>IF($J111="","",SUMIFS('Hours Log'!$C:$C,'Hours Log'!$A:$A,"&gt;="&amp;$J111,'Hours Log'!$A:$A,"&lt;"&amp;$J111+7)+SUMIFS('Hours Log'!$D:$D,'Hours Log'!$A:$A,"&gt;="&amp;$J111,'Hours Log'!$A:$A,"&lt;"&amp;$J111+7))</f>
        <v/>
      </c>
      <c r="D111">
        <f>IF($J111="","",SUMIFS('Hours Log'!$D:$D,'Hours Log'!$A:$A,"&gt;="&amp;$J111,'Hours Log'!$A:$A,"&lt;"&amp;$J111+7))</f>
        <v/>
      </c>
      <c r="E111">
        <f>IF($J111="","",IFERROR(C111/(B111*40),0))</f>
        <v/>
      </c>
      <c r="F111">
        <f>IF($J111="","",0)</f>
        <v/>
      </c>
      <c r="G111">
        <f>IF($J111="","",SUMIFS('Hours Log'!$E:$E,'Hours Log'!$A:$A,"&gt;="&amp;$J111,'Hours Log'!$A:$A,"&lt;"&amp;$J111+7))</f>
        <v/>
      </c>
      <c r="J111">
        <f>IF(COUNT('Hours Log'!$A$4:$A$5000)=0,"",IF(MIN('Hours Log'!$A$4:$A$5000)+7*(ROW()-10)&gt;MAX('Hours Log'!$A$4:$A$5000),"",MIN('Hours Log'!$A$4:$A$5000)+7*(ROW()-10)))</f>
        <v/>
      </c>
    </row>
    <row r="112">
      <c r="A112">
        <f>IF($J112="","",YEAR($J112-WEEKDAY($J112,2)+4)&amp;"-W"&amp;TEXT(WEEKNUM($J112,21),"00"))</f>
        <v/>
      </c>
      <c r="B112" s="41">
        <f>IF($J112="","",COUNTIFS(Roster!$D$4:$D$500,"Active",Roster!$C$4:$C$500,"&lt;="&amp;$J112))</f>
        <v/>
      </c>
      <c r="C112">
        <f>IF($J112="","",SUMIFS('Hours Log'!$C:$C,'Hours Log'!$A:$A,"&gt;="&amp;$J112,'Hours Log'!$A:$A,"&lt;"&amp;$J112+7)+SUMIFS('Hours Log'!$D:$D,'Hours Log'!$A:$A,"&gt;="&amp;$J112,'Hours Log'!$A:$A,"&lt;"&amp;$J112+7))</f>
        <v/>
      </c>
      <c r="D112">
        <f>IF($J112="","",SUMIFS('Hours Log'!$D:$D,'Hours Log'!$A:$A,"&gt;="&amp;$J112,'Hours Log'!$A:$A,"&lt;"&amp;$J112+7))</f>
        <v/>
      </c>
      <c r="E112">
        <f>IF($J112="","",IFERROR(C112/(B112*40),0))</f>
        <v/>
      </c>
      <c r="F112">
        <f>IF($J112="","",0)</f>
        <v/>
      </c>
      <c r="G112">
        <f>IF($J112="","",SUMIFS('Hours Log'!$E:$E,'Hours Log'!$A:$A,"&gt;="&amp;$J112,'Hours Log'!$A:$A,"&lt;"&amp;$J112+7))</f>
        <v/>
      </c>
      <c r="J112">
        <f>IF(COUNT('Hours Log'!$A$4:$A$5000)=0,"",IF(MIN('Hours Log'!$A$4:$A$5000)+7*(ROW()-10)&gt;MAX('Hours Log'!$A$4:$A$5000),"",MIN('Hours Log'!$A$4:$A$5000)+7*(ROW()-10)))</f>
        <v/>
      </c>
    </row>
    <row r="113">
      <c r="A113">
        <f>IF($J113="","",YEAR($J113-WEEKDAY($J113,2)+4)&amp;"-W"&amp;TEXT(WEEKNUM($J113,21),"00"))</f>
        <v/>
      </c>
      <c r="B113" s="41">
        <f>IF($J113="","",COUNTIFS(Roster!$D$4:$D$500,"Active",Roster!$C$4:$C$500,"&lt;="&amp;$J113))</f>
        <v/>
      </c>
      <c r="C113">
        <f>IF($J113="","",SUMIFS('Hours Log'!$C:$C,'Hours Log'!$A:$A,"&gt;="&amp;$J113,'Hours Log'!$A:$A,"&lt;"&amp;$J113+7)+SUMIFS('Hours Log'!$D:$D,'Hours Log'!$A:$A,"&gt;="&amp;$J113,'Hours Log'!$A:$A,"&lt;"&amp;$J113+7))</f>
        <v/>
      </c>
      <c r="D113">
        <f>IF($J113="","",SUMIFS('Hours Log'!$D:$D,'Hours Log'!$A:$A,"&gt;="&amp;$J113,'Hours Log'!$A:$A,"&lt;"&amp;$J113+7))</f>
        <v/>
      </c>
      <c r="E113">
        <f>IF($J113="","",IFERROR(C113/(B113*40),0))</f>
        <v/>
      </c>
      <c r="F113">
        <f>IF($J113="","",0)</f>
        <v/>
      </c>
      <c r="G113">
        <f>IF($J113="","",SUMIFS('Hours Log'!$E:$E,'Hours Log'!$A:$A,"&gt;="&amp;$J113,'Hours Log'!$A:$A,"&lt;"&amp;$J113+7))</f>
        <v/>
      </c>
      <c r="J113">
        <f>IF(COUNT('Hours Log'!$A$4:$A$5000)=0,"",IF(MIN('Hours Log'!$A$4:$A$5000)+7*(ROW()-10)&gt;MAX('Hours Log'!$A$4:$A$5000),"",MIN('Hours Log'!$A$4:$A$5000)+7*(ROW()-10)))</f>
        <v/>
      </c>
    </row>
    <row r="114">
      <c r="A114">
        <f>IF($J114="","",YEAR($J114-WEEKDAY($J114,2)+4)&amp;"-W"&amp;TEXT(WEEKNUM($J114,21),"00"))</f>
        <v/>
      </c>
      <c r="B114" s="41">
        <f>IF($J114="","",COUNTIFS(Roster!$D$4:$D$500,"Active",Roster!$C$4:$C$500,"&lt;="&amp;$J114))</f>
        <v/>
      </c>
      <c r="C114">
        <f>IF($J114="","",SUMIFS('Hours Log'!$C:$C,'Hours Log'!$A:$A,"&gt;="&amp;$J114,'Hours Log'!$A:$A,"&lt;"&amp;$J114+7)+SUMIFS('Hours Log'!$D:$D,'Hours Log'!$A:$A,"&gt;="&amp;$J114,'Hours Log'!$A:$A,"&lt;"&amp;$J114+7))</f>
        <v/>
      </c>
      <c r="D114">
        <f>IF($J114="","",SUMIFS('Hours Log'!$D:$D,'Hours Log'!$A:$A,"&gt;="&amp;$J114,'Hours Log'!$A:$A,"&lt;"&amp;$J114+7))</f>
        <v/>
      </c>
      <c r="E114">
        <f>IF($J114="","",IFERROR(C114/(B114*40),0))</f>
        <v/>
      </c>
      <c r="F114">
        <f>IF($J114="","",0)</f>
        <v/>
      </c>
      <c r="G114">
        <f>IF($J114="","",SUMIFS('Hours Log'!$E:$E,'Hours Log'!$A:$A,"&gt;="&amp;$J114,'Hours Log'!$A:$A,"&lt;"&amp;$J114+7))</f>
        <v/>
      </c>
      <c r="J114">
        <f>IF(COUNT('Hours Log'!$A$4:$A$5000)=0,"",IF(MIN('Hours Log'!$A$4:$A$5000)+7*(ROW()-10)&gt;MAX('Hours Log'!$A$4:$A$5000),"",MIN('Hours Log'!$A$4:$A$5000)+7*(ROW()-10)))</f>
        <v/>
      </c>
    </row>
    <row r="115">
      <c r="A115">
        <f>IF($J115="","",YEAR($J115-WEEKDAY($J115,2)+4)&amp;"-W"&amp;TEXT(WEEKNUM($J115,21),"00"))</f>
        <v/>
      </c>
      <c r="B115" s="41">
        <f>IF($J115="","",COUNTIFS(Roster!$D$4:$D$500,"Active",Roster!$C$4:$C$500,"&lt;="&amp;$J115))</f>
        <v/>
      </c>
      <c r="C115">
        <f>IF($J115="","",SUMIFS('Hours Log'!$C:$C,'Hours Log'!$A:$A,"&gt;="&amp;$J115,'Hours Log'!$A:$A,"&lt;"&amp;$J115+7)+SUMIFS('Hours Log'!$D:$D,'Hours Log'!$A:$A,"&gt;="&amp;$J115,'Hours Log'!$A:$A,"&lt;"&amp;$J115+7))</f>
        <v/>
      </c>
      <c r="D115">
        <f>IF($J115="","",SUMIFS('Hours Log'!$D:$D,'Hours Log'!$A:$A,"&gt;="&amp;$J115,'Hours Log'!$A:$A,"&lt;"&amp;$J115+7))</f>
        <v/>
      </c>
      <c r="E115">
        <f>IF($J115="","",IFERROR(C115/(B115*40),0))</f>
        <v/>
      </c>
      <c r="F115">
        <f>IF($J115="","",0)</f>
        <v/>
      </c>
      <c r="G115">
        <f>IF($J115="","",SUMIFS('Hours Log'!$E:$E,'Hours Log'!$A:$A,"&gt;="&amp;$J115,'Hours Log'!$A:$A,"&lt;"&amp;$J115+7))</f>
        <v/>
      </c>
      <c r="J115">
        <f>IF(COUNT('Hours Log'!$A$4:$A$5000)=0,"",IF(MIN('Hours Log'!$A$4:$A$5000)+7*(ROW()-10)&gt;MAX('Hours Log'!$A$4:$A$5000),"",MIN('Hours Log'!$A$4:$A$5000)+7*(ROW()-10)))</f>
        <v/>
      </c>
    </row>
    <row r="116">
      <c r="A116">
        <f>IF($J116="","",YEAR($J116-WEEKDAY($J116,2)+4)&amp;"-W"&amp;TEXT(WEEKNUM($J116,21),"00"))</f>
        <v/>
      </c>
      <c r="B116" s="41">
        <f>IF($J116="","",COUNTIFS(Roster!$D$4:$D$500,"Active",Roster!$C$4:$C$500,"&lt;="&amp;$J116))</f>
        <v/>
      </c>
      <c r="C116">
        <f>IF($J116="","",SUMIFS('Hours Log'!$C:$C,'Hours Log'!$A:$A,"&gt;="&amp;$J116,'Hours Log'!$A:$A,"&lt;"&amp;$J116+7)+SUMIFS('Hours Log'!$D:$D,'Hours Log'!$A:$A,"&gt;="&amp;$J116,'Hours Log'!$A:$A,"&lt;"&amp;$J116+7))</f>
        <v/>
      </c>
      <c r="D116">
        <f>IF($J116="","",SUMIFS('Hours Log'!$D:$D,'Hours Log'!$A:$A,"&gt;="&amp;$J116,'Hours Log'!$A:$A,"&lt;"&amp;$J116+7))</f>
        <v/>
      </c>
      <c r="E116">
        <f>IF($J116="","",IFERROR(C116/(B116*40),0))</f>
        <v/>
      </c>
      <c r="F116">
        <f>IF($J116="","",0)</f>
        <v/>
      </c>
      <c r="G116">
        <f>IF($J116="","",SUMIFS('Hours Log'!$E:$E,'Hours Log'!$A:$A,"&gt;="&amp;$J116,'Hours Log'!$A:$A,"&lt;"&amp;$J116+7))</f>
        <v/>
      </c>
      <c r="J116">
        <f>IF(COUNT('Hours Log'!$A$4:$A$5000)=0,"",IF(MIN('Hours Log'!$A$4:$A$5000)+7*(ROW()-10)&gt;MAX('Hours Log'!$A$4:$A$5000),"",MIN('Hours Log'!$A$4:$A$5000)+7*(ROW()-10)))</f>
        <v/>
      </c>
    </row>
    <row r="117">
      <c r="A117">
        <f>IF($J117="","",YEAR($J117-WEEKDAY($J117,2)+4)&amp;"-W"&amp;TEXT(WEEKNUM($J117,21),"00"))</f>
        <v/>
      </c>
      <c r="B117" s="41">
        <f>IF($J117="","",COUNTIFS(Roster!$D$4:$D$500,"Active",Roster!$C$4:$C$500,"&lt;="&amp;$J117))</f>
        <v/>
      </c>
      <c r="C117">
        <f>IF($J117="","",SUMIFS('Hours Log'!$C:$C,'Hours Log'!$A:$A,"&gt;="&amp;$J117,'Hours Log'!$A:$A,"&lt;"&amp;$J117+7)+SUMIFS('Hours Log'!$D:$D,'Hours Log'!$A:$A,"&gt;="&amp;$J117,'Hours Log'!$A:$A,"&lt;"&amp;$J117+7))</f>
        <v/>
      </c>
      <c r="D117">
        <f>IF($J117="","",SUMIFS('Hours Log'!$D:$D,'Hours Log'!$A:$A,"&gt;="&amp;$J117,'Hours Log'!$A:$A,"&lt;"&amp;$J117+7))</f>
        <v/>
      </c>
      <c r="E117">
        <f>IF($J117="","",IFERROR(C117/(B117*40),0))</f>
        <v/>
      </c>
      <c r="F117">
        <f>IF($J117="","",0)</f>
        <v/>
      </c>
      <c r="G117">
        <f>IF($J117="","",SUMIFS('Hours Log'!$E:$E,'Hours Log'!$A:$A,"&gt;="&amp;$J117,'Hours Log'!$A:$A,"&lt;"&amp;$J117+7))</f>
        <v/>
      </c>
      <c r="J117">
        <f>IF(COUNT('Hours Log'!$A$4:$A$5000)=0,"",IF(MIN('Hours Log'!$A$4:$A$5000)+7*(ROW()-10)&gt;MAX('Hours Log'!$A$4:$A$5000),"",MIN('Hours Log'!$A$4:$A$5000)+7*(ROW()-10)))</f>
        <v/>
      </c>
    </row>
    <row r="118">
      <c r="A118">
        <f>IF($J118="","",YEAR($J118-WEEKDAY($J118,2)+4)&amp;"-W"&amp;TEXT(WEEKNUM($J118,21),"00"))</f>
        <v/>
      </c>
      <c r="B118" s="41">
        <f>IF($J118="","",COUNTIFS(Roster!$D$4:$D$500,"Active",Roster!$C$4:$C$500,"&lt;="&amp;$J118))</f>
        <v/>
      </c>
      <c r="C118">
        <f>IF($J118="","",SUMIFS('Hours Log'!$C:$C,'Hours Log'!$A:$A,"&gt;="&amp;$J118,'Hours Log'!$A:$A,"&lt;"&amp;$J118+7)+SUMIFS('Hours Log'!$D:$D,'Hours Log'!$A:$A,"&gt;="&amp;$J118,'Hours Log'!$A:$A,"&lt;"&amp;$J118+7))</f>
        <v/>
      </c>
      <c r="D118">
        <f>IF($J118="","",SUMIFS('Hours Log'!$D:$D,'Hours Log'!$A:$A,"&gt;="&amp;$J118,'Hours Log'!$A:$A,"&lt;"&amp;$J118+7))</f>
        <v/>
      </c>
      <c r="E118">
        <f>IF($J118="","",IFERROR(C118/(B118*40),0))</f>
        <v/>
      </c>
      <c r="F118">
        <f>IF($J118="","",0)</f>
        <v/>
      </c>
      <c r="G118">
        <f>IF($J118="","",SUMIFS('Hours Log'!$E:$E,'Hours Log'!$A:$A,"&gt;="&amp;$J118,'Hours Log'!$A:$A,"&lt;"&amp;$J118+7))</f>
        <v/>
      </c>
      <c r="J118">
        <f>IF(COUNT('Hours Log'!$A$4:$A$5000)=0,"",IF(MIN('Hours Log'!$A$4:$A$5000)+7*(ROW()-10)&gt;MAX('Hours Log'!$A$4:$A$5000),"",MIN('Hours Log'!$A$4:$A$5000)+7*(ROW()-10)))</f>
        <v/>
      </c>
    </row>
    <row r="119">
      <c r="A119">
        <f>IF($J119="","",YEAR($J119-WEEKDAY($J119,2)+4)&amp;"-W"&amp;TEXT(WEEKNUM($J119,21),"00"))</f>
        <v/>
      </c>
      <c r="B119" s="41">
        <f>IF($J119="","",COUNTIFS(Roster!$D$4:$D$500,"Active",Roster!$C$4:$C$500,"&lt;="&amp;$J119))</f>
        <v/>
      </c>
      <c r="C119">
        <f>IF($J119="","",SUMIFS('Hours Log'!$C:$C,'Hours Log'!$A:$A,"&gt;="&amp;$J119,'Hours Log'!$A:$A,"&lt;"&amp;$J119+7)+SUMIFS('Hours Log'!$D:$D,'Hours Log'!$A:$A,"&gt;="&amp;$J119,'Hours Log'!$A:$A,"&lt;"&amp;$J119+7))</f>
        <v/>
      </c>
      <c r="D119">
        <f>IF($J119="","",SUMIFS('Hours Log'!$D:$D,'Hours Log'!$A:$A,"&gt;="&amp;$J119,'Hours Log'!$A:$A,"&lt;"&amp;$J119+7))</f>
        <v/>
      </c>
      <c r="E119">
        <f>IF($J119="","",IFERROR(C119/(B119*40),0))</f>
        <v/>
      </c>
      <c r="F119">
        <f>IF($J119="","",0)</f>
        <v/>
      </c>
      <c r="G119">
        <f>IF($J119="","",SUMIFS('Hours Log'!$E:$E,'Hours Log'!$A:$A,"&gt;="&amp;$J119,'Hours Log'!$A:$A,"&lt;"&amp;$J119+7))</f>
        <v/>
      </c>
      <c r="J119">
        <f>IF(COUNT('Hours Log'!$A$4:$A$5000)=0,"",IF(MIN('Hours Log'!$A$4:$A$5000)+7*(ROW()-10)&gt;MAX('Hours Log'!$A$4:$A$5000),"",MIN('Hours Log'!$A$4:$A$5000)+7*(ROW()-10)))</f>
        <v/>
      </c>
    </row>
    <row r="120">
      <c r="A120">
        <f>IF($J120="","",YEAR($J120-WEEKDAY($J120,2)+4)&amp;"-W"&amp;TEXT(WEEKNUM($J120,21),"00"))</f>
        <v/>
      </c>
      <c r="B120" s="41">
        <f>IF($J120="","",COUNTIFS(Roster!$D$4:$D$500,"Active",Roster!$C$4:$C$500,"&lt;="&amp;$J120))</f>
        <v/>
      </c>
      <c r="C120">
        <f>IF($J120="","",SUMIFS('Hours Log'!$C:$C,'Hours Log'!$A:$A,"&gt;="&amp;$J120,'Hours Log'!$A:$A,"&lt;"&amp;$J120+7)+SUMIFS('Hours Log'!$D:$D,'Hours Log'!$A:$A,"&gt;="&amp;$J120,'Hours Log'!$A:$A,"&lt;"&amp;$J120+7))</f>
        <v/>
      </c>
      <c r="D120">
        <f>IF($J120="","",SUMIFS('Hours Log'!$D:$D,'Hours Log'!$A:$A,"&gt;="&amp;$J120,'Hours Log'!$A:$A,"&lt;"&amp;$J120+7))</f>
        <v/>
      </c>
      <c r="E120">
        <f>IF($J120="","",IFERROR(C120/(B120*40),0))</f>
        <v/>
      </c>
      <c r="F120">
        <f>IF($J120="","",0)</f>
        <v/>
      </c>
      <c r="G120">
        <f>IF($J120="","",SUMIFS('Hours Log'!$E:$E,'Hours Log'!$A:$A,"&gt;="&amp;$J120,'Hours Log'!$A:$A,"&lt;"&amp;$J120+7))</f>
        <v/>
      </c>
      <c r="J120">
        <f>IF(COUNT('Hours Log'!$A$4:$A$5000)=0,"",IF(MIN('Hours Log'!$A$4:$A$5000)+7*(ROW()-10)&gt;MAX('Hours Log'!$A$4:$A$5000),"",MIN('Hours Log'!$A$4:$A$5000)+7*(ROW()-10)))</f>
        <v/>
      </c>
    </row>
    <row r="121">
      <c r="A121">
        <f>IF($J121="","",YEAR($J121-WEEKDAY($J121,2)+4)&amp;"-W"&amp;TEXT(WEEKNUM($J121,21),"00"))</f>
        <v/>
      </c>
      <c r="B121" s="41">
        <f>IF($J121="","",COUNTIFS(Roster!$D$4:$D$500,"Active",Roster!$C$4:$C$500,"&lt;="&amp;$J121))</f>
        <v/>
      </c>
      <c r="C121">
        <f>IF($J121="","",SUMIFS('Hours Log'!$C:$C,'Hours Log'!$A:$A,"&gt;="&amp;$J121,'Hours Log'!$A:$A,"&lt;"&amp;$J121+7)+SUMIFS('Hours Log'!$D:$D,'Hours Log'!$A:$A,"&gt;="&amp;$J121,'Hours Log'!$A:$A,"&lt;"&amp;$J121+7))</f>
        <v/>
      </c>
      <c r="D121">
        <f>IF($J121="","",SUMIFS('Hours Log'!$D:$D,'Hours Log'!$A:$A,"&gt;="&amp;$J121,'Hours Log'!$A:$A,"&lt;"&amp;$J121+7))</f>
        <v/>
      </c>
      <c r="E121">
        <f>IF($J121="","",IFERROR(C121/(B121*40),0))</f>
        <v/>
      </c>
      <c r="F121">
        <f>IF($J121="","",0)</f>
        <v/>
      </c>
      <c r="G121">
        <f>IF($J121="","",SUMIFS('Hours Log'!$E:$E,'Hours Log'!$A:$A,"&gt;="&amp;$J121,'Hours Log'!$A:$A,"&lt;"&amp;$J121+7))</f>
        <v/>
      </c>
      <c r="J121">
        <f>IF(COUNT('Hours Log'!$A$4:$A$5000)=0,"",IF(MIN('Hours Log'!$A$4:$A$5000)+7*(ROW()-10)&gt;MAX('Hours Log'!$A$4:$A$5000),"",MIN('Hours Log'!$A$4:$A$5000)+7*(ROW()-10)))</f>
        <v/>
      </c>
    </row>
    <row r="122">
      <c r="A122">
        <f>IF($J122="","",YEAR($J122-WEEKDAY($J122,2)+4)&amp;"-W"&amp;TEXT(WEEKNUM($J122,21),"00"))</f>
        <v/>
      </c>
      <c r="B122" s="41">
        <f>IF($J122="","",COUNTIFS(Roster!$D$4:$D$500,"Active",Roster!$C$4:$C$500,"&lt;="&amp;$J122))</f>
        <v/>
      </c>
      <c r="C122">
        <f>IF($J122="","",SUMIFS('Hours Log'!$C:$C,'Hours Log'!$A:$A,"&gt;="&amp;$J122,'Hours Log'!$A:$A,"&lt;"&amp;$J122+7)+SUMIFS('Hours Log'!$D:$D,'Hours Log'!$A:$A,"&gt;="&amp;$J122,'Hours Log'!$A:$A,"&lt;"&amp;$J122+7))</f>
        <v/>
      </c>
      <c r="D122">
        <f>IF($J122="","",SUMIFS('Hours Log'!$D:$D,'Hours Log'!$A:$A,"&gt;="&amp;$J122,'Hours Log'!$A:$A,"&lt;"&amp;$J122+7))</f>
        <v/>
      </c>
      <c r="E122">
        <f>IF($J122="","",IFERROR(C122/(B122*40),0))</f>
        <v/>
      </c>
      <c r="F122">
        <f>IF($J122="","",0)</f>
        <v/>
      </c>
      <c r="G122">
        <f>IF($J122="","",SUMIFS('Hours Log'!$E:$E,'Hours Log'!$A:$A,"&gt;="&amp;$J122,'Hours Log'!$A:$A,"&lt;"&amp;$J122+7))</f>
        <v/>
      </c>
      <c r="J122">
        <f>IF(COUNT('Hours Log'!$A$4:$A$5000)=0,"",IF(MIN('Hours Log'!$A$4:$A$5000)+7*(ROW()-10)&gt;MAX('Hours Log'!$A$4:$A$5000),"",MIN('Hours Log'!$A$4:$A$5000)+7*(ROW()-10)))</f>
        <v/>
      </c>
    </row>
    <row r="123">
      <c r="A123">
        <f>IF($J123="","",YEAR($J123-WEEKDAY($J123,2)+4)&amp;"-W"&amp;TEXT(WEEKNUM($J123,21),"00"))</f>
        <v/>
      </c>
      <c r="B123" s="41">
        <f>IF($J123="","",COUNTIFS(Roster!$D$4:$D$500,"Active",Roster!$C$4:$C$500,"&lt;="&amp;$J123))</f>
        <v/>
      </c>
      <c r="C123">
        <f>IF($J123="","",SUMIFS('Hours Log'!$C:$C,'Hours Log'!$A:$A,"&gt;="&amp;$J123,'Hours Log'!$A:$A,"&lt;"&amp;$J123+7)+SUMIFS('Hours Log'!$D:$D,'Hours Log'!$A:$A,"&gt;="&amp;$J123,'Hours Log'!$A:$A,"&lt;"&amp;$J123+7))</f>
        <v/>
      </c>
      <c r="D123">
        <f>IF($J123="","",SUMIFS('Hours Log'!$D:$D,'Hours Log'!$A:$A,"&gt;="&amp;$J123,'Hours Log'!$A:$A,"&lt;"&amp;$J123+7))</f>
        <v/>
      </c>
      <c r="E123">
        <f>IF($J123="","",IFERROR(C123/(B123*40),0))</f>
        <v/>
      </c>
      <c r="F123">
        <f>IF($J123="","",0)</f>
        <v/>
      </c>
      <c r="G123">
        <f>IF($J123="","",SUMIFS('Hours Log'!$E:$E,'Hours Log'!$A:$A,"&gt;="&amp;$J123,'Hours Log'!$A:$A,"&lt;"&amp;$J123+7))</f>
        <v/>
      </c>
      <c r="J123">
        <f>IF(COUNT('Hours Log'!$A$4:$A$5000)=0,"",IF(MIN('Hours Log'!$A$4:$A$5000)+7*(ROW()-10)&gt;MAX('Hours Log'!$A$4:$A$5000),"",MIN('Hours Log'!$A$4:$A$5000)+7*(ROW()-10)))</f>
        <v/>
      </c>
    </row>
    <row r="124">
      <c r="A124">
        <f>IF($J124="","",YEAR($J124-WEEKDAY($J124,2)+4)&amp;"-W"&amp;TEXT(WEEKNUM($J124,21),"00"))</f>
        <v/>
      </c>
      <c r="B124" s="41">
        <f>IF($J124="","",COUNTIFS(Roster!$D$4:$D$500,"Active",Roster!$C$4:$C$500,"&lt;="&amp;$J124))</f>
        <v/>
      </c>
      <c r="C124">
        <f>IF($J124="","",SUMIFS('Hours Log'!$C:$C,'Hours Log'!$A:$A,"&gt;="&amp;$J124,'Hours Log'!$A:$A,"&lt;"&amp;$J124+7)+SUMIFS('Hours Log'!$D:$D,'Hours Log'!$A:$A,"&gt;="&amp;$J124,'Hours Log'!$A:$A,"&lt;"&amp;$J124+7))</f>
        <v/>
      </c>
      <c r="D124">
        <f>IF($J124="","",SUMIFS('Hours Log'!$D:$D,'Hours Log'!$A:$A,"&gt;="&amp;$J124,'Hours Log'!$A:$A,"&lt;"&amp;$J124+7))</f>
        <v/>
      </c>
      <c r="E124">
        <f>IF($J124="","",IFERROR(C124/(B124*40),0))</f>
        <v/>
      </c>
      <c r="F124">
        <f>IF($J124="","",0)</f>
        <v/>
      </c>
      <c r="G124">
        <f>IF($J124="","",SUMIFS('Hours Log'!$E:$E,'Hours Log'!$A:$A,"&gt;="&amp;$J124,'Hours Log'!$A:$A,"&lt;"&amp;$J124+7))</f>
        <v/>
      </c>
      <c r="J124">
        <f>IF(COUNT('Hours Log'!$A$4:$A$5000)=0,"",IF(MIN('Hours Log'!$A$4:$A$5000)+7*(ROW()-10)&gt;MAX('Hours Log'!$A$4:$A$5000),"",MIN('Hours Log'!$A$4:$A$5000)+7*(ROW()-10)))</f>
        <v/>
      </c>
    </row>
    <row r="125">
      <c r="A125">
        <f>IF($J125="","",YEAR($J125-WEEKDAY($J125,2)+4)&amp;"-W"&amp;TEXT(WEEKNUM($J125,21),"00"))</f>
        <v/>
      </c>
      <c r="B125" s="41">
        <f>IF($J125="","",COUNTIFS(Roster!$D$4:$D$500,"Active",Roster!$C$4:$C$500,"&lt;="&amp;$J125))</f>
        <v/>
      </c>
      <c r="C125">
        <f>IF($J125="","",SUMIFS('Hours Log'!$C:$C,'Hours Log'!$A:$A,"&gt;="&amp;$J125,'Hours Log'!$A:$A,"&lt;"&amp;$J125+7)+SUMIFS('Hours Log'!$D:$D,'Hours Log'!$A:$A,"&gt;="&amp;$J125,'Hours Log'!$A:$A,"&lt;"&amp;$J125+7))</f>
        <v/>
      </c>
      <c r="D125">
        <f>IF($J125="","",SUMIFS('Hours Log'!$D:$D,'Hours Log'!$A:$A,"&gt;="&amp;$J125,'Hours Log'!$A:$A,"&lt;"&amp;$J125+7))</f>
        <v/>
      </c>
      <c r="E125">
        <f>IF($J125="","",IFERROR(C125/(B125*40),0))</f>
        <v/>
      </c>
      <c r="F125">
        <f>IF($J125="","",0)</f>
        <v/>
      </c>
      <c r="G125">
        <f>IF($J125="","",SUMIFS('Hours Log'!$E:$E,'Hours Log'!$A:$A,"&gt;="&amp;$J125,'Hours Log'!$A:$A,"&lt;"&amp;$J125+7))</f>
        <v/>
      </c>
      <c r="J125">
        <f>IF(COUNT('Hours Log'!$A$4:$A$5000)=0,"",IF(MIN('Hours Log'!$A$4:$A$5000)+7*(ROW()-10)&gt;MAX('Hours Log'!$A$4:$A$5000),"",MIN('Hours Log'!$A$4:$A$5000)+7*(ROW()-10)))</f>
        <v/>
      </c>
    </row>
    <row r="126">
      <c r="A126">
        <f>IF($J126="","",YEAR($J126-WEEKDAY($J126,2)+4)&amp;"-W"&amp;TEXT(WEEKNUM($J126,21),"00"))</f>
        <v/>
      </c>
      <c r="B126" s="41">
        <f>IF($J126="","",COUNTIFS(Roster!$D$4:$D$500,"Active",Roster!$C$4:$C$500,"&lt;="&amp;$J126))</f>
        <v/>
      </c>
      <c r="C126">
        <f>IF($J126="","",SUMIFS('Hours Log'!$C:$C,'Hours Log'!$A:$A,"&gt;="&amp;$J126,'Hours Log'!$A:$A,"&lt;"&amp;$J126+7)+SUMIFS('Hours Log'!$D:$D,'Hours Log'!$A:$A,"&gt;="&amp;$J126,'Hours Log'!$A:$A,"&lt;"&amp;$J126+7))</f>
        <v/>
      </c>
      <c r="D126">
        <f>IF($J126="","",SUMIFS('Hours Log'!$D:$D,'Hours Log'!$A:$A,"&gt;="&amp;$J126,'Hours Log'!$A:$A,"&lt;"&amp;$J126+7))</f>
        <v/>
      </c>
      <c r="E126">
        <f>IF($J126="","",IFERROR(C126/(B126*40),0))</f>
        <v/>
      </c>
      <c r="F126">
        <f>IF($J126="","",0)</f>
        <v/>
      </c>
      <c r="G126">
        <f>IF($J126="","",SUMIFS('Hours Log'!$E:$E,'Hours Log'!$A:$A,"&gt;="&amp;$J126,'Hours Log'!$A:$A,"&lt;"&amp;$J126+7))</f>
        <v/>
      </c>
      <c r="J126">
        <f>IF(COUNT('Hours Log'!$A$4:$A$5000)=0,"",IF(MIN('Hours Log'!$A$4:$A$5000)+7*(ROW()-10)&gt;MAX('Hours Log'!$A$4:$A$5000),"",MIN('Hours Log'!$A$4:$A$5000)+7*(ROW()-10)))</f>
        <v/>
      </c>
    </row>
    <row r="127">
      <c r="A127">
        <f>IF($J127="","",YEAR($J127-WEEKDAY($J127,2)+4)&amp;"-W"&amp;TEXT(WEEKNUM($J127,21),"00"))</f>
        <v/>
      </c>
      <c r="B127" s="41">
        <f>IF($J127="","",COUNTIFS(Roster!$D$4:$D$500,"Active",Roster!$C$4:$C$500,"&lt;="&amp;$J127))</f>
        <v/>
      </c>
      <c r="C127">
        <f>IF($J127="","",SUMIFS('Hours Log'!$C:$C,'Hours Log'!$A:$A,"&gt;="&amp;$J127,'Hours Log'!$A:$A,"&lt;"&amp;$J127+7)+SUMIFS('Hours Log'!$D:$D,'Hours Log'!$A:$A,"&gt;="&amp;$J127,'Hours Log'!$A:$A,"&lt;"&amp;$J127+7))</f>
        <v/>
      </c>
      <c r="D127">
        <f>IF($J127="","",SUMIFS('Hours Log'!$D:$D,'Hours Log'!$A:$A,"&gt;="&amp;$J127,'Hours Log'!$A:$A,"&lt;"&amp;$J127+7))</f>
        <v/>
      </c>
      <c r="E127">
        <f>IF($J127="","",IFERROR(C127/(B127*40),0))</f>
        <v/>
      </c>
      <c r="F127">
        <f>IF($J127="","",0)</f>
        <v/>
      </c>
      <c r="G127">
        <f>IF($J127="","",SUMIFS('Hours Log'!$E:$E,'Hours Log'!$A:$A,"&gt;="&amp;$J127,'Hours Log'!$A:$A,"&lt;"&amp;$J127+7))</f>
        <v/>
      </c>
      <c r="J127">
        <f>IF(COUNT('Hours Log'!$A$4:$A$5000)=0,"",IF(MIN('Hours Log'!$A$4:$A$5000)+7*(ROW()-10)&gt;MAX('Hours Log'!$A$4:$A$5000),"",MIN('Hours Log'!$A$4:$A$5000)+7*(ROW()-10)))</f>
        <v/>
      </c>
    </row>
    <row r="128">
      <c r="A128">
        <f>IF($J128="","",YEAR($J128-WEEKDAY($J128,2)+4)&amp;"-W"&amp;TEXT(WEEKNUM($J128,21),"00"))</f>
        <v/>
      </c>
      <c r="B128" s="41">
        <f>IF($J128="","",COUNTIFS(Roster!$D$4:$D$500,"Active",Roster!$C$4:$C$500,"&lt;="&amp;$J128))</f>
        <v/>
      </c>
      <c r="C128">
        <f>IF($J128="","",SUMIFS('Hours Log'!$C:$C,'Hours Log'!$A:$A,"&gt;="&amp;$J128,'Hours Log'!$A:$A,"&lt;"&amp;$J128+7)+SUMIFS('Hours Log'!$D:$D,'Hours Log'!$A:$A,"&gt;="&amp;$J128,'Hours Log'!$A:$A,"&lt;"&amp;$J128+7))</f>
        <v/>
      </c>
      <c r="D128">
        <f>IF($J128="","",SUMIFS('Hours Log'!$D:$D,'Hours Log'!$A:$A,"&gt;="&amp;$J128,'Hours Log'!$A:$A,"&lt;"&amp;$J128+7))</f>
        <v/>
      </c>
      <c r="E128">
        <f>IF($J128="","",IFERROR(C128/(B128*40),0))</f>
        <v/>
      </c>
      <c r="F128">
        <f>IF($J128="","",0)</f>
        <v/>
      </c>
      <c r="G128">
        <f>IF($J128="","",SUMIFS('Hours Log'!$E:$E,'Hours Log'!$A:$A,"&gt;="&amp;$J128,'Hours Log'!$A:$A,"&lt;"&amp;$J128+7))</f>
        <v/>
      </c>
      <c r="J128">
        <f>IF(COUNT('Hours Log'!$A$4:$A$5000)=0,"",IF(MIN('Hours Log'!$A$4:$A$5000)+7*(ROW()-10)&gt;MAX('Hours Log'!$A$4:$A$5000),"",MIN('Hours Log'!$A$4:$A$5000)+7*(ROW()-10)))</f>
        <v/>
      </c>
    </row>
    <row r="129">
      <c r="A129">
        <f>IF($J129="","",YEAR($J129-WEEKDAY($J129,2)+4)&amp;"-W"&amp;TEXT(WEEKNUM($J129,21),"00"))</f>
        <v/>
      </c>
      <c r="B129" s="41">
        <f>IF($J129="","",COUNTIFS(Roster!$D$4:$D$500,"Active",Roster!$C$4:$C$500,"&lt;="&amp;$J129))</f>
        <v/>
      </c>
      <c r="C129">
        <f>IF($J129="","",SUMIFS('Hours Log'!$C:$C,'Hours Log'!$A:$A,"&gt;="&amp;$J129,'Hours Log'!$A:$A,"&lt;"&amp;$J129+7)+SUMIFS('Hours Log'!$D:$D,'Hours Log'!$A:$A,"&gt;="&amp;$J129,'Hours Log'!$A:$A,"&lt;"&amp;$J129+7))</f>
        <v/>
      </c>
      <c r="D129">
        <f>IF($J129="","",SUMIFS('Hours Log'!$D:$D,'Hours Log'!$A:$A,"&gt;="&amp;$J129,'Hours Log'!$A:$A,"&lt;"&amp;$J129+7))</f>
        <v/>
      </c>
      <c r="E129">
        <f>IF($J129="","",IFERROR(C129/(B129*40),0))</f>
        <v/>
      </c>
      <c r="F129">
        <f>IF($J129="","",0)</f>
        <v/>
      </c>
      <c r="G129">
        <f>IF($J129="","",SUMIFS('Hours Log'!$E:$E,'Hours Log'!$A:$A,"&gt;="&amp;$J129,'Hours Log'!$A:$A,"&lt;"&amp;$J129+7))</f>
        <v/>
      </c>
      <c r="J129">
        <f>IF(COUNT('Hours Log'!$A$4:$A$5000)=0,"",IF(MIN('Hours Log'!$A$4:$A$5000)+7*(ROW()-10)&gt;MAX('Hours Log'!$A$4:$A$5000),"",MIN('Hours Log'!$A$4:$A$5000)+7*(ROW()-10)))</f>
        <v/>
      </c>
    </row>
    <row r="130">
      <c r="A130">
        <f>IF($J130="","",YEAR($J130-WEEKDAY($J130,2)+4)&amp;"-W"&amp;TEXT(WEEKNUM($J130,21),"00"))</f>
        <v/>
      </c>
      <c r="B130" s="41">
        <f>IF($J130="","",COUNTIFS(Roster!$D$4:$D$500,"Active",Roster!$C$4:$C$500,"&lt;="&amp;$J130))</f>
        <v/>
      </c>
      <c r="C130">
        <f>IF($J130="","",SUMIFS('Hours Log'!$C:$C,'Hours Log'!$A:$A,"&gt;="&amp;$J130,'Hours Log'!$A:$A,"&lt;"&amp;$J130+7)+SUMIFS('Hours Log'!$D:$D,'Hours Log'!$A:$A,"&gt;="&amp;$J130,'Hours Log'!$A:$A,"&lt;"&amp;$J130+7))</f>
        <v/>
      </c>
      <c r="D130">
        <f>IF($J130="","",SUMIFS('Hours Log'!$D:$D,'Hours Log'!$A:$A,"&gt;="&amp;$J130,'Hours Log'!$A:$A,"&lt;"&amp;$J130+7))</f>
        <v/>
      </c>
      <c r="E130">
        <f>IF($J130="","",IFERROR(C130/(B130*40),0))</f>
        <v/>
      </c>
      <c r="F130">
        <f>IF($J130="","",0)</f>
        <v/>
      </c>
      <c r="G130">
        <f>IF($J130="","",SUMIFS('Hours Log'!$E:$E,'Hours Log'!$A:$A,"&gt;="&amp;$J130,'Hours Log'!$A:$A,"&lt;"&amp;$J130+7))</f>
        <v/>
      </c>
      <c r="J130">
        <f>IF(COUNT('Hours Log'!$A$4:$A$5000)=0,"",IF(MIN('Hours Log'!$A$4:$A$5000)+7*(ROW()-10)&gt;MAX('Hours Log'!$A$4:$A$5000),"",MIN('Hours Log'!$A$4:$A$5000)+7*(ROW()-10)))</f>
        <v/>
      </c>
    </row>
    <row r="131">
      <c r="A131">
        <f>IF($J131="","",YEAR($J131-WEEKDAY($J131,2)+4)&amp;"-W"&amp;TEXT(WEEKNUM($J131,21),"00"))</f>
        <v/>
      </c>
      <c r="B131" s="41">
        <f>IF($J131="","",COUNTIFS(Roster!$D$4:$D$500,"Active",Roster!$C$4:$C$500,"&lt;="&amp;$J131))</f>
        <v/>
      </c>
      <c r="C131">
        <f>IF($J131="","",SUMIFS('Hours Log'!$C:$C,'Hours Log'!$A:$A,"&gt;="&amp;$J131,'Hours Log'!$A:$A,"&lt;"&amp;$J131+7)+SUMIFS('Hours Log'!$D:$D,'Hours Log'!$A:$A,"&gt;="&amp;$J131,'Hours Log'!$A:$A,"&lt;"&amp;$J131+7))</f>
        <v/>
      </c>
      <c r="D131">
        <f>IF($J131="","",SUMIFS('Hours Log'!$D:$D,'Hours Log'!$A:$A,"&gt;="&amp;$J131,'Hours Log'!$A:$A,"&lt;"&amp;$J131+7))</f>
        <v/>
      </c>
      <c r="E131">
        <f>IF($J131="","",IFERROR(C131/(B131*40),0))</f>
        <v/>
      </c>
      <c r="F131">
        <f>IF($J131="","",0)</f>
        <v/>
      </c>
      <c r="G131">
        <f>IF($J131="","",SUMIFS('Hours Log'!$E:$E,'Hours Log'!$A:$A,"&gt;="&amp;$J131,'Hours Log'!$A:$A,"&lt;"&amp;$J131+7))</f>
        <v/>
      </c>
      <c r="J131">
        <f>IF(COUNT('Hours Log'!$A$4:$A$5000)=0,"",IF(MIN('Hours Log'!$A$4:$A$5000)+7*(ROW()-10)&gt;MAX('Hours Log'!$A$4:$A$5000),"",MIN('Hours Log'!$A$4:$A$5000)+7*(ROW()-10)))</f>
        <v/>
      </c>
    </row>
    <row r="132">
      <c r="A132">
        <f>IF($J132="","",YEAR($J132-WEEKDAY($J132,2)+4)&amp;"-W"&amp;TEXT(WEEKNUM($J132,21),"00"))</f>
        <v/>
      </c>
      <c r="B132" s="41">
        <f>IF($J132="","",COUNTIFS(Roster!$D$4:$D$500,"Active",Roster!$C$4:$C$500,"&lt;="&amp;$J132))</f>
        <v/>
      </c>
      <c r="C132">
        <f>IF($J132="","",SUMIFS('Hours Log'!$C:$C,'Hours Log'!$A:$A,"&gt;="&amp;$J132,'Hours Log'!$A:$A,"&lt;"&amp;$J132+7)+SUMIFS('Hours Log'!$D:$D,'Hours Log'!$A:$A,"&gt;="&amp;$J132,'Hours Log'!$A:$A,"&lt;"&amp;$J132+7))</f>
        <v/>
      </c>
      <c r="D132">
        <f>IF($J132="","",SUMIFS('Hours Log'!$D:$D,'Hours Log'!$A:$A,"&gt;="&amp;$J132,'Hours Log'!$A:$A,"&lt;"&amp;$J132+7))</f>
        <v/>
      </c>
      <c r="E132">
        <f>IF($J132="","",IFERROR(C132/(B132*40),0))</f>
        <v/>
      </c>
      <c r="F132">
        <f>IF($J132="","",0)</f>
        <v/>
      </c>
      <c r="G132">
        <f>IF($J132="","",SUMIFS('Hours Log'!$E:$E,'Hours Log'!$A:$A,"&gt;="&amp;$J132,'Hours Log'!$A:$A,"&lt;"&amp;$J132+7))</f>
        <v/>
      </c>
      <c r="J132">
        <f>IF(COUNT('Hours Log'!$A$4:$A$5000)=0,"",IF(MIN('Hours Log'!$A$4:$A$5000)+7*(ROW()-10)&gt;MAX('Hours Log'!$A$4:$A$5000),"",MIN('Hours Log'!$A$4:$A$5000)+7*(ROW()-10)))</f>
        <v/>
      </c>
    </row>
    <row r="133">
      <c r="A133">
        <f>IF($J133="","",YEAR($J133-WEEKDAY($J133,2)+4)&amp;"-W"&amp;TEXT(WEEKNUM($J133,21),"00"))</f>
        <v/>
      </c>
      <c r="B133" s="41">
        <f>IF($J133="","",COUNTIFS(Roster!$D$4:$D$500,"Active",Roster!$C$4:$C$500,"&lt;="&amp;$J133))</f>
        <v/>
      </c>
      <c r="C133">
        <f>IF($J133="","",SUMIFS('Hours Log'!$C:$C,'Hours Log'!$A:$A,"&gt;="&amp;$J133,'Hours Log'!$A:$A,"&lt;"&amp;$J133+7)+SUMIFS('Hours Log'!$D:$D,'Hours Log'!$A:$A,"&gt;="&amp;$J133,'Hours Log'!$A:$A,"&lt;"&amp;$J133+7))</f>
        <v/>
      </c>
      <c r="D133">
        <f>IF($J133="","",SUMIFS('Hours Log'!$D:$D,'Hours Log'!$A:$A,"&gt;="&amp;$J133,'Hours Log'!$A:$A,"&lt;"&amp;$J133+7))</f>
        <v/>
      </c>
      <c r="E133">
        <f>IF($J133="","",IFERROR(C133/(B133*40),0))</f>
        <v/>
      </c>
      <c r="F133">
        <f>IF($J133="","",0)</f>
        <v/>
      </c>
      <c r="G133">
        <f>IF($J133="","",SUMIFS('Hours Log'!$E:$E,'Hours Log'!$A:$A,"&gt;="&amp;$J133,'Hours Log'!$A:$A,"&lt;"&amp;$J133+7))</f>
        <v/>
      </c>
      <c r="J133">
        <f>IF(COUNT('Hours Log'!$A$4:$A$5000)=0,"",IF(MIN('Hours Log'!$A$4:$A$5000)+7*(ROW()-10)&gt;MAX('Hours Log'!$A$4:$A$5000),"",MIN('Hours Log'!$A$4:$A$5000)+7*(ROW()-10)))</f>
        <v/>
      </c>
    </row>
    <row r="134">
      <c r="A134">
        <f>IF($J134="","",YEAR($J134-WEEKDAY($J134,2)+4)&amp;"-W"&amp;TEXT(WEEKNUM($J134,21),"00"))</f>
        <v/>
      </c>
      <c r="B134" s="41">
        <f>IF($J134="","",COUNTIFS(Roster!$D$4:$D$500,"Active",Roster!$C$4:$C$500,"&lt;="&amp;$J134))</f>
        <v/>
      </c>
      <c r="C134">
        <f>IF($J134="","",SUMIFS('Hours Log'!$C:$C,'Hours Log'!$A:$A,"&gt;="&amp;$J134,'Hours Log'!$A:$A,"&lt;"&amp;$J134+7)+SUMIFS('Hours Log'!$D:$D,'Hours Log'!$A:$A,"&gt;="&amp;$J134,'Hours Log'!$A:$A,"&lt;"&amp;$J134+7))</f>
        <v/>
      </c>
      <c r="D134">
        <f>IF($J134="","",SUMIFS('Hours Log'!$D:$D,'Hours Log'!$A:$A,"&gt;="&amp;$J134,'Hours Log'!$A:$A,"&lt;"&amp;$J134+7))</f>
        <v/>
      </c>
      <c r="E134">
        <f>IF($J134="","",IFERROR(C134/(B134*40),0))</f>
        <v/>
      </c>
      <c r="F134">
        <f>IF($J134="","",0)</f>
        <v/>
      </c>
      <c r="G134">
        <f>IF($J134="","",SUMIFS('Hours Log'!$E:$E,'Hours Log'!$A:$A,"&gt;="&amp;$J134,'Hours Log'!$A:$A,"&lt;"&amp;$J134+7))</f>
        <v/>
      </c>
      <c r="J134">
        <f>IF(COUNT('Hours Log'!$A$4:$A$5000)=0,"",IF(MIN('Hours Log'!$A$4:$A$5000)+7*(ROW()-10)&gt;MAX('Hours Log'!$A$4:$A$5000),"",MIN('Hours Log'!$A$4:$A$5000)+7*(ROW()-10)))</f>
        <v/>
      </c>
    </row>
    <row r="135">
      <c r="A135">
        <f>IF($J135="","",YEAR($J135-WEEKDAY($J135,2)+4)&amp;"-W"&amp;TEXT(WEEKNUM($J135,21),"00"))</f>
        <v/>
      </c>
      <c r="B135" s="41">
        <f>IF($J135="","",COUNTIFS(Roster!$D$4:$D$500,"Active",Roster!$C$4:$C$500,"&lt;="&amp;$J135))</f>
        <v/>
      </c>
      <c r="C135">
        <f>IF($J135="","",SUMIFS('Hours Log'!$C:$C,'Hours Log'!$A:$A,"&gt;="&amp;$J135,'Hours Log'!$A:$A,"&lt;"&amp;$J135+7)+SUMIFS('Hours Log'!$D:$D,'Hours Log'!$A:$A,"&gt;="&amp;$J135,'Hours Log'!$A:$A,"&lt;"&amp;$J135+7))</f>
        <v/>
      </c>
      <c r="D135">
        <f>IF($J135="","",SUMIFS('Hours Log'!$D:$D,'Hours Log'!$A:$A,"&gt;="&amp;$J135,'Hours Log'!$A:$A,"&lt;"&amp;$J135+7))</f>
        <v/>
      </c>
      <c r="E135">
        <f>IF($J135="","",IFERROR(C135/(B135*40),0))</f>
        <v/>
      </c>
      <c r="F135">
        <f>IF($J135="","",0)</f>
        <v/>
      </c>
      <c r="G135">
        <f>IF($J135="","",SUMIFS('Hours Log'!$E:$E,'Hours Log'!$A:$A,"&gt;="&amp;$J135,'Hours Log'!$A:$A,"&lt;"&amp;$J135+7))</f>
        <v/>
      </c>
      <c r="J135">
        <f>IF(COUNT('Hours Log'!$A$4:$A$5000)=0,"",IF(MIN('Hours Log'!$A$4:$A$5000)+7*(ROW()-10)&gt;MAX('Hours Log'!$A$4:$A$5000),"",MIN('Hours Log'!$A$4:$A$5000)+7*(ROW()-10)))</f>
        <v/>
      </c>
    </row>
    <row r="136">
      <c r="A136">
        <f>IF($J136="","",YEAR($J136-WEEKDAY($J136,2)+4)&amp;"-W"&amp;TEXT(WEEKNUM($J136,21),"00"))</f>
        <v/>
      </c>
      <c r="B136" s="41">
        <f>IF($J136="","",COUNTIFS(Roster!$D$4:$D$500,"Active",Roster!$C$4:$C$500,"&lt;="&amp;$J136))</f>
        <v/>
      </c>
      <c r="C136">
        <f>IF($J136="","",SUMIFS('Hours Log'!$C:$C,'Hours Log'!$A:$A,"&gt;="&amp;$J136,'Hours Log'!$A:$A,"&lt;"&amp;$J136+7)+SUMIFS('Hours Log'!$D:$D,'Hours Log'!$A:$A,"&gt;="&amp;$J136,'Hours Log'!$A:$A,"&lt;"&amp;$J136+7))</f>
        <v/>
      </c>
      <c r="D136">
        <f>IF($J136="","",SUMIFS('Hours Log'!$D:$D,'Hours Log'!$A:$A,"&gt;="&amp;$J136,'Hours Log'!$A:$A,"&lt;"&amp;$J136+7))</f>
        <v/>
      </c>
      <c r="E136">
        <f>IF($J136="","",IFERROR(C136/(B136*40),0))</f>
        <v/>
      </c>
      <c r="F136">
        <f>IF($J136="","",0)</f>
        <v/>
      </c>
      <c r="G136">
        <f>IF($J136="","",SUMIFS('Hours Log'!$E:$E,'Hours Log'!$A:$A,"&gt;="&amp;$J136,'Hours Log'!$A:$A,"&lt;"&amp;$J136+7))</f>
        <v/>
      </c>
      <c r="J136">
        <f>IF(COUNT('Hours Log'!$A$4:$A$5000)=0,"",IF(MIN('Hours Log'!$A$4:$A$5000)+7*(ROW()-10)&gt;MAX('Hours Log'!$A$4:$A$5000),"",MIN('Hours Log'!$A$4:$A$5000)+7*(ROW()-10)))</f>
        <v/>
      </c>
    </row>
    <row r="137">
      <c r="A137">
        <f>IF($J137="","",YEAR($J137-WEEKDAY($J137,2)+4)&amp;"-W"&amp;TEXT(WEEKNUM($J137,21),"00"))</f>
        <v/>
      </c>
      <c r="B137" s="41">
        <f>IF($J137="","",COUNTIFS(Roster!$D$4:$D$500,"Active",Roster!$C$4:$C$500,"&lt;="&amp;$J137))</f>
        <v/>
      </c>
      <c r="C137">
        <f>IF($J137="","",SUMIFS('Hours Log'!$C:$C,'Hours Log'!$A:$A,"&gt;="&amp;$J137,'Hours Log'!$A:$A,"&lt;"&amp;$J137+7)+SUMIFS('Hours Log'!$D:$D,'Hours Log'!$A:$A,"&gt;="&amp;$J137,'Hours Log'!$A:$A,"&lt;"&amp;$J137+7))</f>
        <v/>
      </c>
      <c r="D137">
        <f>IF($J137="","",SUMIFS('Hours Log'!$D:$D,'Hours Log'!$A:$A,"&gt;="&amp;$J137,'Hours Log'!$A:$A,"&lt;"&amp;$J137+7))</f>
        <v/>
      </c>
      <c r="E137">
        <f>IF($J137="","",IFERROR(C137/(B137*40),0))</f>
        <v/>
      </c>
      <c r="F137">
        <f>IF($J137="","",0)</f>
        <v/>
      </c>
      <c r="G137">
        <f>IF($J137="","",SUMIFS('Hours Log'!$E:$E,'Hours Log'!$A:$A,"&gt;="&amp;$J137,'Hours Log'!$A:$A,"&lt;"&amp;$J137+7))</f>
        <v/>
      </c>
      <c r="J137">
        <f>IF(COUNT('Hours Log'!$A$4:$A$5000)=0,"",IF(MIN('Hours Log'!$A$4:$A$5000)+7*(ROW()-10)&gt;MAX('Hours Log'!$A$4:$A$5000),"",MIN('Hours Log'!$A$4:$A$5000)+7*(ROW()-10)))</f>
        <v/>
      </c>
    </row>
    <row r="138">
      <c r="A138">
        <f>IF($J138="","",YEAR($J138-WEEKDAY($J138,2)+4)&amp;"-W"&amp;TEXT(WEEKNUM($J138,21),"00"))</f>
        <v/>
      </c>
      <c r="B138" s="41">
        <f>IF($J138="","",COUNTIFS(Roster!$D$4:$D$500,"Active",Roster!$C$4:$C$500,"&lt;="&amp;$J138))</f>
        <v/>
      </c>
      <c r="C138">
        <f>IF($J138="","",SUMIFS('Hours Log'!$C:$C,'Hours Log'!$A:$A,"&gt;="&amp;$J138,'Hours Log'!$A:$A,"&lt;"&amp;$J138+7)+SUMIFS('Hours Log'!$D:$D,'Hours Log'!$A:$A,"&gt;="&amp;$J138,'Hours Log'!$A:$A,"&lt;"&amp;$J138+7))</f>
        <v/>
      </c>
      <c r="D138">
        <f>IF($J138="","",SUMIFS('Hours Log'!$D:$D,'Hours Log'!$A:$A,"&gt;="&amp;$J138,'Hours Log'!$A:$A,"&lt;"&amp;$J138+7))</f>
        <v/>
      </c>
      <c r="E138">
        <f>IF($J138="","",IFERROR(C138/(B138*40),0))</f>
        <v/>
      </c>
      <c r="F138">
        <f>IF($J138="","",0)</f>
        <v/>
      </c>
      <c r="G138">
        <f>IF($J138="","",SUMIFS('Hours Log'!$E:$E,'Hours Log'!$A:$A,"&gt;="&amp;$J138,'Hours Log'!$A:$A,"&lt;"&amp;$J138+7))</f>
        <v/>
      </c>
      <c r="J138">
        <f>IF(COUNT('Hours Log'!$A$4:$A$5000)=0,"",IF(MIN('Hours Log'!$A$4:$A$5000)+7*(ROW()-10)&gt;MAX('Hours Log'!$A$4:$A$5000),"",MIN('Hours Log'!$A$4:$A$5000)+7*(ROW()-10)))</f>
        <v/>
      </c>
    </row>
    <row r="139">
      <c r="A139">
        <f>IF($J139="","",YEAR($J139-WEEKDAY($J139,2)+4)&amp;"-W"&amp;TEXT(WEEKNUM($J139,21),"00"))</f>
        <v/>
      </c>
      <c r="B139" s="41">
        <f>IF($J139="","",COUNTIFS(Roster!$D$4:$D$500,"Active",Roster!$C$4:$C$500,"&lt;="&amp;$J139))</f>
        <v/>
      </c>
      <c r="C139">
        <f>IF($J139="","",SUMIFS('Hours Log'!$C:$C,'Hours Log'!$A:$A,"&gt;="&amp;$J139,'Hours Log'!$A:$A,"&lt;"&amp;$J139+7)+SUMIFS('Hours Log'!$D:$D,'Hours Log'!$A:$A,"&gt;="&amp;$J139,'Hours Log'!$A:$A,"&lt;"&amp;$J139+7))</f>
        <v/>
      </c>
      <c r="D139">
        <f>IF($J139="","",SUMIFS('Hours Log'!$D:$D,'Hours Log'!$A:$A,"&gt;="&amp;$J139,'Hours Log'!$A:$A,"&lt;"&amp;$J139+7))</f>
        <v/>
      </c>
      <c r="E139">
        <f>IF($J139="","",IFERROR(C139/(B139*40),0))</f>
        <v/>
      </c>
      <c r="F139">
        <f>IF($J139="","",0)</f>
        <v/>
      </c>
      <c r="G139">
        <f>IF($J139="","",SUMIFS('Hours Log'!$E:$E,'Hours Log'!$A:$A,"&gt;="&amp;$J139,'Hours Log'!$A:$A,"&lt;"&amp;$J139+7))</f>
        <v/>
      </c>
      <c r="J139">
        <f>IF(COUNT('Hours Log'!$A$4:$A$5000)=0,"",IF(MIN('Hours Log'!$A$4:$A$5000)+7*(ROW()-10)&gt;MAX('Hours Log'!$A$4:$A$5000),"",MIN('Hours Log'!$A$4:$A$5000)+7*(ROW()-10)))</f>
        <v/>
      </c>
    </row>
    <row r="140">
      <c r="A140">
        <f>IF($J140="","",YEAR($J140-WEEKDAY($J140,2)+4)&amp;"-W"&amp;TEXT(WEEKNUM($J140,21),"00"))</f>
        <v/>
      </c>
      <c r="B140" s="41">
        <f>IF($J140="","",COUNTIFS(Roster!$D$4:$D$500,"Active",Roster!$C$4:$C$500,"&lt;="&amp;$J140))</f>
        <v/>
      </c>
      <c r="C140">
        <f>IF($J140="","",SUMIFS('Hours Log'!$C:$C,'Hours Log'!$A:$A,"&gt;="&amp;$J140,'Hours Log'!$A:$A,"&lt;"&amp;$J140+7)+SUMIFS('Hours Log'!$D:$D,'Hours Log'!$A:$A,"&gt;="&amp;$J140,'Hours Log'!$A:$A,"&lt;"&amp;$J140+7))</f>
        <v/>
      </c>
      <c r="D140">
        <f>IF($J140="","",SUMIFS('Hours Log'!$D:$D,'Hours Log'!$A:$A,"&gt;="&amp;$J140,'Hours Log'!$A:$A,"&lt;"&amp;$J140+7))</f>
        <v/>
      </c>
      <c r="E140">
        <f>IF($J140="","",IFERROR(C140/(B140*40),0))</f>
        <v/>
      </c>
      <c r="F140">
        <f>IF($J140="","",0)</f>
        <v/>
      </c>
      <c r="G140">
        <f>IF($J140="","",SUMIFS('Hours Log'!$E:$E,'Hours Log'!$A:$A,"&gt;="&amp;$J140,'Hours Log'!$A:$A,"&lt;"&amp;$J140+7))</f>
        <v/>
      </c>
      <c r="J140">
        <f>IF(COUNT('Hours Log'!$A$4:$A$5000)=0,"",IF(MIN('Hours Log'!$A$4:$A$5000)+7*(ROW()-10)&gt;MAX('Hours Log'!$A$4:$A$5000),"",MIN('Hours Log'!$A$4:$A$5000)+7*(ROW()-10)))</f>
        <v/>
      </c>
    </row>
    <row r="141">
      <c r="A141">
        <f>IF($J141="","",YEAR($J141-WEEKDAY($J141,2)+4)&amp;"-W"&amp;TEXT(WEEKNUM($J141,21),"00"))</f>
        <v/>
      </c>
      <c r="B141" s="41">
        <f>IF($J141="","",COUNTIFS(Roster!$D$4:$D$500,"Active",Roster!$C$4:$C$500,"&lt;="&amp;$J141))</f>
        <v/>
      </c>
      <c r="C141">
        <f>IF($J141="","",SUMIFS('Hours Log'!$C:$C,'Hours Log'!$A:$A,"&gt;="&amp;$J141,'Hours Log'!$A:$A,"&lt;"&amp;$J141+7)+SUMIFS('Hours Log'!$D:$D,'Hours Log'!$A:$A,"&gt;="&amp;$J141,'Hours Log'!$A:$A,"&lt;"&amp;$J141+7))</f>
        <v/>
      </c>
      <c r="D141">
        <f>IF($J141="","",SUMIFS('Hours Log'!$D:$D,'Hours Log'!$A:$A,"&gt;="&amp;$J141,'Hours Log'!$A:$A,"&lt;"&amp;$J141+7))</f>
        <v/>
      </c>
      <c r="E141">
        <f>IF($J141="","",IFERROR(C141/(B141*40),0))</f>
        <v/>
      </c>
      <c r="F141">
        <f>IF($J141="","",0)</f>
        <v/>
      </c>
      <c r="G141">
        <f>IF($J141="","",SUMIFS('Hours Log'!$E:$E,'Hours Log'!$A:$A,"&gt;="&amp;$J141,'Hours Log'!$A:$A,"&lt;"&amp;$J141+7))</f>
        <v/>
      </c>
      <c r="J141">
        <f>IF(COUNT('Hours Log'!$A$4:$A$5000)=0,"",IF(MIN('Hours Log'!$A$4:$A$5000)+7*(ROW()-10)&gt;MAX('Hours Log'!$A$4:$A$5000),"",MIN('Hours Log'!$A$4:$A$5000)+7*(ROW()-10)))</f>
        <v/>
      </c>
    </row>
    <row r="142">
      <c r="A142">
        <f>IF($J142="","",YEAR($J142-WEEKDAY($J142,2)+4)&amp;"-W"&amp;TEXT(WEEKNUM($J142,21),"00"))</f>
        <v/>
      </c>
      <c r="B142" s="41">
        <f>IF($J142="","",COUNTIFS(Roster!$D$4:$D$500,"Active",Roster!$C$4:$C$500,"&lt;="&amp;$J142))</f>
        <v/>
      </c>
      <c r="C142">
        <f>IF($J142="","",SUMIFS('Hours Log'!$C:$C,'Hours Log'!$A:$A,"&gt;="&amp;$J142,'Hours Log'!$A:$A,"&lt;"&amp;$J142+7)+SUMIFS('Hours Log'!$D:$D,'Hours Log'!$A:$A,"&gt;="&amp;$J142,'Hours Log'!$A:$A,"&lt;"&amp;$J142+7))</f>
        <v/>
      </c>
      <c r="D142">
        <f>IF($J142="","",SUMIFS('Hours Log'!$D:$D,'Hours Log'!$A:$A,"&gt;="&amp;$J142,'Hours Log'!$A:$A,"&lt;"&amp;$J142+7))</f>
        <v/>
      </c>
      <c r="E142">
        <f>IF($J142="","",IFERROR(C142/(B142*40),0))</f>
        <v/>
      </c>
      <c r="F142">
        <f>IF($J142="","",0)</f>
        <v/>
      </c>
      <c r="G142">
        <f>IF($J142="","",SUMIFS('Hours Log'!$E:$E,'Hours Log'!$A:$A,"&gt;="&amp;$J142,'Hours Log'!$A:$A,"&lt;"&amp;$J142+7))</f>
        <v/>
      </c>
      <c r="J142">
        <f>IF(COUNT('Hours Log'!$A$4:$A$5000)=0,"",IF(MIN('Hours Log'!$A$4:$A$5000)+7*(ROW()-10)&gt;MAX('Hours Log'!$A$4:$A$5000),"",MIN('Hours Log'!$A$4:$A$5000)+7*(ROW()-10)))</f>
        <v/>
      </c>
    </row>
    <row r="143">
      <c r="A143">
        <f>IF($J143="","",YEAR($J143-WEEKDAY($J143,2)+4)&amp;"-W"&amp;TEXT(WEEKNUM($J143,21),"00"))</f>
        <v/>
      </c>
      <c r="B143" s="41">
        <f>IF($J143="","",COUNTIFS(Roster!$D$4:$D$500,"Active",Roster!$C$4:$C$500,"&lt;="&amp;$J143))</f>
        <v/>
      </c>
      <c r="C143">
        <f>IF($J143="","",SUMIFS('Hours Log'!$C:$C,'Hours Log'!$A:$A,"&gt;="&amp;$J143,'Hours Log'!$A:$A,"&lt;"&amp;$J143+7)+SUMIFS('Hours Log'!$D:$D,'Hours Log'!$A:$A,"&gt;="&amp;$J143,'Hours Log'!$A:$A,"&lt;"&amp;$J143+7))</f>
        <v/>
      </c>
      <c r="D143">
        <f>IF($J143="","",SUMIFS('Hours Log'!$D:$D,'Hours Log'!$A:$A,"&gt;="&amp;$J143,'Hours Log'!$A:$A,"&lt;"&amp;$J143+7))</f>
        <v/>
      </c>
      <c r="E143">
        <f>IF($J143="","",IFERROR(C143/(B143*40),0))</f>
        <v/>
      </c>
      <c r="F143">
        <f>IF($J143="","",0)</f>
        <v/>
      </c>
      <c r="G143">
        <f>IF($J143="","",SUMIFS('Hours Log'!$E:$E,'Hours Log'!$A:$A,"&gt;="&amp;$J143,'Hours Log'!$A:$A,"&lt;"&amp;$J143+7))</f>
        <v/>
      </c>
      <c r="J143">
        <f>IF(COUNT('Hours Log'!$A$4:$A$5000)=0,"",IF(MIN('Hours Log'!$A$4:$A$5000)+7*(ROW()-10)&gt;MAX('Hours Log'!$A$4:$A$5000),"",MIN('Hours Log'!$A$4:$A$5000)+7*(ROW()-10)))</f>
        <v/>
      </c>
    </row>
    <row r="144">
      <c r="A144">
        <f>IF($J144="","",YEAR($J144-WEEKDAY($J144,2)+4)&amp;"-W"&amp;TEXT(WEEKNUM($J144,21),"00"))</f>
        <v/>
      </c>
      <c r="B144" s="41">
        <f>IF($J144="","",COUNTIFS(Roster!$D$4:$D$500,"Active",Roster!$C$4:$C$500,"&lt;="&amp;$J144))</f>
        <v/>
      </c>
      <c r="C144">
        <f>IF($J144="","",SUMIFS('Hours Log'!$C:$C,'Hours Log'!$A:$A,"&gt;="&amp;$J144,'Hours Log'!$A:$A,"&lt;"&amp;$J144+7)+SUMIFS('Hours Log'!$D:$D,'Hours Log'!$A:$A,"&gt;="&amp;$J144,'Hours Log'!$A:$A,"&lt;"&amp;$J144+7))</f>
        <v/>
      </c>
      <c r="D144">
        <f>IF($J144="","",SUMIFS('Hours Log'!$D:$D,'Hours Log'!$A:$A,"&gt;="&amp;$J144,'Hours Log'!$A:$A,"&lt;"&amp;$J144+7))</f>
        <v/>
      </c>
      <c r="E144">
        <f>IF($J144="","",IFERROR(C144/(B144*40),0))</f>
        <v/>
      </c>
      <c r="F144">
        <f>IF($J144="","",0)</f>
        <v/>
      </c>
      <c r="G144">
        <f>IF($J144="","",SUMIFS('Hours Log'!$E:$E,'Hours Log'!$A:$A,"&gt;="&amp;$J144,'Hours Log'!$A:$A,"&lt;"&amp;$J144+7))</f>
        <v/>
      </c>
      <c r="J144">
        <f>IF(COUNT('Hours Log'!$A$4:$A$5000)=0,"",IF(MIN('Hours Log'!$A$4:$A$5000)+7*(ROW()-10)&gt;MAX('Hours Log'!$A$4:$A$5000),"",MIN('Hours Log'!$A$4:$A$5000)+7*(ROW()-10)))</f>
        <v/>
      </c>
    </row>
    <row r="145">
      <c r="A145">
        <f>IF($J145="","",YEAR($J145-WEEKDAY($J145,2)+4)&amp;"-W"&amp;TEXT(WEEKNUM($J145,21),"00"))</f>
        <v/>
      </c>
      <c r="B145" s="41">
        <f>IF($J145="","",COUNTIFS(Roster!$D$4:$D$500,"Active",Roster!$C$4:$C$500,"&lt;="&amp;$J145))</f>
        <v/>
      </c>
      <c r="C145">
        <f>IF($J145="","",SUMIFS('Hours Log'!$C:$C,'Hours Log'!$A:$A,"&gt;="&amp;$J145,'Hours Log'!$A:$A,"&lt;"&amp;$J145+7)+SUMIFS('Hours Log'!$D:$D,'Hours Log'!$A:$A,"&gt;="&amp;$J145,'Hours Log'!$A:$A,"&lt;"&amp;$J145+7))</f>
        <v/>
      </c>
      <c r="D145">
        <f>IF($J145="","",SUMIFS('Hours Log'!$D:$D,'Hours Log'!$A:$A,"&gt;="&amp;$J145,'Hours Log'!$A:$A,"&lt;"&amp;$J145+7))</f>
        <v/>
      </c>
      <c r="E145">
        <f>IF($J145="","",IFERROR(C145/(B145*40),0))</f>
        <v/>
      </c>
      <c r="F145">
        <f>IF($J145="","",0)</f>
        <v/>
      </c>
      <c r="G145">
        <f>IF($J145="","",SUMIFS('Hours Log'!$E:$E,'Hours Log'!$A:$A,"&gt;="&amp;$J145,'Hours Log'!$A:$A,"&lt;"&amp;$J145+7))</f>
        <v/>
      </c>
      <c r="J145">
        <f>IF(COUNT('Hours Log'!$A$4:$A$5000)=0,"",IF(MIN('Hours Log'!$A$4:$A$5000)+7*(ROW()-10)&gt;MAX('Hours Log'!$A$4:$A$5000),"",MIN('Hours Log'!$A$4:$A$5000)+7*(ROW()-10)))</f>
        <v/>
      </c>
    </row>
    <row r="146">
      <c r="A146">
        <f>IF($J146="","",YEAR($J146-WEEKDAY($J146,2)+4)&amp;"-W"&amp;TEXT(WEEKNUM($J146,21),"00"))</f>
        <v/>
      </c>
      <c r="B146" s="41">
        <f>IF($J146="","",COUNTIFS(Roster!$D$4:$D$500,"Active",Roster!$C$4:$C$500,"&lt;="&amp;$J146))</f>
        <v/>
      </c>
      <c r="C146">
        <f>IF($J146="","",SUMIFS('Hours Log'!$C:$C,'Hours Log'!$A:$A,"&gt;="&amp;$J146,'Hours Log'!$A:$A,"&lt;"&amp;$J146+7)+SUMIFS('Hours Log'!$D:$D,'Hours Log'!$A:$A,"&gt;="&amp;$J146,'Hours Log'!$A:$A,"&lt;"&amp;$J146+7))</f>
        <v/>
      </c>
      <c r="D146">
        <f>IF($J146="","",SUMIFS('Hours Log'!$D:$D,'Hours Log'!$A:$A,"&gt;="&amp;$J146,'Hours Log'!$A:$A,"&lt;"&amp;$J146+7))</f>
        <v/>
      </c>
      <c r="E146">
        <f>IF($J146="","",IFERROR(C146/(B146*40),0))</f>
        <v/>
      </c>
      <c r="F146">
        <f>IF($J146="","",0)</f>
        <v/>
      </c>
      <c r="G146">
        <f>IF($J146="","",SUMIFS('Hours Log'!$E:$E,'Hours Log'!$A:$A,"&gt;="&amp;$J146,'Hours Log'!$A:$A,"&lt;"&amp;$J146+7))</f>
        <v/>
      </c>
      <c r="J146">
        <f>IF(COUNT('Hours Log'!$A$4:$A$5000)=0,"",IF(MIN('Hours Log'!$A$4:$A$5000)+7*(ROW()-10)&gt;MAX('Hours Log'!$A$4:$A$5000),"",MIN('Hours Log'!$A$4:$A$5000)+7*(ROW()-10)))</f>
        <v/>
      </c>
    </row>
    <row r="147">
      <c r="A147">
        <f>IF($J147="","",YEAR($J147-WEEKDAY($J147,2)+4)&amp;"-W"&amp;TEXT(WEEKNUM($J147,21),"00"))</f>
        <v/>
      </c>
      <c r="B147" s="41">
        <f>IF($J147="","",COUNTIFS(Roster!$D$4:$D$500,"Active",Roster!$C$4:$C$500,"&lt;="&amp;$J147))</f>
        <v/>
      </c>
      <c r="C147">
        <f>IF($J147="","",SUMIFS('Hours Log'!$C:$C,'Hours Log'!$A:$A,"&gt;="&amp;$J147,'Hours Log'!$A:$A,"&lt;"&amp;$J147+7)+SUMIFS('Hours Log'!$D:$D,'Hours Log'!$A:$A,"&gt;="&amp;$J147,'Hours Log'!$A:$A,"&lt;"&amp;$J147+7))</f>
        <v/>
      </c>
      <c r="D147">
        <f>IF($J147="","",SUMIFS('Hours Log'!$D:$D,'Hours Log'!$A:$A,"&gt;="&amp;$J147,'Hours Log'!$A:$A,"&lt;"&amp;$J147+7))</f>
        <v/>
      </c>
      <c r="E147">
        <f>IF($J147="","",IFERROR(C147/(B147*40),0))</f>
        <v/>
      </c>
      <c r="F147">
        <f>IF($J147="","",0)</f>
        <v/>
      </c>
      <c r="G147">
        <f>IF($J147="","",SUMIFS('Hours Log'!$E:$E,'Hours Log'!$A:$A,"&gt;="&amp;$J147,'Hours Log'!$A:$A,"&lt;"&amp;$J147+7))</f>
        <v/>
      </c>
      <c r="J147">
        <f>IF(COUNT('Hours Log'!$A$4:$A$5000)=0,"",IF(MIN('Hours Log'!$A$4:$A$5000)+7*(ROW()-10)&gt;MAX('Hours Log'!$A$4:$A$5000),"",MIN('Hours Log'!$A$4:$A$5000)+7*(ROW()-10)))</f>
        <v/>
      </c>
    </row>
    <row r="148">
      <c r="A148">
        <f>IF($J148="","",YEAR($J148-WEEKDAY($J148,2)+4)&amp;"-W"&amp;TEXT(WEEKNUM($J148,21),"00"))</f>
        <v/>
      </c>
      <c r="B148" s="41">
        <f>IF($J148="","",COUNTIFS(Roster!$D$4:$D$500,"Active",Roster!$C$4:$C$500,"&lt;="&amp;$J148))</f>
        <v/>
      </c>
      <c r="C148">
        <f>IF($J148="","",SUMIFS('Hours Log'!$C:$C,'Hours Log'!$A:$A,"&gt;="&amp;$J148,'Hours Log'!$A:$A,"&lt;"&amp;$J148+7)+SUMIFS('Hours Log'!$D:$D,'Hours Log'!$A:$A,"&gt;="&amp;$J148,'Hours Log'!$A:$A,"&lt;"&amp;$J148+7))</f>
        <v/>
      </c>
      <c r="D148">
        <f>IF($J148="","",SUMIFS('Hours Log'!$D:$D,'Hours Log'!$A:$A,"&gt;="&amp;$J148,'Hours Log'!$A:$A,"&lt;"&amp;$J148+7))</f>
        <v/>
      </c>
      <c r="E148">
        <f>IF($J148="","",IFERROR(C148/(B148*40),0))</f>
        <v/>
      </c>
      <c r="F148">
        <f>IF($J148="","",0)</f>
        <v/>
      </c>
      <c r="G148">
        <f>IF($J148="","",SUMIFS('Hours Log'!$E:$E,'Hours Log'!$A:$A,"&gt;="&amp;$J148,'Hours Log'!$A:$A,"&lt;"&amp;$J148+7))</f>
        <v/>
      </c>
      <c r="J148">
        <f>IF(COUNT('Hours Log'!$A$4:$A$5000)=0,"",IF(MIN('Hours Log'!$A$4:$A$5000)+7*(ROW()-10)&gt;MAX('Hours Log'!$A$4:$A$5000),"",MIN('Hours Log'!$A$4:$A$5000)+7*(ROW()-10)))</f>
        <v/>
      </c>
    </row>
    <row r="149">
      <c r="A149">
        <f>IF($J149="","",YEAR($J149-WEEKDAY($J149,2)+4)&amp;"-W"&amp;TEXT(WEEKNUM($J149,21),"00"))</f>
        <v/>
      </c>
      <c r="B149" s="41">
        <f>IF($J149="","",COUNTIFS(Roster!$D$4:$D$500,"Active",Roster!$C$4:$C$500,"&lt;="&amp;$J149))</f>
        <v/>
      </c>
      <c r="C149">
        <f>IF($J149="","",SUMIFS('Hours Log'!$C:$C,'Hours Log'!$A:$A,"&gt;="&amp;$J149,'Hours Log'!$A:$A,"&lt;"&amp;$J149+7)+SUMIFS('Hours Log'!$D:$D,'Hours Log'!$A:$A,"&gt;="&amp;$J149,'Hours Log'!$A:$A,"&lt;"&amp;$J149+7))</f>
        <v/>
      </c>
      <c r="D149">
        <f>IF($J149="","",SUMIFS('Hours Log'!$D:$D,'Hours Log'!$A:$A,"&gt;="&amp;$J149,'Hours Log'!$A:$A,"&lt;"&amp;$J149+7))</f>
        <v/>
      </c>
      <c r="E149">
        <f>IF($J149="","",IFERROR(C149/(B149*40),0))</f>
        <v/>
      </c>
      <c r="F149">
        <f>IF($J149="","",0)</f>
        <v/>
      </c>
      <c r="G149">
        <f>IF($J149="","",SUMIFS('Hours Log'!$E:$E,'Hours Log'!$A:$A,"&gt;="&amp;$J149,'Hours Log'!$A:$A,"&lt;"&amp;$J149+7))</f>
        <v/>
      </c>
      <c r="J149">
        <f>IF(COUNT('Hours Log'!$A$4:$A$5000)=0,"",IF(MIN('Hours Log'!$A$4:$A$5000)+7*(ROW()-10)&gt;MAX('Hours Log'!$A$4:$A$5000),"",MIN('Hours Log'!$A$4:$A$5000)+7*(ROW()-10)))</f>
        <v/>
      </c>
    </row>
    <row r="150">
      <c r="A150">
        <f>IF($J150="","",YEAR($J150-WEEKDAY($J150,2)+4)&amp;"-W"&amp;TEXT(WEEKNUM($J150,21),"00"))</f>
        <v/>
      </c>
      <c r="B150" s="41">
        <f>IF($J150="","",COUNTIFS(Roster!$D$4:$D$500,"Active",Roster!$C$4:$C$500,"&lt;="&amp;$J150))</f>
        <v/>
      </c>
      <c r="C150">
        <f>IF($J150="","",SUMIFS('Hours Log'!$C:$C,'Hours Log'!$A:$A,"&gt;="&amp;$J150,'Hours Log'!$A:$A,"&lt;"&amp;$J150+7)+SUMIFS('Hours Log'!$D:$D,'Hours Log'!$A:$A,"&gt;="&amp;$J150,'Hours Log'!$A:$A,"&lt;"&amp;$J150+7))</f>
        <v/>
      </c>
      <c r="D150">
        <f>IF($J150="","",SUMIFS('Hours Log'!$D:$D,'Hours Log'!$A:$A,"&gt;="&amp;$J150,'Hours Log'!$A:$A,"&lt;"&amp;$J150+7))</f>
        <v/>
      </c>
      <c r="E150">
        <f>IF($J150="","",IFERROR(C150/(B150*40),0))</f>
        <v/>
      </c>
      <c r="F150">
        <f>IF($J150="","",0)</f>
        <v/>
      </c>
      <c r="G150">
        <f>IF($J150="","",SUMIFS('Hours Log'!$E:$E,'Hours Log'!$A:$A,"&gt;="&amp;$J150,'Hours Log'!$A:$A,"&lt;"&amp;$J150+7))</f>
        <v/>
      </c>
      <c r="J150">
        <f>IF(COUNT('Hours Log'!$A$4:$A$5000)=0,"",IF(MIN('Hours Log'!$A$4:$A$5000)+7*(ROW()-10)&gt;MAX('Hours Log'!$A$4:$A$5000),"",MIN('Hours Log'!$A$4:$A$5000)+7*(ROW()-10)))</f>
        <v/>
      </c>
    </row>
    <row r="151">
      <c r="A151">
        <f>IF($J151="","",YEAR($J151-WEEKDAY($J151,2)+4)&amp;"-W"&amp;TEXT(WEEKNUM($J151,21),"00"))</f>
        <v/>
      </c>
      <c r="B151" s="41">
        <f>IF($J151="","",COUNTIFS(Roster!$D$4:$D$500,"Active",Roster!$C$4:$C$500,"&lt;="&amp;$J151))</f>
        <v/>
      </c>
      <c r="C151">
        <f>IF($J151="","",SUMIFS('Hours Log'!$C:$C,'Hours Log'!$A:$A,"&gt;="&amp;$J151,'Hours Log'!$A:$A,"&lt;"&amp;$J151+7)+SUMIFS('Hours Log'!$D:$D,'Hours Log'!$A:$A,"&gt;="&amp;$J151,'Hours Log'!$A:$A,"&lt;"&amp;$J151+7))</f>
        <v/>
      </c>
      <c r="D151">
        <f>IF($J151="","",SUMIFS('Hours Log'!$D:$D,'Hours Log'!$A:$A,"&gt;="&amp;$J151,'Hours Log'!$A:$A,"&lt;"&amp;$J151+7))</f>
        <v/>
      </c>
      <c r="E151">
        <f>IF($J151="","",IFERROR(C151/(B151*40),0))</f>
        <v/>
      </c>
      <c r="F151">
        <f>IF($J151="","",0)</f>
        <v/>
      </c>
      <c r="G151">
        <f>IF($J151="","",SUMIFS('Hours Log'!$E:$E,'Hours Log'!$A:$A,"&gt;="&amp;$J151,'Hours Log'!$A:$A,"&lt;"&amp;$J151+7))</f>
        <v/>
      </c>
      <c r="J151">
        <f>IF(COUNT('Hours Log'!$A$4:$A$5000)=0,"",IF(MIN('Hours Log'!$A$4:$A$5000)+7*(ROW()-10)&gt;MAX('Hours Log'!$A$4:$A$5000),"",MIN('Hours Log'!$A$4:$A$5000)+7*(ROW()-10)))</f>
        <v/>
      </c>
    </row>
    <row r="152">
      <c r="A152">
        <f>IF($J152="","",YEAR($J152-WEEKDAY($J152,2)+4)&amp;"-W"&amp;TEXT(WEEKNUM($J152,21),"00"))</f>
        <v/>
      </c>
      <c r="B152" s="41">
        <f>IF($J152="","",COUNTIFS(Roster!$D$4:$D$500,"Active",Roster!$C$4:$C$500,"&lt;="&amp;$J152))</f>
        <v/>
      </c>
      <c r="C152">
        <f>IF($J152="","",SUMIFS('Hours Log'!$C:$C,'Hours Log'!$A:$A,"&gt;="&amp;$J152,'Hours Log'!$A:$A,"&lt;"&amp;$J152+7)+SUMIFS('Hours Log'!$D:$D,'Hours Log'!$A:$A,"&gt;="&amp;$J152,'Hours Log'!$A:$A,"&lt;"&amp;$J152+7))</f>
        <v/>
      </c>
      <c r="D152">
        <f>IF($J152="","",SUMIFS('Hours Log'!$D:$D,'Hours Log'!$A:$A,"&gt;="&amp;$J152,'Hours Log'!$A:$A,"&lt;"&amp;$J152+7))</f>
        <v/>
      </c>
      <c r="E152">
        <f>IF($J152="","",IFERROR(C152/(B152*40),0))</f>
        <v/>
      </c>
      <c r="F152">
        <f>IF($J152="","",0)</f>
        <v/>
      </c>
      <c r="G152">
        <f>IF($J152="","",SUMIFS('Hours Log'!$E:$E,'Hours Log'!$A:$A,"&gt;="&amp;$J152,'Hours Log'!$A:$A,"&lt;"&amp;$J152+7))</f>
        <v/>
      </c>
      <c r="J152">
        <f>IF(COUNT('Hours Log'!$A$4:$A$5000)=0,"",IF(MIN('Hours Log'!$A$4:$A$5000)+7*(ROW()-10)&gt;MAX('Hours Log'!$A$4:$A$5000),"",MIN('Hours Log'!$A$4:$A$5000)+7*(ROW()-10)))</f>
        <v/>
      </c>
    </row>
    <row r="153">
      <c r="A153">
        <f>IF($J153="","",YEAR($J153-WEEKDAY($J153,2)+4)&amp;"-W"&amp;TEXT(WEEKNUM($J153,21),"00"))</f>
        <v/>
      </c>
      <c r="B153" s="41">
        <f>IF($J153="","",COUNTIFS(Roster!$D$4:$D$500,"Active",Roster!$C$4:$C$500,"&lt;="&amp;$J153))</f>
        <v/>
      </c>
      <c r="C153">
        <f>IF($J153="","",SUMIFS('Hours Log'!$C:$C,'Hours Log'!$A:$A,"&gt;="&amp;$J153,'Hours Log'!$A:$A,"&lt;"&amp;$J153+7)+SUMIFS('Hours Log'!$D:$D,'Hours Log'!$A:$A,"&gt;="&amp;$J153,'Hours Log'!$A:$A,"&lt;"&amp;$J153+7))</f>
        <v/>
      </c>
      <c r="D153">
        <f>IF($J153="","",SUMIFS('Hours Log'!$D:$D,'Hours Log'!$A:$A,"&gt;="&amp;$J153,'Hours Log'!$A:$A,"&lt;"&amp;$J153+7))</f>
        <v/>
      </c>
      <c r="E153">
        <f>IF($J153="","",IFERROR(C153/(B153*40),0))</f>
        <v/>
      </c>
      <c r="F153">
        <f>IF($J153="","",0)</f>
        <v/>
      </c>
      <c r="G153">
        <f>IF($J153="","",SUMIFS('Hours Log'!$E:$E,'Hours Log'!$A:$A,"&gt;="&amp;$J153,'Hours Log'!$A:$A,"&lt;"&amp;$J153+7))</f>
        <v/>
      </c>
      <c r="J153">
        <f>IF(COUNT('Hours Log'!$A$4:$A$5000)=0,"",IF(MIN('Hours Log'!$A$4:$A$5000)+7*(ROW()-10)&gt;MAX('Hours Log'!$A$4:$A$5000),"",MIN('Hours Log'!$A$4:$A$5000)+7*(ROW()-10)))</f>
        <v/>
      </c>
    </row>
    <row r="154">
      <c r="A154">
        <f>IF($J154="","",YEAR($J154-WEEKDAY($J154,2)+4)&amp;"-W"&amp;TEXT(WEEKNUM($J154,21),"00"))</f>
        <v/>
      </c>
      <c r="B154" s="41">
        <f>IF($J154="","",COUNTIFS(Roster!$D$4:$D$500,"Active",Roster!$C$4:$C$500,"&lt;="&amp;$J154))</f>
        <v/>
      </c>
      <c r="C154">
        <f>IF($J154="","",SUMIFS('Hours Log'!$C:$C,'Hours Log'!$A:$A,"&gt;="&amp;$J154,'Hours Log'!$A:$A,"&lt;"&amp;$J154+7)+SUMIFS('Hours Log'!$D:$D,'Hours Log'!$A:$A,"&gt;="&amp;$J154,'Hours Log'!$A:$A,"&lt;"&amp;$J154+7))</f>
        <v/>
      </c>
      <c r="D154">
        <f>IF($J154="","",SUMIFS('Hours Log'!$D:$D,'Hours Log'!$A:$A,"&gt;="&amp;$J154,'Hours Log'!$A:$A,"&lt;"&amp;$J154+7))</f>
        <v/>
      </c>
      <c r="E154">
        <f>IF($J154="","",IFERROR(C154/(B154*40),0))</f>
        <v/>
      </c>
      <c r="F154">
        <f>IF($J154="","",0)</f>
        <v/>
      </c>
      <c r="G154">
        <f>IF($J154="","",SUMIFS('Hours Log'!$E:$E,'Hours Log'!$A:$A,"&gt;="&amp;$J154,'Hours Log'!$A:$A,"&lt;"&amp;$J154+7))</f>
        <v/>
      </c>
      <c r="J154">
        <f>IF(COUNT('Hours Log'!$A$4:$A$5000)=0,"",IF(MIN('Hours Log'!$A$4:$A$5000)+7*(ROW()-10)&gt;MAX('Hours Log'!$A$4:$A$5000),"",MIN('Hours Log'!$A$4:$A$5000)+7*(ROW()-10)))</f>
        <v/>
      </c>
    </row>
    <row r="155">
      <c r="A155">
        <f>IF($J155="","",YEAR($J155-WEEKDAY($J155,2)+4)&amp;"-W"&amp;TEXT(WEEKNUM($J155,21),"00"))</f>
        <v/>
      </c>
      <c r="B155" s="41">
        <f>IF($J155="","",COUNTIFS(Roster!$D$4:$D$500,"Active",Roster!$C$4:$C$500,"&lt;="&amp;$J155))</f>
        <v/>
      </c>
      <c r="C155">
        <f>IF($J155="","",SUMIFS('Hours Log'!$C:$C,'Hours Log'!$A:$A,"&gt;="&amp;$J155,'Hours Log'!$A:$A,"&lt;"&amp;$J155+7)+SUMIFS('Hours Log'!$D:$D,'Hours Log'!$A:$A,"&gt;="&amp;$J155,'Hours Log'!$A:$A,"&lt;"&amp;$J155+7))</f>
        <v/>
      </c>
      <c r="D155">
        <f>IF($J155="","",SUMIFS('Hours Log'!$D:$D,'Hours Log'!$A:$A,"&gt;="&amp;$J155,'Hours Log'!$A:$A,"&lt;"&amp;$J155+7))</f>
        <v/>
      </c>
      <c r="E155">
        <f>IF($J155="","",IFERROR(C155/(B155*40),0))</f>
        <v/>
      </c>
      <c r="F155">
        <f>IF($J155="","",0)</f>
        <v/>
      </c>
      <c r="G155">
        <f>IF($J155="","",SUMIFS('Hours Log'!$E:$E,'Hours Log'!$A:$A,"&gt;="&amp;$J155,'Hours Log'!$A:$A,"&lt;"&amp;$J155+7))</f>
        <v/>
      </c>
      <c r="J155">
        <f>IF(COUNT('Hours Log'!$A$4:$A$5000)=0,"",IF(MIN('Hours Log'!$A$4:$A$5000)+7*(ROW()-10)&gt;MAX('Hours Log'!$A$4:$A$5000),"",MIN('Hours Log'!$A$4:$A$5000)+7*(ROW()-10)))</f>
        <v/>
      </c>
    </row>
    <row r="156">
      <c r="A156">
        <f>IF($J156="","",YEAR($J156-WEEKDAY($J156,2)+4)&amp;"-W"&amp;TEXT(WEEKNUM($J156,21),"00"))</f>
        <v/>
      </c>
      <c r="B156" s="41">
        <f>IF($J156="","",COUNTIFS(Roster!$D$4:$D$500,"Active",Roster!$C$4:$C$500,"&lt;="&amp;$J156))</f>
        <v/>
      </c>
      <c r="C156">
        <f>IF($J156="","",SUMIFS('Hours Log'!$C:$C,'Hours Log'!$A:$A,"&gt;="&amp;$J156,'Hours Log'!$A:$A,"&lt;"&amp;$J156+7)+SUMIFS('Hours Log'!$D:$D,'Hours Log'!$A:$A,"&gt;="&amp;$J156,'Hours Log'!$A:$A,"&lt;"&amp;$J156+7))</f>
        <v/>
      </c>
      <c r="D156">
        <f>IF($J156="","",SUMIFS('Hours Log'!$D:$D,'Hours Log'!$A:$A,"&gt;="&amp;$J156,'Hours Log'!$A:$A,"&lt;"&amp;$J156+7))</f>
        <v/>
      </c>
      <c r="E156">
        <f>IF($J156="","",IFERROR(C156/(B156*40),0))</f>
        <v/>
      </c>
      <c r="F156">
        <f>IF($J156="","",0)</f>
        <v/>
      </c>
      <c r="G156">
        <f>IF($J156="","",SUMIFS('Hours Log'!$E:$E,'Hours Log'!$A:$A,"&gt;="&amp;$J156,'Hours Log'!$A:$A,"&lt;"&amp;$J156+7))</f>
        <v/>
      </c>
      <c r="J156">
        <f>IF(COUNT('Hours Log'!$A$4:$A$5000)=0,"",IF(MIN('Hours Log'!$A$4:$A$5000)+7*(ROW()-10)&gt;MAX('Hours Log'!$A$4:$A$5000),"",MIN('Hours Log'!$A$4:$A$5000)+7*(ROW()-10)))</f>
        <v/>
      </c>
    </row>
    <row r="157">
      <c r="A157">
        <f>IF($J157="","",YEAR($J157-WEEKDAY($J157,2)+4)&amp;"-W"&amp;TEXT(WEEKNUM($J157,21),"00"))</f>
        <v/>
      </c>
      <c r="B157" s="41">
        <f>IF($J157="","",COUNTIFS(Roster!$D$4:$D$500,"Active",Roster!$C$4:$C$500,"&lt;="&amp;$J157))</f>
        <v/>
      </c>
      <c r="C157">
        <f>IF($J157="","",SUMIFS('Hours Log'!$C:$C,'Hours Log'!$A:$A,"&gt;="&amp;$J157,'Hours Log'!$A:$A,"&lt;"&amp;$J157+7)+SUMIFS('Hours Log'!$D:$D,'Hours Log'!$A:$A,"&gt;="&amp;$J157,'Hours Log'!$A:$A,"&lt;"&amp;$J157+7))</f>
        <v/>
      </c>
      <c r="D157">
        <f>IF($J157="","",SUMIFS('Hours Log'!$D:$D,'Hours Log'!$A:$A,"&gt;="&amp;$J157,'Hours Log'!$A:$A,"&lt;"&amp;$J157+7))</f>
        <v/>
      </c>
      <c r="E157">
        <f>IF($J157="","",IFERROR(C157/(B157*40),0))</f>
        <v/>
      </c>
      <c r="F157">
        <f>IF($J157="","",0)</f>
        <v/>
      </c>
      <c r="G157">
        <f>IF($J157="","",SUMIFS('Hours Log'!$E:$E,'Hours Log'!$A:$A,"&gt;="&amp;$J157,'Hours Log'!$A:$A,"&lt;"&amp;$J157+7))</f>
        <v/>
      </c>
      <c r="J157">
        <f>IF(COUNT('Hours Log'!$A$4:$A$5000)=0,"",IF(MIN('Hours Log'!$A$4:$A$5000)+7*(ROW()-10)&gt;MAX('Hours Log'!$A$4:$A$5000),"",MIN('Hours Log'!$A$4:$A$5000)+7*(ROW()-10)))</f>
        <v/>
      </c>
    </row>
    <row r="158">
      <c r="A158">
        <f>IF($J158="","",YEAR($J158-WEEKDAY($J158,2)+4)&amp;"-W"&amp;TEXT(WEEKNUM($J158,21),"00"))</f>
        <v/>
      </c>
      <c r="B158" s="41">
        <f>IF($J158="","",COUNTIFS(Roster!$D$4:$D$500,"Active",Roster!$C$4:$C$500,"&lt;="&amp;$J158))</f>
        <v/>
      </c>
      <c r="C158">
        <f>IF($J158="","",SUMIFS('Hours Log'!$C:$C,'Hours Log'!$A:$A,"&gt;="&amp;$J158,'Hours Log'!$A:$A,"&lt;"&amp;$J158+7)+SUMIFS('Hours Log'!$D:$D,'Hours Log'!$A:$A,"&gt;="&amp;$J158,'Hours Log'!$A:$A,"&lt;"&amp;$J158+7))</f>
        <v/>
      </c>
      <c r="D158">
        <f>IF($J158="","",SUMIFS('Hours Log'!$D:$D,'Hours Log'!$A:$A,"&gt;="&amp;$J158,'Hours Log'!$A:$A,"&lt;"&amp;$J158+7))</f>
        <v/>
      </c>
      <c r="E158">
        <f>IF($J158="","",IFERROR(C158/(B158*40),0))</f>
        <v/>
      </c>
      <c r="F158">
        <f>IF($J158="","",0)</f>
        <v/>
      </c>
      <c r="G158">
        <f>IF($J158="","",SUMIFS('Hours Log'!$E:$E,'Hours Log'!$A:$A,"&gt;="&amp;$J158,'Hours Log'!$A:$A,"&lt;"&amp;$J158+7))</f>
        <v/>
      </c>
      <c r="J158">
        <f>IF(COUNT('Hours Log'!$A$4:$A$5000)=0,"",IF(MIN('Hours Log'!$A$4:$A$5000)+7*(ROW()-10)&gt;MAX('Hours Log'!$A$4:$A$5000),"",MIN('Hours Log'!$A$4:$A$5000)+7*(ROW()-10)))</f>
        <v/>
      </c>
    </row>
    <row r="159">
      <c r="A159">
        <f>IF($J159="","",YEAR($J159-WEEKDAY($J159,2)+4)&amp;"-W"&amp;TEXT(WEEKNUM($J159,21),"00"))</f>
        <v/>
      </c>
      <c r="B159" s="41">
        <f>IF($J159="","",COUNTIFS(Roster!$D$4:$D$500,"Active",Roster!$C$4:$C$500,"&lt;="&amp;$J159))</f>
        <v/>
      </c>
      <c r="C159">
        <f>IF($J159="","",SUMIFS('Hours Log'!$C:$C,'Hours Log'!$A:$A,"&gt;="&amp;$J159,'Hours Log'!$A:$A,"&lt;"&amp;$J159+7)+SUMIFS('Hours Log'!$D:$D,'Hours Log'!$A:$A,"&gt;="&amp;$J159,'Hours Log'!$A:$A,"&lt;"&amp;$J159+7))</f>
        <v/>
      </c>
      <c r="D159">
        <f>IF($J159="","",SUMIFS('Hours Log'!$D:$D,'Hours Log'!$A:$A,"&gt;="&amp;$J159,'Hours Log'!$A:$A,"&lt;"&amp;$J159+7))</f>
        <v/>
      </c>
      <c r="E159">
        <f>IF($J159="","",IFERROR(C159/(B159*40),0))</f>
        <v/>
      </c>
      <c r="F159">
        <f>IF($J159="","",0)</f>
        <v/>
      </c>
      <c r="G159">
        <f>IF($J159="","",SUMIFS('Hours Log'!$E:$E,'Hours Log'!$A:$A,"&gt;="&amp;$J159,'Hours Log'!$A:$A,"&lt;"&amp;$J159+7))</f>
        <v/>
      </c>
      <c r="J159">
        <f>IF(COUNT('Hours Log'!$A$4:$A$5000)=0,"",IF(MIN('Hours Log'!$A$4:$A$5000)+7*(ROW()-10)&gt;MAX('Hours Log'!$A$4:$A$5000),"",MIN('Hours Log'!$A$4:$A$5000)+7*(ROW()-10)))</f>
        <v/>
      </c>
    </row>
    <row r="160">
      <c r="A160">
        <f>IF($J160="","",YEAR($J160-WEEKDAY($J160,2)+4)&amp;"-W"&amp;TEXT(WEEKNUM($J160,21),"00"))</f>
        <v/>
      </c>
      <c r="B160" s="41">
        <f>IF($J160="","",COUNTIFS(Roster!$D$4:$D$500,"Active",Roster!$C$4:$C$500,"&lt;="&amp;$J160))</f>
        <v/>
      </c>
      <c r="C160">
        <f>IF($J160="","",SUMIFS('Hours Log'!$C:$C,'Hours Log'!$A:$A,"&gt;="&amp;$J160,'Hours Log'!$A:$A,"&lt;"&amp;$J160+7)+SUMIFS('Hours Log'!$D:$D,'Hours Log'!$A:$A,"&gt;="&amp;$J160,'Hours Log'!$A:$A,"&lt;"&amp;$J160+7))</f>
        <v/>
      </c>
      <c r="D160">
        <f>IF($J160="","",SUMIFS('Hours Log'!$D:$D,'Hours Log'!$A:$A,"&gt;="&amp;$J160,'Hours Log'!$A:$A,"&lt;"&amp;$J160+7))</f>
        <v/>
      </c>
      <c r="E160">
        <f>IF($J160="","",IFERROR(C160/(B160*40),0))</f>
        <v/>
      </c>
      <c r="F160">
        <f>IF($J160="","",0)</f>
        <v/>
      </c>
      <c r="G160">
        <f>IF($J160="","",SUMIFS('Hours Log'!$E:$E,'Hours Log'!$A:$A,"&gt;="&amp;$J160,'Hours Log'!$A:$A,"&lt;"&amp;$J160+7))</f>
        <v/>
      </c>
      <c r="J160">
        <f>IF(COUNT('Hours Log'!$A$4:$A$5000)=0,"",IF(MIN('Hours Log'!$A$4:$A$5000)+7*(ROW()-10)&gt;MAX('Hours Log'!$A$4:$A$5000),"",MIN('Hours Log'!$A$4:$A$5000)+7*(ROW()-10)))</f>
        <v/>
      </c>
    </row>
    <row r="161">
      <c r="A161">
        <f>IF($J161="","",YEAR($J161-WEEKDAY($J161,2)+4)&amp;"-W"&amp;TEXT(WEEKNUM($J161,21),"00"))</f>
        <v/>
      </c>
      <c r="B161" s="41">
        <f>IF($J161="","",COUNTIFS(Roster!$D$4:$D$500,"Active",Roster!$C$4:$C$500,"&lt;="&amp;$J161))</f>
        <v/>
      </c>
      <c r="C161">
        <f>IF($J161="","",SUMIFS('Hours Log'!$C:$C,'Hours Log'!$A:$A,"&gt;="&amp;$J161,'Hours Log'!$A:$A,"&lt;"&amp;$J161+7)+SUMIFS('Hours Log'!$D:$D,'Hours Log'!$A:$A,"&gt;="&amp;$J161,'Hours Log'!$A:$A,"&lt;"&amp;$J161+7))</f>
        <v/>
      </c>
      <c r="D161">
        <f>IF($J161="","",SUMIFS('Hours Log'!$D:$D,'Hours Log'!$A:$A,"&gt;="&amp;$J161,'Hours Log'!$A:$A,"&lt;"&amp;$J161+7))</f>
        <v/>
      </c>
      <c r="E161">
        <f>IF($J161="","",IFERROR(C161/(B161*40),0))</f>
        <v/>
      </c>
      <c r="F161">
        <f>IF($J161="","",0)</f>
        <v/>
      </c>
      <c r="G161">
        <f>IF($J161="","",SUMIFS('Hours Log'!$E:$E,'Hours Log'!$A:$A,"&gt;="&amp;$J161,'Hours Log'!$A:$A,"&lt;"&amp;$J161+7))</f>
        <v/>
      </c>
      <c r="J161">
        <f>IF(COUNT('Hours Log'!$A$4:$A$5000)=0,"",IF(MIN('Hours Log'!$A$4:$A$5000)+7*(ROW()-10)&gt;MAX('Hours Log'!$A$4:$A$5000),"",MIN('Hours Log'!$A$4:$A$5000)+7*(ROW()-10)))</f>
        <v/>
      </c>
    </row>
    <row r="162">
      <c r="A162">
        <f>IF($J162="","",YEAR($J162-WEEKDAY($J162,2)+4)&amp;"-W"&amp;TEXT(WEEKNUM($J162,21),"00"))</f>
        <v/>
      </c>
      <c r="B162" s="41">
        <f>IF($J162="","",COUNTIFS(Roster!$D$4:$D$500,"Active",Roster!$C$4:$C$500,"&lt;="&amp;$J162))</f>
        <v/>
      </c>
      <c r="C162">
        <f>IF($J162="","",SUMIFS('Hours Log'!$C:$C,'Hours Log'!$A:$A,"&gt;="&amp;$J162,'Hours Log'!$A:$A,"&lt;"&amp;$J162+7)+SUMIFS('Hours Log'!$D:$D,'Hours Log'!$A:$A,"&gt;="&amp;$J162,'Hours Log'!$A:$A,"&lt;"&amp;$J162+7))</f>
        <v/>
      </c>
      <c r="D162">
        <f>IF($J162="","",SUMIFS('Hours Log'!$D:$D,'Hours Log'!$A:$A,"&gt;="&amp;$J162,'Hours Log'!$A:$A,"&lt;"&amp;$J162+7))</f>
        <v/>
      </c>
      <c r="E162">
        <f>IF($J162="","",IFERROR(C162/(B162*40),0))</f>
        <v/>
      </c>
      <c r="F162">
        <f>IF($J162="","",0)</f>
        <v/>
      </c>
      <c r="G162">
        <f>IF($J162="","",SUMIFS('Hours Log'!$E:$E,'Hours Log'!$A:$A,"&gt;="&amp;$J162,'Hours Log'!$A:$A,"&lt;"&amp;$J162+7))</f>
        <v/>
      </c>
      <c r="J162">
        <f>IF(COUNT('Hours Log'!$A$4:$A$5000)=0,"",IF(MIN('Hours Log'!$A$4:$A$5000)+7*(ROW()-10)&gt;MAX('Hours Log'!$A$4:$A$5000),"",MIN('Hours Log'!$A$4:$A$5000)+7*(ROW()-10)))</f>
        <v/>
      </c>
    </row>
    <row r="163">
      <c r="A163">
        <f>IF($J163="","",YEAR($J163-WEEKDAY($J163,2)+4)&amp;"-W"&amp;TEXT(WEEKNUM($J163,21),"00"))</f>
        <v/>
      </c>
      <c r="B163" s="41">
        <f>IF($J163="","",COUNTIFS(Roster!$D$4:$D$500,"Active",Roster!$C$4:$C$500,"&lt;="&amp;$J163))</f>
        <v/>
      </c>
      <c r="C163">
        <f>IF($J163="","",SUMIFS('Hours Log'!$C:$C,'Hours Log'!$A:$A,"&gt;="&amp;$J163,'Hours Log'!$A:$A,"&lt;"&amp;$J163+7)+SUMIFS('Hours Log'!$D:$D,'Hours Log'!$A:$A,"&gt;="&amp;$J163,'Hours Log'!$A:$A,"&lt;"&amp;$J163+7))</f>
        <v/>
      </c>
      <c r="D163">
        <f>IF($J163="","",SUMIFS('Hours Log'!$D:$D,'Hours Log'!$A:$A,"&gt;="&amp;$J163,'Hours Log'!$A:$A,"&lt;"&amp;$J163+7))</f>
        <v/>
      </c>
      <c r="E163">
        <f>IF($J163="","",IFERROR(C163/(B163*40),0))</f>
        <v/>
      </c>
      <c r="F163">
        <f>IF($J163="","",0)</f>
        <v/>
      </c>
      <c r="G163">
        <f>IF($J163="","",SUMIFS('Hours Log'!$E:$E,'Hours Log'!$A:$A,"&gt;="&amp;$J163,'Hours Log'!$A:$A,"&lt;"&amp;$J163+7))</f>
        <v/>
      </c>
      <c r="J163">
        <f>IF(COUNT('Hours Log'!$A$4:$A$5000)=0,"",IF(MIN('Hours Log'!$A$4:$A$5000)+7*(ROW()-10)&gt;MAX('Hours Log'!$A$4:$A$5000),"",MIN('Hours Log'!$A$4:$A$5000)+7*(ROW()-10)))</f>
        <v/>
      </c>
    </row>
    <row r="164">
      <c r="A164">
        <f>IF($J164="","",YEAR($J164-WEEKDAY($J164,2)+4)&amp;"-W"&amp;TEXT(WEEKNUM($J164,21),"00"))</f>
        <v/>
      </c>
      <c r="B164" s="41">
        <f>IF($J164="","",COUNTIFS(Roster!$D$4:$D$500,"Active",Roster!$C$4:$C$500,"&lt;="&amp;$J164))</f>
        <v/>
      </c>
      <c r="C164">
        <f>IF($J164="","",SUMIFS('Hours Log'!$C:$C,'Hours Log'!$A:$A,"&gt;="&amp;$J164,'Hours Log'!$A:$A,"&lt;"&amp;$J164+7)+SUMIFS('Hours Log'!$D:$D,'Hours Log'!$A:$A,"&gt;="&amp;$J164,'Hours Log'!$A:$A,"&lt;"&amp;$J164+7))</f>
        <v/>
      </c>
      <c r="D164">
        <f>IF($J164="","",SUMIFS('Hours Log'!$D:$D,'Hours Log'!$A:$A,"&gt;="&amp;$J164,'Hours Log'!$A:$A,"&lt;"&amp;$J164+7))</f>
        <v/>
      </c>
      <c r="E164">
        <f>IF($J164="","",IFERROR(C164/(B164*40),0))</f>
        <v/>
      </c>
      <c r="F164">
        <f>IF($J164="","",0)</f>
        <v/>
      </c>
      <c r="G164">
        <f>IF($J164="","",SUMIFS('Hours Log'!$E:$E,'Hours Log'!$A:$A,"&gt;="&amp;$J164,'Hours Log'!$A:$A,"&lt;"&amp;$J164+7))</f>
        <v/>
      </c>
      <c r="J164">
        <f>IF(COUNT('Hours Log'!$A$4:$A$5000)=0,"",IF(MIN('Hours Log'!$A$4:$A$5000)+7*(ROW()-10)&gt;MAX('Hours Log'!$A$4:$A$5000),"",MIN('Hours Log'!$A$4:$A$5000)+7*(ROW()-10)))</f>
        <v/>
      </c>
    </row>
    <row r="165">
      <c r="A165">
        <f>IF($J165="","",YEAR($J165-WEEKDAY($J165,2)+4)&amp;"-W"&amp;TEXT(WEEKNUM($J165,21),"00"))</f>
        <v/>
      </c>
      <c r="B165" s="41">
        <f>IF($J165="","",COUNTIFS(Roster!$D$4:$D$500,"Active",Roster!$C$4:$C$500,"&lt;="&amp;$J165))</f>
        <v/>
      </c>
      <c r="C165">
        <f>IF($J165="","",SUMIFS('Hours Log'!$C:$C,'Hours Log'!$A:$A,"&gt;="&amp;$J165,'Hours Log'!$A:$A,"&lt;"&amp;$J165+7)+SUMIFS('Hours Log'!$D:$D,'Hours Log'!$A:$A,"&gt;="&amp;$J165,'Hours Log'!$A:$A,"&lt;"&amp;$J165+7))</f>
        <v/>
      </c>
      <c r="D165">
        <f>IF($J165="","",SUMIFS('Hours Log'!$D:$D,'Hours Log'!$A:$A,"&gt;="&amp;$J165,'Hours Log'!$A:$A,"&lt;"&amp;$J165+7))</f>
        <v/>
      </c>
      <c r="E165">
        <f>IF($J165="","",IFERROR(C165/(B165*40),0))</f>
        <v/>
      </c>
      <c r="F165">
        <f>IF($J165="","",0)</f>
        <v/>
      </c>
      <c r="G165">
        <f>IF($J165="","",SUMIFS('Hours Log'!$E:$E,'Hours Log'!$A:$A,"&gt;="&amp;$J165,'Hours Log'!$A:$A,"&lt;"&amp;$J165+7))</f>
        <v/>
      </c>
      <c r="J165">
        <f>IF(COUNT('Hours Log'!$A$4:$A$5000)=0,"",IF(MIN('Hours Log'!$A$4:$A$5000)+7*(ROW()-10)&gt;MAX('Hours Log'!$A$4:$A$5000),"",MIN('Hours Log'!$A$4:$A$5000)+7*(ROW()-10)))</f>
        <v/>
      </c>
    </row>
    <row r="166">
      <c r="A166">
        <f>IF($J166="","",YEAR($J166-WEEKDAY($J166,2)+4)&amp;"-W"&amp;TEXT(WEEKNUM($J166,21),"00"))</f>
        <v/>
      </c>
      <c r="B166" s="41">
        <f>IF($J166="","",COUNTIFS(Roster!$D$4:$D$500,"Active",Roster!$C$4:$C$500,"&lt;="&amp;$J166))</f>
        <v/>
      </c>
      <c r="C166">
        <f>IF($J166="","",SUMIFS('Hours Log'!$C:$C,'Hours Log'!$A:$A,"&gt;="&amp;$J166,'Hours Log'!$A:$A,"&lt;"&amp;$J166+7)+SUMIFS('Hours Log'!$D:$D,'Hours Log'!$A:$A,"&gt;="&amp;$J166,'Hours Log'!$A:$A,"&lt;"&amp;$J166+7))</f>
        <v/>
      </c>
      <c r="D166">
        <f>IF($J166="","",SUMIFS('Hours Log'!$D:$D,'Hours Log'!$A:$A,"&gt;="&amp;$J166,'Hours Log'!$A:$A,"&lt;"&amp;$J166+7))</f>
        <v/>
      </c>
      <c r="E166">
        <f>IF($J166="","",IFERROR(C166/(B166*40),0))</f>
        <v/>
      </c>
      <c r="F166">
        <f>IF($J166="","",0)</f>
        <v/>
      </c>
      <c r="G166">
        <f>IF($J166="","",SUMIFS('Hours Log'!$E:$E,'Hours Log'!$A:$A,"&gt;="&amp;$J166,'Hours Log'!$A:$A,"&lt;"&amp;$J166+7))</f>
        <v/>
      </c>
      <c r="J166">
        <f>IF(COUNT('Hours Log'!$A$4:$A$5000)=0,"",IF(MIN('Hours Log'!$A$4:$A$5000)+7*(ROW()-10)&gt;MAX('Hours Log'!$A$4:$A$5000),"",MIN('Hours Log'!$A$4:$A$5000)+7*(ROW()-10)))</f>
        <v/>
      </c>
    </row>
    <row r="167">
      <c r="A167">
        <f>IF($J167="","",YEAR($J167-WEEKDAY($J167,2)+4)&amp;"-W"&amp;TEXT(WEEKNUM($J167,21),"00"))</f>
        <v/>
      </c>
      <c r="B167" s="41">
        <f>IF($J167="","",COUNTIFS(Roster!$D$4:$D$500,"Active",Roster!$C$4:$C$500,"&lt;="&amp;$J167))</f>
        <v/>
      </c>
      <c r="C167">
        <f>IF($J167="","",SUMIFS('Hours Log'!$C:$C,'Hours Log'!$A:$A,"&gt;="&amp;$J167,'Hours Log'!$A:$A,"&lt;"&amp;$J167+7)+SUMIFS('Hours Log'!$D:$D,'Hours Log'!$A:$A,"&gt;="&amp;$J167,'Hours Log'!$A:$A,"&lt;"&amp;$J167+7))</f>
        <v/>
      </c>
      <c r="D167">
        <f>IF($J167="","",SUMIFS('Hours Log'!$D:$D,'Hours Log'!$A:$A,"&gt;="&amp;$J167,'Hours Log'!$A:$A,"&lt;"&amp;$J167+7))</f>
        <v/>
      </c>
      <c r="E167">
        <f>IF($J167="","",IFERROR(C167/(B167*40),0))</f>
        <v/>
      </c>
      <c r="F167">
        <f>IF($J167="","",0)</f>
        <v/>
      </c>
      <c r="G167">
        <f>IF($J167="","",SUMIFS('Hours Log'!$E:$E,'Hours Log'!$A:$A,"&gt;="&amp;$J167,'Hours Log'!$A:$A,"&lt;"&amp;$J167+7))</f>
        <v/>
      </c>
      <c r="J167">
        <f>IF(COUNT('Hours Log'!$A$4:$A$5000)=0,"",IF(MIN('Hours Log'!$A$4:$A$5000)+7*(ROW()-10)&gt;MAX('Hours Log'!$A$4:$A$5000),"",MIN('Hours Log'!$A$4:$A$5000)+7*(ROW()-10)))</f>
        <v/>
      </c>
    </row>
    <row r="168">
      <c r="A168">
        <f>IF($J168="","",YEAR($J168-WEEKDAY($J168,2)+4)&amp;"-W"&amp;TEXT(WEEKNUM($J168,21),"00"))</f>
        <v/>
      </c>
      <c r="B168" s="41">
        <f>IF($J168="","",COUNTIFS(Roster!$D$4:$D$500,"Active",Roster!$C$4:$C$500,"&lt;="&amp;$J168))</f>
        <v/>
      </c>
      <c r="C168">
        <f>IF($J168="","",SUMIFS('Hours Log'!$C:$C,'Hours Log'!$A:$A,"&gt;="&amp;$J168,'Hours Log'!$A:$A,"&lt;"&amp;$J168+7)+SUMIFS('Hours Log'!$D:$D,'Hours Log'!$A:$A,"&gt;="&amp;$J168,'Hours Log'!$A:$A,"&lt;"&amp;$J168+7))</f>
        <v/>
      </c>
      <c r="D168">
        <f>IF($J168="","",SUMIFS('Hours Log'!$D:$D,'Hours Log'!$A:$A,"&gt;="&amp;$J168,'Hours Log'!$A:$A,"&lt;"&amp;$J168+7))</f>
        <v/>
      </c>
      <c r="E168">
        <f>IF($J168="","",IFERROR(C168/(B168*40),0))</f>
        <v/>
      </c>
      <c r="F168">
        <f>IF($J168="","",0)</f>
        <v/>
      </c>
      <c r="G168">
        <f>IF($J168="","",SUMIFS('Hours Log'!$E:$E,'Hours Log'!$A:$A,"&gt;="&amp;$J168,'Hours Log'!$A:$A,"&lt;"&amp;$J168+7))</f>
        <v/>
      </c>
      <c r="J168">
        <f>IF(COUNT('Hours Log'!$A$4:$A$5000)=0,"",IF(MIN('Hours Log'!$A$4:$A$5000)+7*(ROW()-10)&gt;MAX('Hours Log'!$A$4:$A$5000),"",MIN('Hours Log'!$A$4:$A$5000)+7*(ROW()-10)))</f>
        <v/>
      </c>
    </row>
    <row r="169">
      <c r="A169">
        <f>IF($J169="","",YEAR($J169-WEEKDAY($J169,2)+4)&amp;"-W"&amp;TEXT(WEEKNUM($J169,21),"00"))</f>
        <v/>
      </c>
      <c r="B169" s="41">
        <f>IF($J169="","",COUNTIFS(Roster!$D$4:$D$500,"Active",Roster!$C$4:$C$500,"&lt;="&amp;$J169))</f>
        <v/>
      </c>
      <c r="C169">
        <f>IF($J169="","",SUMIFS('Hours Log'!$C:$C,'Hours Log'!$A:$A,"&gt;="&amp;$J169,'Hours Log'!$A:$A,"&lt;"&amp;$J169+7)+SUMIFS('Hours Log'!$D:$D,'Hours Log'!$A:$A,"&gt;="&amp;$J169,'Hours Log'!$A:$A,"&lt;"&amp;$J169+7))</f>
        <v/>
      </c>
      <c r="D169">
        <f>IF($J169="","",SUMIFS('Hours Log'!$D:$D,'Hours Log'!$A:$A,"&gt;="&amp;$J169,'Hours Log'!$A:$A,"&lt;"&amp;$J169+7))</f>
        <v/>
      </c>
      <c r="E169">
        <f>IF($J169="","",IFERROR(C169/(B169*40),0))</f>
        <v/>
      </c>
      <c r="F169">
        <f>IF($J169="","",0)</f>
        <v/>
      </c>
      <c r="G169">
        <f>IF($J169="","",SUMIFS('Hours Log'!$E:$E,'Hours Log'!$A:$A,"&gt;="&amp;$J169,'Hours Log'!$A:$A,"&lt;"&amp;$J169+7))</f>
        <v/>
      </c>
      <c r="J169">
        <f>IF(COUNT('Hours Log'!$A$4:$A$5000)=0,"",IF(MIN('Hours Log'!$A$4:$A$5000)+7*(ROW()-10)&gt;MAX('Hours Log'!$A$4:$A$5000),"",MIN('Hours Log'!$A$4:$A$5000)+7*(ROW()-10)))</f>
        <v/>
      </c>
    </row>
    <row r="170">
      <c r="A170">
        <f>IF($J170="","",YEAR($J170-WEEKDAY($J170,2)+4)&amp;"-W"&amp;TEXT(WEEKNUM($J170,21),"00"))</f>
        <v/>
      </c>
      <c r="B170" s="41">
        <f>IF($J170="","",COUNTIFS(Roster!$D$4:$D$500,"Active",Roster!$C$4:$C$500,"&lt;="&amp;$J170))</f>
        <v/>
      </c>
      <c r="C170">
        <f>IF($J170="","",SUMIFS('Hours Log'!$C:$C,'Hours Log'!$A:$A,"&gt;="&amp;$J170,'Hours Log'!$A:$A,"&lt;"&amp;$J170+7)+SUMIFS('Hours Log'!$D:$D,'Hours Log'!$A:$A,"&gt;="&amp;$J170,'Hours Log'!$A:$A,"&lt;"&amp;$J170+7))</f>
        <v/>
      </c>
      <c r="D170">
        <f>IF($J170="","",SUMIFS('Hours Log'!$D:$D,'Hours Log'!$A:$A,"&gt;="&amp;$J170,'Hours Log'!$A:$A,"&lt;"&amp;$J170+7))</f>
        <v/>
      </c>
      <c r="E170">
        <f>IF($J170="","",IFERROR(C170/(B170*40),0))</f>
        <v/>
      </c>
      <c r="F170">
        <f>IF($J170="","",0)</f>
        <v/>
      </c>
      <c r="G170">
        <f>IF($J170="","",SUMIFS('Hours Log'!$E:$E,'Hours Log'!$A:$A,"&gt;="&amp;$J170,'Hours Log'!$A:$A,"&lt;"&amp;$J170+7))</f>
        <v/>
      </c>
      <c r="J170">
        <f>IF(COUNT('Hours Log'!$A$4:$A$5000)=0,"",IF(MIN('Hours Log'!$A$4:$A$5000)+7*(ROW()-10)&gt;MAX('Hours Log'!$A$4:$A$5000),"",MIN('Hours Log'!$A$4:$A$5000)+7*(ROW()-10)))</f>
        <v/>
      </c>
    </row>
    <row r="171">
      <c r="A171">
        <f>IF($J171="","",YEAR($J171-WEEKDAY($J171,2)+4)&amp;"-W"&amp;TEXT(WEEKNUM($J171,21),"00"))</f>
        <v/>
      </c>
      <c r="B171" s="41">
        <f>IF($J171="","",COUNTIFS(Roster!$D$4:$D$500,"Active",Roster!$C$4:$C$500,"&lt;="&amp;$J171))</f>
        <v/>
      </c>
      <c r="C171">
        <f>IF($J171="","",SUMIFS('Hours Log'!$C:$C,'Hours Log'!$A:$A,"&gt;="&amp;$J171,'Hours Log'!$A:$A,"&lt;"&amp;$J171+7)+SUMIFS('Hours Log'!$D:$D,'Hours Log'!$A:$A,"&gt;="&amp;$J171,'Hours Log'!$A:$A,"&lt;"&amp;$J171+7))</f>
        <v/>
      </c>
      <c r="D171">
        <f>IF($J171="","",SUMIFS('Hours Log'!$D:$D,'Hours Log'!$A:$A,"&gt;="&amp;$J171,'Hours Log'!$A:$A,"&lt;"&amp;$J171+7))</f>
        <v/>
      </c>
      <c r="E171">
        <f>IF($J171="","",IFERROR(C171/(B171*40),0))</f>
        <v/>
      </c>
      <c r="F171">
        <f>IF($J171="","",0)</f>
        <v/>
      </c>
      <c r="G171">
        <f>IF($J171="","",SUMIFS('Hours Log'!$E:$E,'Hours Log'!$A:$A,"&gt;="&amp;$J171,'Hours Log'!$A:$A,"&lt;"&amp;$J171+7))</f>
        <v/>
      </c>
      <c r="J171">
        <f>IF(COUNT('Hours Log'!$A$4:$A$5000)=0,"",IF(MIN('Hours Log'!$A$4:$A$5000)+7*(ROW()-10)&gt;MAX('Hours Log'!$A$4:$A$5000),"",MIN('Hours Log'!$A$4:$A$5000)+7*(ROW()-10)))</f>
        <v/>
      </c>
    </row>
    <row r="172">
      <c r="A172">
        <f>IF($J172="","",YEAR($J172-WEEKDAY($J172,2)+4)&amp;"-W"&amp;TEXT(WEEKNUM($J172,21),"00"))</f>
        <v/>
      </c>
      <c r="B172" s="41">
        <f>IF($J172="","",COUNTIFS(Roster!$D$4:$D$500,"Active",Roster!$C$4:$C$500,"&lt;="&amp;$J172))</f>
        <v/>
      </c>
      <c r="C172">
        <f>IF($J172="","",SUMIFS('Hours Log'!$C:$C,'Hours Log'!$A:$A,"&gt;="&amp;$J172,'Hours Log'!$A:$A,"&lt;"&amp;$J172+7)+SUMIFS('Hours Log'!$D:$D,'Hours Log'!$A:$A,"&gt;="&amp;$J172,'Hours Log'!$A:$A,"&lt;"&amp;$J172+7))</f>
        <v/>
      </c>
      <c r="D172">
        <f>IF($J172="","",SUMIFS('Hours Log'!$D:$D,'Hours Log'!$A:$A,"&gt;="&amp;$J172,'Hours Log'!$A:$A,"&lt;"&amp;$J172+7))</f>
        <v/>
      </c>
      <c r="E172">
        <f>IF($J172="","",IFERROR(C172/(B172*40),0))</f>
        <v/>
      </c>
      <c r="F172">
        <f>IF($J172="","",0)</f>
        <v/>
      </c>
      <c r="G172">
        <f>IF($J172="","",SUMIFS('Hours Log'!$E:$E,'Hours Log'!$A:$A,"&gt;="&amp;$J172,'Hours Log'!$A:$A,"&lt;"&amp;$J172+7))</f>
        <v/>
      </c>
      <c r="J172">
        <f>IF(COUNT('Hours Log'!$A$4:$A$5000)=0,"",IF(MIN('Hours Log'!$A$4:$A$5000)+7*(ROW()-10)&gt;MAX('Hours Log'!$A$4:$A$5000),"",MIN('Hours Log'!$A$4:$A$5000)+7*(ROW()-10)))</f>
        <v/>
      </c>
    </row>
    <row r="173">
      <c r="A173">
        <f>IF($J173="","",YEAR($J173-WEEKDAY($J173,2)+4)&amp;"-W"&amp;TEXT(WEEKNUM($J173,21),"00"))</f>
        <v/>
      </c>
      <c r="B173" s="41">
        <f>IF($J173="","",COUNTIFS(Roster!$D$4:$D$500,"Active",Roster!$C$4:$C$500,"&lt;="&amp;$J173))</f>
        <v/>
      </c>
      <c r="C173">
        <f>IF($J173="","",SUMIFS('Hours Log'!$C:$C,'Hours Log'!$A:$A,"&gt;="&amp;$J173,'Hours Log'!$A:$A,"&lt;"&amp;$J173+7)+SUMIFS('Hours Log'!$D:$D,'Hours Log'!$A:$A,"&gt;="&amp;$J173,'Hours Log'!$A:$A,"&lt;"&amp;$J173+7))</f>
        <v/>
      </c>
      <c r="D173">
        <f>IF($J173="","",SUMIFS('Hours Log'!$D:$D,'Hours Log'!$A:$A,"&gt;="&amp;$J173,'Hours Log'!$A:$A,"&lt;"&amp;$J173+7))</f>
        <v/>
      </c>
      <c r="E173">
        <f>IF($J173="","",IFERROR(C173/(B173*40),0))</f>
        <v/>
      </c>
      <c r="F173">
        <f>IF($J173="","",0)</f>
        <v/>
      </c>
      <c r="G173">
        <f>IF($J173="","",SUMIFS('Hours Log'!$E:$E,'Hours Log'!$A:$A,"&gt;="&amp;$J173,'Hours Log'!$A:$A,"&lt;"&amp;$J173+7))</f>
        <v/>
      </c>
      <c r="J173">
        <f>IF(COUNT('Hours Log'!$A$4:$A$5000)=0,"",IF(MIN('Hours Log'!$A$4:$A$5000)+7*(ROW()-10)&gt;MAX('Hours Log'!$A$4:$A$5000),"",MIN('Hours Log'!$A$4:$A$5000)+7*(ROW()-10)))</f>
        <v/>
      </c>
    </row>
    <row r="174">
      <c r="A174">
        <f>IF($J174="","",YEAR($J174-WEEKDAY($J174,2)+4)&amp;"-W"&amp;TEXT(WEEKNUM($J174,21),"00"))</f>
        <v/>
      </c>
      <c r="B174" s="41">
        <f>IF($J174="","",COUNTIFS(Roster!$D$4:$D$500,"Active",Roster!$C$4:$C$500,"&lt;="&amp;$J174))</f>
        <v/>
      </c>
      <c r="C174">
        <f>IF($J174="","",SUMIFS('Hours Log'!$C:$C,'Hours Log'!$A:$A,"&gt;="&amp;$J174,'Hours Log'!$A:$A,"&lt;"&amp;$J174+7)+SUMIFS('Hours Log'!$D:$D,'Hours Log'!$A:$A,"&gt;="&amp;$J174,'Hours Log'!$A:$A,"&lt;"&amp;$J174+7))</f>
        <v/>
      </c>
      <c r="D174">
        <f>IF($J174="","",SUMIFS('Hours Log'!$D:$D,'Hours Log'!$A:$A,"&gt;="&amp;$J174,'Hours Log'!$A:$A,"&lt;"&amp;$J174+7))</f>
        <v/>
      </c>
      <c r="E174">
        <f>IF($J174="","",IFERROR(C174/(B174*40),0))</f>
        <v/>
      </c>
      <c r="F174">
        <f>IF($J174="","",0)</f>
        <v/>
      </c>
      <c r="G174">
        <f>IF($J174="","",SUMIFS('Hours Log'!$E:$E,'Hours Log'!$A:$A,"&gt;="&amp;$J174,'Hours Log'!$A:$A,"&lt;"&amp;$J174+7))</f>
        <v/>
      </c>
      <c r="J174">
        <f>IF(COUNT('Hours Log'!$A$4:$A$5000)=0,"",IF(MIN('Hours Log'!$A$4:$A$5000)+7*(ROW()-10)&gt;MAX('Hours Log'!$A$4:$A$5000),"",MIN('Hours Log'!$A$4:$A$5000)+7*(ROW()-10)))</f>
        <v/>
      </c>
    </row>
    <row r="175">
      <c r="A175">
        <f>IF($J175="","",YEAR($J175-WEEKDAY($J175,2)+4)&amp;"-W"&amp;TEXT(WEEKNUM($J175,21),"00"))</f>
        <v/>
      </c>
      <c r="B175" s="41">
        <f>IF($J175="","",COUNTIFS(Roster!$D$4:$D$500,"Active",Roster!$C$4:$C$500,"&lt;="&amp;$J175))</f>
        <v/>
      </c>
      <c r="C175">
        <f>IF($J175="","",SUMIFS('Hours Log'!$C:$C,'Hours Log'!$A:$A,"&gt;="&amp;$J175,'Hours Log'!$A:$A,"&lt;"&amp;$J175+7)+SUMIFS('Hours Log'!$D:$D,'Hours Log'!$A:$A,"&gt;="&amp;$J175,'Hours Log'!$A:$A,"&lt;"&amp;$J175+7))</f>
        <v/>
      </c>
      <c r="D175">
        <f>IF($J175="","",SUMIFS('Hours Log'!$D:$D,'Hours Log'!$A:$A,"&gt;="&amp;$J175,'Hours Log'!$A:$A,"&lt;"&amp;$J175+7))</f>
        <v/>
      </c>
      <c r="E175">
        <f>IF($J175="","",IFERROR(C175/(B175*40),0))</f>
        <v/>
      </c>
      <c r="F175">
        <f>IF($J175="","",0)</f>
        <v/>
      </c>
      <c r="G175">
        <f>IF($J175="","",SUMIFS('Hours Log'!$E:$E,'Hours Log'!$A:$A,"&gt;="&amp;$J175,'Hours Log'!$A:$A,"&lt;"&amp;$J175+7))</f>
        <v/>
      </c>
      <c r="J175">
        <f>IF(COUNT('Hours Log'!$A$4:$A$5000)=0,"",IF(MIN('Hours Log'!$A$4:$A$5000)+7*(ROW()-10)&gt;MAX('Hours Log'!$A$4:$A$5000),"",MIN('Hours Log'!$A$4:$A$5000)+7*(ROW()-10)))</f>
        <v/>
      </c>
    </row>
    <row r="176">
      <c r="A176">
        <f>IF($J176="","",YEAR($J176-WEEKDAY($J176,2)+4)&amp;"-W"&amp;TEXT(WEEKNUM($J176,21),"00"))</f>
        <v/>
      </c>
      <c r="B176" s="41">
        <f>IF($J176="","",COUNTIFS(Roster!$D$4:$D$500,"Active",Roster!$C$4:$C$500,"&lt;="&amp;$J176))</f>
        <v/>
      </c>
      <c r="C176">
        <f>IF($J176="","",SUMIFS('Hours Log'!$C:$C,'Hours Log'!$A:$A,"&gt;="&amp;$J176,'Hours Log'!$A:$A,"&lt;"&amp;$J176+7)+SUMIFS('Hours Log'!$D:$D,'Hours Log'!$A:$A,"&gt;="&amp;$J176,'Hours Log'!$A:$A,"&lt;"&amp;$J176+7))</f>
        <v/>
      </c>
      <c r="D176">
        <f>IF($J176="","",SUMIFS('Hours Log'!$D:$D,'Hours Log'!$A:$A,"&gt;="&amp;$J176,'Hours Log'!$A:$A,"&lt;"&amp;$J176+7))</f>
        <v/>
      </c>
      <c r="E176">
        <f>IF($J176="","",IFERROR(C176/(B176*40),0))</f>
        <v/>
      </c>
      <c r="F176">
        <f>IF($J176="","",0)</f>
        <v/>
      </c>
      <c r="G176">
        <f>IF($J176="","",SUMIFS('Hours Log'!$E:$E,'Hours Log'!$A:$A,"&gt;="&amp;$J176,'Hours Log'!$A:$A,"&lt;"&amp;$J176+7))</f>
        <v/>
      </c>
      <c r="J176">
        <f>IF(COUNT('Hours Log'!$A$4:$A$5000)=0,"",IF(MIN('Hours Log'!$A$4:$A$5000)+7*(ROW()-10)&gt;MAX('Hours Log'!$A$4:$A$5000),"",MIN('Hours Log'!$A$4:$A$5000)+7*(ROW()-10)))</f>
        <v/>
      </c>
    </row>
    <row r="177">
      <c r="A177">
        <f>IF($J177="","",YEAR($J177-WEEKDAY($J177,2)+4)&amp;"-W"&amp;TEXT(WEEKNUM($J177,21),"00"))</f>
        <v/>
      </c>
      <c r="B177" s="41">
        <f>IF($J177="","",COUNTIFS(Roster!$D$4:$D$500,"Active",Roster!$C$4:$C$500,"&lt;="&amp;$J177))</f>
        <v/>
      </c>
      <c r="C177">
        <f>IF($J177="","",SUMIFS('Hours Log'!$C:$C,'Hours Log'!$A:$A,"&gt;="&amp;$J177,'Hours Log'!$A:$A,"&lt;"&amp;$J177+7)+SUMIFS('Hours Log'!$D:$D,'Hours Log'!$A:$A,"&gt;="&amp;$J177,'Hours Log'!$A:$A,"&lt;"&amp;$J177+7))</f>
        <v/>
      </c>
      <c r="D177">
        <f>IF($J177="","",SUMIFS('Hours Log'!$D:$D,'Hours Log'!$A:$A,"&gt;="&amp;$J177,'Hours Log'!$A:$A,"&lt;"&amp;$J177+7))</f>
        <v/>
      </c>
      <c r="E177">
        <f>IF($J177="","",IFERROR(C177/(B177*40),0))</f>
        <v/>
      </c>
      <c r="F177">
        <f>IF($J177="","",0)</f>
        <v/>
      </c>
      <c r="G177">
        <f>IF($J177="","",SUMIFS('Hours Log'!$E:$E,'Hours Log'!$A:$A,"&gt;="&amp;$J177,'Hours Log'!$A:$A,"&lt;"&amp;$J177+7))</f>
        <v/>
      </c>
      <c r="J177">
        <f>IF(COUNT('Hours Log'!$A$4:$A$5000)=0,"",IF(MIN('Hours Log'!$A$4:$A$5000)+7*(ROW()-10)&gt;MAX('Hours Log'!$A$4:$A$5000),"",MIN('Hours Log'!$A$4:$A$5000)+7*(ROW()-10)))</f>
        <v/>
      </c>
    </row>
    <row r="178">
      <c r="A178">
        <f>IF($J178="","",YEAR($J178-WEEKDAY($J178,2)+4)&amp;"-W"&amp;TEXT(WEEKNUM($J178,21),"00"))</f>
        <v/>
      </c>
      <c r="B178" s="41">
        <f>IF($J178="","",COUNTIFS(Roster!$D$4:$D$500,"Active",Roster!$C$4:$C$500,"&lt;="&amp;$J178))</f>
        <v/>
      </c>
      <c r="C178">
        <f>IF($J178="","",SUMIFS('Hours Log'!$C:$C,'Hours Log'!$A:$A,"&gt;="&amp;$J178,'Hours Log'!$A:$A,"&lt;"&amp;$J178+7)+SUMIFS('Hours Log'!$D:$D,'Hours Log'!$A:$A,"&gt;="&amp;$J178,'Hours Log'!$A:$A,"&lt;"&amp;$J178+7))</f>
        <v/>
      </c>
      <c r="D178">
        <f>IF($J178="","",SUMIFS('Hours Log'!$D:$D,'Hours Log'!$A:$A,"&gt;="&amp;$J178,'Hours Log'!$A:$A,"&lt;"&amp;$J178+7))</f>
        <v/>
      </c>
      <c r="E178">
        <f>IF($J178="","",IFERROR(C178/(B178*40),0))</f>
        <v/>
      </c>
      <c r="F178">
        <f>IF($J178="","",0)</f>
        <v/>
      </c>
      <c r="G178">
        <f>IF($J178="","",SUMIFS('Hours Log'!$E:$E,'Hours Log'!$A:$A,"&gt;="&amp;$J178,'Hours Log'!$A:$A,"&lt;"&amp;$J178+7))</f>
        <v/>
      </c>
      <c r="J178">
        <f>IF(COUNT('Hours Log'!$A$4:$A$5000)=0,"",IF(MIN('Hours Log'!$A$4:$A$5000)+7*(ROW()-10)&gt;MAX('Hours Log'!$A$4:$A$5000),"",MIN('Hours Log'!$A$4:$A$5000)+7*(ROW()-10)))</f>
        <v/>
      </c>
    </row>
    <row r="179">
      <c r="A179">
        <f>IF($J179="","",YEAR($J179-WEEKDAY($J179,2)+4)&amp;"-W"&amp;TEXT(WEEKNUM($J179,21),"00"))</f>
        <v/>
      </c>
      <c r="B179" s="41">
        <f>IF($J179="","",COUNTIFS(Roster!$D$4:$D$500,"Active",Roster!$C$4:$C$500,"&lt;="&amp;$J179))</f>
        <v/>
      </c>
      <c r="C179">
        <f>IF($J179="","",SUMIFS('Hours Log'!$C:$C,'Hours Log'!$A:$A,"&gt;="&amp;$J179,'Hours Log'!$A:$A,"&lt;"&amp;$J179+7)+SUMIFS('Hours Log'!$D:$D,'Hours Log'!$A:$A,"&gt;="&amp;$J179,'Hours Log'!$A:$A,"&lt;"&amp;$J179+7))</f>
        <v/>
      </c>
      <c r="D179">
        <f>IF($J179="","",SUMIFS('Hours Log'!$D:$D,'Hours Log'!$A:$A,"&gt;="&amp;$J179,'Hours Log'!$A:$A,"&lt;"&amp;$J179+7))</f>
        <v/>
      </c>
      <c r="E179">
        <f>IF($J179="","",IFERROR(C179/(B179*40),0))</f>
        <v/>
      </c>
      <c r="F179">
        <f>IF($J179="","",0)</f>
        <v/>
      </c>
      <c r="G179">
        <f>IF($J179="","",SUMIFS('Hours Log'!$E:$E,'Hours Log'!$A:$A,"&gt;="&amp;$J179,'Hours Log'!$A:$A,"&lt;"&amp;$J179+7))</f>
        <v/>
      </c>
      <c r="J179">
        <f>IF(COUNT('Hours Log'!$A$4:$A$5000)=0,"",IF(MIN('Hours Log'!$A$4:$A$5000)+7*(ROW()-10)&gt;MAX('Hours Log'!$A$4:$A$5000),"",MIN('Hours Log'!$A$4:$A$5000)+7*(ROW()-10)))</f>
        <v/>
      </c>
    </row>
    <row r="180">
      <c r="A180">
        <f>IF($J180="","",YEAR($J180-WEEKDAY($J180,2)+4)&amp;"-W"&amp;TEXT(WEEKNUM($J180,21),"00"))</f>
        <v/>
      </c>
      <c r="B180" s="41">
        <f>IF($J180="","",COUNTIFS(Roster!$D$4:$D$500,"Active",Roster!$C$4:$C$500,"&lt;="&amp;$J180))</f>
        <v/>
      </c>
      <c r="C180">
        <f>IF($J180="","",SUMIFS('Hours Log'!$C:$C,'Hours Log'!$A:$A,"&gt;="&amp;$J180,'Hours Log'!$A:$A,"&lt;"&amp;$J180+7)+SUMIFS('Hours Log'!$D:$D,'Hours Log'!$A:$A,"&gt;="&amp;$J180,'Hours Log'!$A:$A,"&lt;"&amp;$J180+7))</f>
        <v/>
      </c>
      <c r="D180">
        <f>IF($J180="","",SUMIFS('Hours Log'!$D:$D,'Hours Log'!$A:$A,"&gt;="&amp;$J180,'Hours Log'!$A:$A,"&lt;"&amp;$J180+7))</f>
        <v/>
      </c>
      <c r="E180">
        <f>IF($J180="","",IFERROR(C180/(B180*40),0))</f>
        <v/>
      </c>
      <c r="F180">
        <f>IF($J180="","",0)</f>
        <v/>
      </c>
      <c r="G180">
        <f>IF($J180="","",SUMIFS('Hours Log'!$E:$E,'Hours Log'!$A:$A,"&gt;="&amp;$J180,'Hours Log'!$A:$A,"&lt;"&amp;$J180+7))</f>
        <v/>
      </c>
      <c r="J180">
        <f>IF(COUNT('Hours Log'!$A$4:$A$5000)=0,"",IF(MIN('Hours Log'!$A$4:$A$5000)+7*(ROW()-10)&gt;MAX('Hours Log'!$A$4:$A$5000),"",MIN('Hours Log'!$A$4:$A$5000)+7*(ROW()-10)))</f>
        <v/>
      </c>
    </row>
    <row r="181">
      <c r="A181">
        <f>IF($J181="","",YEAR($J181-WEEKDAY($J181,2)+4)&amp;"-W"&amp;TEXT(WEEKNUM($J181,21),"00"))</f>
        <v/>
      </c>
      <c r="B181" s="41">
        <f>IF($J181="","",COUNTIFS(Roster!$D$4:$D$500,"Active",Roster!$C$4:$C$500,"&lt;="&amp;$J181))</f>
        <v/>
      </c>
      <c r="C181">
        <f>IF($J181="","",SUMIFS('Hours Log'!$C:$C,'Hours Log'!$A:$A,"&gt;="&amp;$J181,'Hours Log'!$A:$A,"&lt;"&amp;$J181+7)+SUMIFS('Hours Log'!$D:$D,'Hours Log'!$A:$A,"&gt;="&amp;$J181,'Hours Log'!$A:$A,"&lt;"&amp;$J181+7))</f>
        <v/>
      </c>
      <c r="D181">
        <f>IF($J181="","",SUMIFS('Hours Log'!$D:$D,'Hours Log'!$A:$A,"&gt;="&amp;$J181,'Hours Log'!$A:$A,"&lt;"&amp;$J181+7))</f>
        <v/>
      </c>
      <c r="E181">
        <f>IF($J181="","",IFERROR(C181/(B181*40),0))</f>
        <v/>
      </c>
      <c r="F181">
        <f>IF($J181="","",0)</f>
        <v/>
      </c>
      <c r="G181">
        <f>IF($J181="","",SUMIFS('Hours Log'!$E:$E,'Hours Log'!$A:$A,"&gt;="&amp;$J181,'Hours Log'!$A:$A,"&lt;"&amp;$J181+7))</f>
        <v/>
      </c>
      <c r="J181">
        <f>IF(COUNT('Hours Log'!$A$4:$A$5000)=0,"",IF(MIN('Hours Log'!$A$4:$A$5000)+7*(ROW()-10)&gt;MAX('Hours Log'!$A$4:$A$5000),"",MIN('Hours Log'!$A$4:$A$5000)+7*(ROW()-10)))</f>
        <v/>
      </c>
    </row>
    <row r="182">
      <c r="A182">
        <f>IF($J182="","",YEAR($J182-WEEKDAY($J182,2)+4)&amp;"-W"&amp;TEXT(WEEKNUM($J182,21),"00"))</f>
        <v/>
      </c>
      <c r="B182" s="41">
        <f>IF($J182="","",COUNTIFS(Roster!$D$4:$D$500,"Active",Roster!$C$4:$C$500,"&lt;="&amp;$J182))</f>
        <v/>
      </c>
      <c r="C182">
        <f>IF($J182="","",SUMIFS('Hours Log'!$C:$C,'Hours Log'!$A:$A,"&gt;="&amp;$J182,'Hours Log'!$A:$A,"&lt;"&amp;$J182+7)+SUMIFS('Hours Log'!$D:$D,'Hours Log'!$A:$A,"&gt;="&amp;$J182,'Hours Log'!$A:$A,"&lt;"&amp;$J182+7))</f>
        <v/>
      </c>
      <c r="D182">
        <f>IF($J182="","",SUMIFS('Hours Log'!$D:$D,'Hours Log'!$A:$A,"&gt;="&amp;$J182,'Hours Log'!$A:$A,"&lt;"&amp;$J182+7))</f>
        <v/>
      </c>
      <c r="E182">
        <f>IF($J182="","",IFERROR(C182/(B182*40),0))</f>
        <v/>
      </c>
      <c r="F182">
        <f>IF($J182="","",0)</f>
        <v/>
      </c>
      <c r="G182">
        <f>IF($J182="","",SUMIFS('Hours Log'!$E:$E,'Hours Log'!$A:$A,"&gt;="&amp;$J182,'Hours Log'!$A:$A,"&lt;"&amp;$J182+7))</f>
        <v/>
      </c>
      <c r="J182">
        <f>IF(COUNT('Hours Log'!$A$4:$A$5000)=0,"",IF(MIN('Hours Log'!$A$4:$A$5000)+7*(ROW()-10)&gt;MAX('Hours Log'!$A$4:$A$5000),"",MIN('Hours Log'!$A$4:$A$5000)+7*(ROW()-10)))</f>
        <v/>
      </c>
    </row>
    <row r="183">
      <c r="A183">
        <f>IF($J183="","",YEAR($J183-WEEKDAY($J183,2)+4)&amp;"-W"&amp;TEXT(WEEKNUM($J183,21),"00"))</f>
        <v/>
      </c>
      <c r="B183" s="41">
        <f>IF($J183="","",COUNTIFS(Roster!$D$4:$D$500,"Active",Roster!$C$4:$C$500,"&lt;="&amp;$J183))</f>
        <v/>
      </c>
      <c r="C183">
        <f>IF($J183="","",SUMIFS('Hours Log'!$C:$C,'Hours Log'!$A:$A,"&gt;="&amp;$J183,'Hours Log'!$A:$A,"&lt;"&amp;$J183+7)+SUMIFS('Hours Log'!$D:$D,'Hours Log'!$A:$A,"&gt;="&amp;$J183,'Hours Log'!$A:$A,"&lt;"&amp;$J183+7))</f>
        <v/>
      </c>
      <c r="D183">
        <f>IF($J183="","",SUMIFS('Hours Log'!$D:$D,'Hours Log'!$A:$A,"&gt;="&amp;$J183,'Hours Log'!$A:$A,"&lt;"&amp;$J183+7))</f>
        <v/>
      </c>
      <c r="E183">
        <f>IF($J183="","",IFERROR(C183/(B183*40),0))</f>
        <v/>
      </c>
      <c r="F183">
        <f>IF($J183="","",0)</f>
        <v/>
      </c>
      <c r="G183">
        <f>IF($J183="","",SUMIFS('Hours Log'!$E:$E,'Hours Log'!$A:$A,"&gt;="&amp;$J183,'Hours Log'!$A:$A,"&lt;"&amp;$J183+7))</f>
        <v/>
      </c>
      <c r="J183">
        <f>IF(COUNT('Hours Log'!$A$4:$A$5000)=0,"",IF(MIN('Hours Log'!$A$4:$A$5000)+7*(ROW()-10)&gt;MAX('Hours Log'!$A$4:$A$5000),"",MIN('Hours Log'!$A$4:$A$5000)+7*(ROW()-10)))</f>
        <v/>
      </c>
    </row>
    <row r="184">
      <c r="A184">
        <f>IF($J184="","",YEAR($J184-WEEKDAY($J184,2)+4)&amp;"-W"&amp;TEXT(WEEKNUM($J184,21),"00"))</f>
        <v/>
      </c>
      <c r="B184" s="41">
        <f>IF($J184="","",COUNTIFS(Roster!$D$4:$D$500,"Active",Roster!$C$4:$C$500,"&lt;="&amp;$J184))</f>
        <v/>
      </c>
      <c r="C184">
        <f>IF($J184="","",SUMIFS('Hours Log'!$C:$C,'Hours Log'!$A:$A,"&gt;="&amp;$J184,'Hours Log'!$A:$A,"&lt;"&amp;$J184+7)+SUMIFS('Hours Log'!$D:$D,'Hours Log'!$A:$A,"&gt;="&amp;$J184,'Hours Log'!$A:$A,"&lt;"&amp;$J184+7))</f>
        <v/>
      </c>
      <c r="D184">
        <f>IF($J184="","",SUMIFS('Hours Log'!$D:$D,'Hours Log'!$A:$A,"&gt;="&amp;$J184,'Hours Log'!$A:$A,"&lt;"&amp;$J184+7))</f>
        <v/>
      </c>
      <c r="E184">
        <f>IF($J184="","",IFERROR(C184/(B184*40),0))</f>
        <v/>
      </c>
      <c r="F184">
        <f>IF($J184="","",0)</f>
        <v/>
      </c>
      <c r="G184">
        <f>IF($J184="","",SUMIFS('Hours Log'!$E:$E,'Hours Log'!$A:$A,"&gt;="&amp;$J184,'Hours Log'!$A:$A,"&lt;"&amp;$J184+7))</f>
        <v/>
      </c>
      <c r="J184">
        <f>IF(COUNT('Hours Log'!$A$4:$A$5000)=0,"",IF(MIN('Hours Log'!$A$4:$A$5000)+7*(ROW()-10)&gt;MAX('Hours Log'!$A$4:$A$5000),"",MIN('Hours Log'!$A$4:$A$5000)+7*(ROW()-10)))</f>
        <v/>
      </c>
    </row>
    <row r="185">
      <c r="A185">
        <f>IF($J185="","",YEAR($J185-WEEKDAY($J185,2)+4)&amp;"-W"&amp;TEXT(WEEKNUM($J185,21),"00"))</f>
        <v/>
      </c>
      <c r="B185" s="41">
        <f>IF($J185="","",COUNTIFS(Roster!$D$4:$D$500,"Active",Roster!$C$4:$C$500,"&lt;="&amp;$J185))</f>
        <v/>
      </c>
      <c r="C185">
        <f>IF($J185="","",SUMIFS('Hours Log'!$C:$C,'Hours Log'!$A:$A,"&gt;="&amp;$J185,'Hours Log'!$A:$A,"&lt;"&amp;$J185+7)+SUMIFS('Hours Log'!$D:$D,'Hours Log'!$A:$A,"&gt;="&amp;$J185,'Hours Log'!$A:$A,"&lt;"&amp;$J185+7))</f>
        <v/>
      </c>
      <c r="D185">
        <f>IF($J185="","",SUMIFS('Hours Log'!$D:$D,'Hours Log'!$A:$A,"&gt;="&amp;$J185,'Hours Log'!$A:$A,"&lt;"&amp;$J185+7))</f>
        <v/>
      </c>
      <c r="E185">
        <f>IF($J185="","",IFERROR(C185/(B185*40),0))</f>
        <v/>
      </c>
      <c r="F185">
        <f>IF($J185="","",0)</f>
        <v/>
      </c>
      <c r="G185">
        <f>IF($J185="","",SUMIFS('Hours Log'!$E:$E,'Hours Log'!$A:$A,"&gt;="&amp;$J185,'Hours Log'!$A:$A,"&lt;"&amp;$J185+7))</f>
        <v/>
      </c>
      <c r="J185">
        <f>IF(COUNT('Hours Log'!$A$4:$A$5000)=0,"",IF(MIN('Hours Log'!$A$4:$A$5000)+7*(ROW()-10)&gt;MAX('Hours Log'!$A$4:$A$5000),"",MIN('Hours Log'!$A$4:$A$5000)+7*(ROW()-10)))</f>
        <v/>
      </c>
    </row>
    <row r="186">
      <c r="A186">
        <f>IF($J186="","",YEAR($J186-WEEKDAY($J186,2)+4)&amp;"-W"&amp;TEXT(WEEKNUM($J186,21),"00"))</f>
        <v/>
      </c>
      <c r="B186" s="41">
        <f>IF($J186="","",COUNTIFS(Roster!$D$4:$D$500,"Active",Roster!$C$4:$C$500,"&lt;="&amp;$J186))</f>
        <v/>
      </c>
      <c r="C186">
        <f>IF($J186="","",SUMIFS('Hours Log'!$C:$C,'Hours Log'!$A:$A,"&gt;="&amp;$J186,'Hours Log'!$A:$A,"&lt;"&amp;$J186+7)+SUMIFS('Hours Log'!$D:$D,'Hours Log'!$A:$A,"&gt;="&amp;$J186,'Hours Log'!$A:$A,"&lt;"&amp;$J186+7))</f>
        <v/>
      </c>
      <c r="D186">
        <f>IF($J186="","",SUMIFS('Hours Log'!$D:$D,'Hours Log'!$A:$A,"&gt;="&amp;$J186,'Hours Log'!$A:$A,"&lt;"&amp;$J186+7))</f>
        <v/>
      </c>
      <c r="E186">
        <f>IF($J186="","",IFERROR(C186/(B186*40),0))</f>
        <v/>
      </c>
      <c r="F186">
        <f>IF($J186="","",0)</f>
        <v/>
      </c>
      <c r="G186">
        <f>IF($J186="","",SUMIFS('Hours Log'!$E:$E,'Hours Log'!$A:$A,"&gt;="&amp;$J186,'Hours Log'!$A:$A,"&lt;"&amp;$J186+7))</f>
        <v/>
      </c>
      <c r="J186">
        <f>IF(COUNT('Hours Log'!$A$4:$A$5000)=0,"",IF(MIN('Hours Log'!$A$4:$A$5000)+7*(ROW()-10)&gt;MAX('Hours Log'!$A$4:$A$5000),"",MIN('Hours Log'!$A$4:$A$5000)+7*(ROW()-10)))</f>
        <v/>
      </c>
    </row>
    <row r="187">
      <c r="A187">
        <f>IF($J187="","",YEAR($J187-WEEKDAY($J187,2)+4)&amp;"-W"&amp;TEXT(WEEKNUM($J187,21),"00"))</f>
        <v/>
      </c>
      <c r="B187" s="41">
        <f>IF($J187="","",COUNTIFS(Roster!$D$4:$D$500,"Active",Roster!$C$4:$C$500,"&lt;="&amp;$J187))</f>
        <v/>
      </c>
      <c r="C187">
        <f>IF($J187="","",SUMIFS('Hours Log'!$C:$C,'Hours Log'!$A:$A,"&gt;="&amp;$J187,'Hours Log'!$A:$A,"&lt;"&amp;$J187+7)+SUMIFS('Hours Log'!$D:$D,'Hours Log'!$A:$A,"&gt;="&amp;$J187,'Hours Log'!$A:$A,"&lt;"&amp;$J187+7))</f>
        <v/>
      </c>
      <c r="D187">
        <f>IF($J187="","",SUMIFS('Hours Log'!$D:$D,'Hours Log'!$A:$A,"&gt;="&amp;$J187,'Hours Log'!$A:$A,"&lt;"&amp;$J187+7))</f>
        <v/>
      </c>
      <c r="E187">
        <f>IF($J187="","",IFERROR(C187/(B187*40),0))</f>
        <v/>
      </c>
      <c r="F187">
        <f>IF($J187="","",0)</f>
        <v/>
      </c>
      <c r="G187">
        <f>IF($J187="","",SUMIFS('Hours Log'!$E:$E,'Hours Log'!$A:$A,"&gt;="&amp;$J187,'Hours Log'!$A:$A,"&lt;"&amp;$J187+7))</f>
        <v/>
      </c>
      <c r="J187">
        <f>IF(COUNT('Hours Log'!$A$4:$A$5000)=0,"",IF(MIN('Hours Log'!$A$4:$A$5000)+7*(ROW()-10)&gt;MAX('Hours Log'!$A$4:$A$5000),"",MIN('Hours Log'!$A$4:$A$5000)+7*(ROW()-10)))</f>
        <v/>
      </c>
    </row>
    <row r="188">
      <c r="A188">
        <f>IF($J188="","",YEAR($J188-WEEKDAY($J188,2)+4)&amp;"-W"&amp;TEXT(WEEKNUM($J188,21),"00"))</f>
        <v/>
      </c>
      <c r="B188" s="41">
        <f>IF($J188="","",COUNTIFS(Roster!$D$4:$D$500,"Active",Roster!$C$4:$C$500,"&lt;="&amp;$J188))</f>
        <v/>
      </c>
      <c r="C188">
        <f>IF($J188="","",SUMIFS('Hours Log'!$C:$C,'Hours Log'!$A:$A,"&gt;="&amp;$J188,'Hours Log'!$A:$A,"&lt;"&amp;$J188+7)+SUMIFS('Hours Log'!$D:$D,'Hours Log'!$A:$A,"&gt;="&amp;$J188,'Hours Log'!$A:$A,"&lt;"&amp;$J188+7))</f>
        <v/>
      </c>
      <c r="D188">
        <f>IF($J188="","",SUMIFS('Hours Log'!$D:$D,'Hours Log'!$A:$A,"&gt;="&amp;$J188,'Hours Log'!$A:$A,"&lt;"&amp;$J188+7))</f>
        <v/>
      </c>
      <c r="E188">
        <f>IF($J188="","",IFERROR(C188/(B188*40),0))</f>
        <v/>
      </c>
      <c r="F188">
        <f>IF($J188="","",0)</f>
        <v/>
      </c>
      <c r="G188">
        <f>IF($J188="","",SUMIFS('Hours Log'!$E:$E,'Hours Log'!$A:$A,"&gt;="&amp;$J188,'Hours Log'!$A:$A,"&lt;"&amp;$J188+7))</f>
        <v/>
      </c>
      <c r="J188">
        <f>IF(COUNT('Hours Log'!$A$4:$A$5000)=0,"",IF(MIN('Hours Log'!$A$4:$A$5000)+7*(ROW()-10)&gt;MAX('Hours Log'!$A$4:$A$5000),"",MIN('Hours Log'!$A$4:$A$5000)+7*(ROW()-10)))</f>
        <v/>
      </c>
    </row>
    <row r="189">
      <c r="A189">
        <f>IF($J189="","",YEAR($J189-WEEKDAY($J189,2)+4)&amp;"-W"&amp;TEXT(WEEKNUM($J189,21),"00"))</f>
        <v/>
      </c>
      <c r="B189" s="41">
        <f>IF($J189="","",COUNTIFS(Roster!$D$4:$D$500,"Active",Roster!$C$4:$C$500,"&lt;="&amp;$J189))</f>
        <v/>
      </c>
      <c r="C189">
        <f>IF($J189="","",SUMIFS('Hours Log'!$C:$C,'Hours Log'!$A:$A,"&gt;="&amp;$J189,'Hours Log'!$A:$A,"&lt;"&amp;$J189+7)+SUMIFS('Hours Log'!$D:$D,'Hours Log'!$A:$A,"&gt;="&amp;$J189,'Hours Log'!$A:$A,"&lt;"&amp;$J189+7))</f>
        <v/>
      </c>
      <c r="D189">
        <f>IF($J189="","",SUMIFS('Hours Log'!$D:$D,'Hours Log'!$A:$A,"&gt;="&amp;$J189,'Hours Log'!$A:$A,"&lt;"&amp;$J189+7))</f>
        <v/>
      </c>
      <c r="E189">
        <f>IF($J189="","",IFERROR(C189/(B189*40),0))</f>
        <v/>
      </c>
      <c r="F189">
        <f>IF($J189="","",0)</f>
        <v/>
      </c>
      <c r="G189">
        <f>IF($J189="","",SUMIFS('Hours Log'!$E:$E,'Hours Log'!$A:$A,"&gt;="&amp;$J189,'Hours Log'!$A:$A,"&lt;"&amp;$J189+7))</f>
        <v/>
      </c>
      <c r="J189">
        <f>IF(COUNT('Hours Log'!$A$4:$A$5000)=0,"",IF(MIN('Hours Log'!$A$4:$A$5000)+7*(ROW()-10)&gt;MAX('Hours Log'!$A$4:$A$5000),"",MIN('Hours Log'!$A$4:$A$5000)+7*(ROW()-10)))</f>
        <v/>
      </c>
    </row>
    <row r="190">
      <c r="A190">
        <f>IF($J190="","",YEAR($J190-WEEKDAY($J190,2)+4)&amp;"-W"&amp;TEXT(WEEKNUM($J190,21),"00"))</f>
        <v/>
      </c>
      <c r="B190" s="41">
        <f>IF($J190="","",COUNTIFS(Roster!$D$4:$D$500,"Active",Roster!$C$4:$C$500,"&lt;="&amp;$J190))</f>
        <v/>
      </c>
      <c r="C190">
        <f>IF($J190="","",SUMIFS('Hours Log'!$C:$C,'Hours Log'!$A:$A,"&gt;="&amp;$J190,'Hours Log'!$A:$A,"&lt;"&amp;$J190+7)+SUMIFS('Hours Log'!$D:$D,'Hours Log'!$A:$A,"&gt;="&amp;$J190,'Hours Log'!$A:$A,"&lt;"&amp;$J190+7))</f>
        <v/>
      </c>
      <c r="D190">
        <f>IF($J190="","",SUMIFS('Hours Log'!$D:$D,'Hours Log'!$A:$A,"&gt;="&amp;$J190,'Hours Log'!$A:$A,"&lt;"&amp;$J190+7))</f>
        <v/>
      </c>
      <c r="E190">
        <f>IF($J190="","",IFERROR(C190/(B190*40),0))</f>
        <v/>
      </c>
      <c r="F190">
        <f>IF($J190="","",0)</f>
        <v/>
      </c>
      <c r="G190">
        <f>IF($J190="","",SUMIFS('Hours Log'!$E:$E,'Hours Log'!$A:$A,"&gt;="&amp;$J190,'Hours Log'!$A:$A,"&lt;"&amp;$J190+7))</f>
        <v/>
      </c>
      <c r="J190">
        <f>IF(COUNT('Hours Log'!$A$4:$A$5000)=0,"",IF(MIN('Hours Log'!$A$4:$A$5000)+7*(ROW()-10)&gt;MAX('Hours Log'!$A$4:$A$5000),"",MIN('Hours Log'!$A$4:$A$5000)+7*(ROW()-10)))</f>
        <v/>
      </c>
    </row>
    <row r="191">
      <c r="A191">
        <f>IF($J191="","",YEAR($J191-WEEKDAY($J191,2)+4)&amp;"-W"&amp;TEXT(WEEKNUM($J191,21),"00"))</f>
        <v/>
      </c>
      <c r="B191" s="41">
        <f>IF($J191="","",COUNTIFS(Roster!$D$4:$D$500,"Active",Roster!$C$4:$C$500,"&lt;="&amp;$J191))</f>
        <v/>
      </c>
      <c r="C191">
        <f>IF($J191="","",SUMIFS('Hours Log'!$C:$C,'Hours Log'!$A:$A,"&gt;="&amp;$J191,'Hours Log'!$A:$A,"&lt;"&amp;$J191+7)+SUMIFS('Hours Log'!$D:$D,'Hours Log'!$A:$A,"&gt;="&amp;$J191,'Hours Log'!$A:$A,"&lt;"&amp;$J191+7))</f>
        <v/>
      </c>
      <c r="D191">
        <f>IF($J191="","",SUMIFS('Hours Log'!$D:$D,'Hours Log'!$A:$A,"&gt;="&amp;$J191,'Hours Log'!$A:$A,"&lt;"&amp;$J191+7))</f>
        <v/>
      </c>
      <c r="E191">
        <f>IF($J191="","",IFERROR(C191/(B191*40),0))</f>
        <v/>
      </c>
      <c r="F191">
        <f>IF($J191="","",0)</f>
        <v/>
      </c>
      <c r="G191">
        <f>IF($J191="","",SUMIFS('Hours Log'!$E:$E,'Hours Log'!$A:$A,"&gt;="&amp;$J191,'Hours Log'!$A:$A,"&lt;"&amp;$J191+7))</f>
        <v/>
      </c>
      <c r="J191">
        <f>IF(COUNT('Hours Log'!$A$4:$A$5000)=0,"",IF(MIN('Hours Log'!$A$4:$A$5000)+7*(ROW()-10)&gt;MAX('Hours Log'!$A$4:$A$5000),"",MIN('Hours Log'!$A$4:$A$5000)+7*(ROW()-10)))</f>
        <v/>
      </c>
    </row>
    <row r="192">
      <c r="A192">
        <f>IF($J192="","",YEAR($J192-WEEKDAY($J192,2)+4)&amp;"-W"&amp;TEXT(WEEKNUM($J192,21),"00"))</f>
        <v/>
      </c>
      <c r="B192" s="41">
        <f>IF($J192="","",COUNTIFS(Roster!$D$4:$D$500,"Active",Roster!$C$4:$C$500,"&lt;="&amp;$J192))</f>
        <v/>
      </c>
      <c r="C192">
        <f>IF($J192="","",SUMIFS('Hours Log'!$C:$C,'Hours Log'!$A:$A,"&gt;="&amp;$J192,'Hours Log'!$A:$A,"&lt;"&amp;$J192+7)+SUMIFS('Hours Log'!$D:$D,'Hours Log'!$A:$A,"&gt;="&amp;$J192,'Hours Log'!$A:$A,"&lt;"&amp;$J192+7))</f>
        <v/>
      </c>
      <c r="D192">
        <f>IF($J192="","",SUMIFS('Hours Log'!$D:$D,'Hours Log'!$A:$A,"&gt;="&amp;$J192,'Hours Log'!$A:$A,"&lt;"&amp;$J192+7))</f>
        <v/>
      </c>
      <c r="E192">
        <f>IF($J192="","",IFERROR(C192/(B192*40),0))</f>
        <v/>
      </c>
      <c r="F192">
        <f>IF($J192="","",0)</f>
        <v/>
      </c>
      <c r="G192">
        <f>IF($J192="","",SUMIFS('Hours Log'!$E:$E,'Hours Log'!$A:$A,"&gt;="&amp;$J192,'Hours Log'!$A:$A,"&lt;"&amp;$J192+7))</f>
        <v/>
      </c>
      <c r="J192">
        <f>IF(COUNT('Hours Log'!$A$4:$A$5000)=0,"",IF(MIN('Hours Log'!$A$4:$A$5000)+7*(ROW()-10)&gt;MAX('Hours Log'!$A$4:$A$5000),"",MIN('Hours Log'!$A$4:$A$5000)+7*(ROW()-10)))</f>
        <v/>
      </c>
    </row>
    <row r="193">
      <c r="A193">
        <f>IF($J193="","",YEAR($J193-WEEKDAY($J193,2)+4)&amp;"-W"&amp;TEXT(WEEKNUM($J193,21),"00"))</f>
        <v/>
      </c>
      <c r="B193" s="41">
        <f>IF($J193="","",COUNTIFS(Roster!$D$4:$D$500,"Active",Roster!$C$4:$C$500,"&lt;="&amp;$J193))</f>
        <v/>
      </c>
      <c r="C193">
        <f>IF($J193="","",SUMIFS('Hours Log'!$C:$C,'Hours Log'!$A:$A,"&gt;="&amp;$J193,'Hours Log'!$A:$A,"&lt;"&amp;$J193+7)+SUMIFS('Hours Log'!$D:$D,'Hours Log'!$A:$A,"&gt;="&amp;$J193,'Hours Log'!$A:$A,"&lt;"&amp;$J193+7))</f>
        <v/>
      </c>
      <c r="D193">
        <f>IF($J193="","",SUMIFS('Hours Log'!$D:$D,'Hours Log'!$A:$A,"&gt;="&amp;$J193,'Hours Log'!$A:$A,"&lt;"&amp;$J193+7))</f>
        <v/>
      </c>
      <c r="E193">
        <f>IF($J193="","",IFERROR(C193/(B193*40),0))</f>
        <v/>
      </c>
      <c r="F193">
        <f>IF($J193="","",0)</f>
        <v/>
      </c>
      <c r="G193">
        <f>IF($J193="","",SUMIFS('Hours Log'!$E:$E,'Hours Log'!$A:$A,"&gt;="&amp;$J193,'Hours Log'!$A:$A,"&lt;"&amp;$J193+7))</f>
        <v/>
      </c>
      <c r="J193">
        <f>IF(COUNT('Hours Log'!$A$4:$A$5000)=0,"",IF(MIN('Hours Log'!$A$4:$A$5000)+7*(ROW()-10)&gt;MAX('Hours Log'!$A$4:$A$5000),"",MIN('Hours Log'!$A$4:$A$5000)+7*(ROW()-10)))</f>
        <v/>
      </c>
    </row>
    <row r="194">
      <c r="A194">
        <f>IF($J194="","",YEAR($J194-WEEKDAY($J194,2)+4)&amp;"-W"&amp;TEXT(WEEKNUM($J194,21),"00"))</f>
        <v/>
      </c>
      <c r="B194" s="41">
        <f>IF($J194="","",COUNTIFS(Roster!$D$4:$D$500,"Active",Roster!$C$4:$C$500,"&lt;="&amp;$J194))</f>
        <v/>
      </c>
      <c r="C194">
        <f>IF($J194="","",SUMIFS('Hours Log'!$C:$C,'Hours Log'!$A:$A,"&gt;="&amp;$J194,'Hours Log'!$A:$A,"&lt;"&amp;$J194+7)+SUMIFS('Hours Log'!$D:$D,'Hours Log'!$A:$A,"&gt;="&amp;$J194,'Hours Log'!$A:$A,"&lt;"&amp;$J194+7))</f>
        <v/>
      </c>
      <c r="D194">
        <f>IF($J194="","",SUMIFS('Hours Log'!$D:$D,'Hours Log'!$A:$A,"&gt;="&amp;$J194,'Hours Log'!$A:$A,"&lt;"&amp;$J194+7))</f>
        <v/>
      </c>
      <c r="E194">
        <f>IF($J194="","",IFERROR(C194/(B194*40),0))</f>
        <v/>
      </c>
      <c r="F194">
        <f>IF($J194="","",0)</f>
        <v/>
      </c>
      <c r="G194">
        <f>IF($J194="","",SUMIFS('Hours Log'!$E:$E,'Hours Log'!$A:$A,"&gt;="&amp;$J194,'Hours Log'!$A:$A,"&lt;"&amp;$J194+7))</f>
        <v/>
      </c>
      <c r="J194">
        <f>IF(COUNT('Hours Log'!$A$4:$A$5000)=0,"",IF(MIN('Hours Log'!$A$4:$A$5000)+7*(ROW()-10)&gt;MAX('Hours Log'!$A$4:$A$5000),"",MIN('Hours Log'!$A$4:$A$5000)+7*(ROW()-10)))</f>
        <v/>
      </c>
    </row>
    <row r="195">
      <c r="A195">
        <f>IF($J195="","",YEAR($J195-WEEKDAY($J195,2)+4)&amp;"-W"&amp;TEXT(WEEKNUM($J195,21),"00"))</f>
        <v/>
      </c>
      <c r="B195" s="41">
        <f>IF($J195="","",COUNTIFS(Roster!$D$4:$D$500,"Active",Roster!$C$4:$C$500,"&lt;="&amp;$J195))</f>
        <v/>
      </c>
      <c r="C195">
        <f>IF($J195="","",SUMIFS('Hours Log'!$C:$C,'Hours Log'!$A:$A,"&gt;="&amp;$J195,'Hours Log'!$A:$A,"&lt;"&amp;$J195+7)+SUMIFS('Hours Log'!$D:$D,'Hours Log'!$A:$A,"&gt;="&amp;$J195,'Hours Log'!$A:$A,"&lt;"&amp;$J195+7))</f>
        <v/>
      </c>
      <c r="D195">
        <f>IF($J195="","",SUMIFS('Hours Log'!$D:$D,'Hours Log'!$A:$A,"&gt;="&amp;$J195,'Hours Log'!$A:$A,"&lt;"&amp;$J195+7))</f>
        <v/>
      </c>
      <c r="E195">
        <f>IF($J195="","",IFERROR(C195/(B195*40),0))</f>
        <v/>
      </c>
      <c r="F195">
        <f>IF($J195="","",0)</f>
        <v/>
      </c>
      <c r="G195">
        <f>IF($J195="","",SUMIFS('Hours Log'!$E:$E,'Hours Log'!$A:$A,"&gt;="&amp;$J195,'Hours Log'!$A:$A,"&lt;"&amp;$J195+7))</f>
        <v/>
      </c>
      <c r="J195">
        <f>IF(COUNT('Hours Log'!$A$4:$A$5000)=0,"",IF(MIN('Hours Log'!$A$4:$A$5000)+7*(ROW()-10)&gt;MAX('Hours Log'!$A$4:$A$5000),"",MIN('Hours Log'!$A$4:$A$5000)+7*(ROW()-10)))</f>
        <v/>
      </c>
    </row>
    <row r="196">
      <c r="A196">
        <f>IF($J196="","",YEAR($J196-WEEKDAY($J196,2)+4)&amp;"-W"&amp;TEXT(WEEKNUM($J196,21),"00"))</f>
        <v/>
      </c>
      <c r="B196" s="41">
        <f>IF($J196="","",COUNTIFS(Roster!$D$4:$D$500,"Active",Roster!$C$4:$C$500,"&lt;="&amp;$J196))</f>
        <v/>
      </c>
      <c r="C196">
        <f>IF($J196="","",SUMIFS('Hours Log'!$C:$C,'Hours Log'!$A:$A,"&gt;="&amp;$J196,'Hours Log'!$A:$A,"&lt;"&amp;$J196+7)+SUMIFS('Hours Log'!$D:$D,'Hours Log'!$A:$A,"&gt;="&amp;$J196,'Hours Log'!$A:$A,"&lt;"&amp;$J196+7))</f>
        <v/>
      </c>
      <c r="D196">
        <f>IF($J196="","",SUMIFS('Hours Log'!$D:$D,'Hours Log'!$A:$A,"&gt;="&amp;$J196,'Hours Log'!$A:$A,"&lt;"&amp;$J196+7))</f>
        <v/>
      </c>
      <c r="E196">
        <f>IF($J196="","",IFERROR(C196/(B196*40),0))</f>
        <v/>
      </c>
      <c r="F196">
        <f>IF($J196="","",0)</f>
        <v/>
      </c>
      <c r="G196">
        <f>IF($J196="","",SUMIFS('Hours Log'!$E:$E,'Hours Log'!$A:$A,"&gt;="&amp;$J196,'Hours Log'!$A:$A,"&lt;"&amp;$J196+7))</f>
        <v/>
      </c>
      <c r="J196">
        <f>IF(COUNT('Hours Log'!$A$4:$A$5000)=0,"",IF(MIN('Hours Log'!$A$4:$A$5000)+7*(ROW()-10)&gt;MAX('Hours Log'!$A$4:$A$5000),"",MIN('Hours Log'!$A$4:$A$5000)+7*(ROW()-10)))</f>
        <v/>
      </c>
    </row>
    <row r="197">
      <c r="A197">
        <f>IF($J197="","",YEAR($J197-WEEKDAY($J197,2)+4)&amp;"-W"&amp;TEXT(WEEKNUM($J197,21),"00"))</f>
        <v/>
      </c>
      <c r="B197" s="41">
        <f>IF($J197="","",COUNTIFS(Roster!$D$4:$D$500,"Active",Roster!$C$4:$C$500,"&lt;="&amp;$J197))</f>
        <v/>
      </c>
      <c r="C197">
        <f>IF($J197="","",SUMIFS('Hours Log'!$C:$C,'Hours Log'!$A:$A,"&gt;="&amp;$J197,'Hours Log'!$A:$A,"&lt;"&amp;$J197+7)+SUMIFS('Hours Log'!$D:$D,'Hours Log'!$A:$A,"&gt;="&amp;$J197,'Hours Log'!$A:$A,"&lt;"&amp;$J197+7))</f>
        <v/>
      </c>
      <c r="D197">
        <f>IF($J197="","",SUMIFS('Hours Log'!$D:$D,'Hours Log'!$A:$A,"&gt;="&amp;$J197,'Hours Log'!$A:$A,"&lt;"&amp;$J197+7))</f>
        <v/>
      </c>
      <c r="E197">
        <f>IF($J197="","",IFERROR(C197/(B197*40),0))</f>
        <v/>
      </c>
      <c r="F197">
        <f>IF($J197="","",0)</f>
        <v/>
      </c>
      <c r="G197">
        <f>IF($J197="","",SUMIFS('Hours Log'!$E:$E,'Hours Log'!$A:$A,"&gt;="&amp;$J197,'Hours Log'!$A:$A,"&lt;"&amp;$J197+7))</f>
        <v/>
      </c>
      <c r="J197">
        <f>IF(COUNT('Hours Log'!$A$4:$A$5000)=0,"",IF(MIN('Hours Log'!$A$4:$A$5000)+7*(ROW()-10)&gt;MAX('Hours Log'!$A$4:$A$5000),"",MIN('Hours Log'!$A$4:$A$5000)+7*(ROW()-10)))</f>
        <v/>
      </c>
    </row>
    <row r="198">
      <c r="A198">
        <f>IF($J198="","",YEAR($J198-WEEKDAY($J198,2)+4)&amp;"-W"&amp;TEXT(WEEKNUM($J198,21),"00"))</f>
        <v/>
      </c>
      <c r="B198" s="41">
        <f>IF($J198="","",COUNTIFS(Roster!$D$4:$D$500,"Active",Roster!$C$4:$C$500,"&lt;="&amp;$J198))</f>
        <v/>
      </c>
      <c r="C198">
        <f>IF($J198="","",SUMIFS('Hours Log'!$C:$C,'Hours Log'!$A:$A,"&gt;="&amp;$J198,'Hours Log'!$A:$A,"&lt;"&amp;$J198+7)+SUMIFS('Hours Log'!$D:$D,'Hours Log'!$A:$A,"&gt;="&amp;$J198,'Hours Log'!$A:$A,"&lt;"&amp;$J198+7))</f>
        <v/>
      </c>
      <c r="D198">
        <f>IF($J198="","",SUMIFS('Hours Log'!$D:$D,'Hours Log'!$A:$A,"&gt;="&amp;$J198,'Hours Log'!$A:$A,"&lt;"&amp;$J198+7))</f>
        <v/>
      </c>
      <c r="E198">
        <f>IF($J198="","",IFERROR(C198/(B198*40),0))</f>
        <v/>
      </c>
      <c r="F198">
        <f>IF($J198="","",0)</f>
        <v/>
      </c>
      <c r="G198">
        <f>IF($J198="","",SUMIFS('Hours Log'!$E:$E,'Hours Log'!$A:$A,"&gt;="&amp;$J198,'Hours Log'!$A:$A,"&lt;"&amp;$J198+7))</f>
        <v/>
      </c>
      <c r="J198">
        <f>IF(COUNT('Hours Log'!$A$4:$A$5000)=0,"",IF(MIN('Hours Log'!$A$4:$A$5000)+7*(ROW()-10)&gt;MAX('Hours Log'!$A$4:$A$5000),"",MIN('Hours Log'!$A$4:$A$5000)+7*(ROW()-10)))</f>
        <v/>
      </c>
    </row>
    <row r="199">
      <c r="A199">
        <f>IF($J199="","",YEAR($J199-WEEKDAY($J199,2)+4)&amp;"-W"&amp;TEXT(WEEKNUM($J199,21),"00"))</f>
        <v/>
      </c>
      <c r="B199" s="41">
        <f>IF($J199="","",COUNTIFS(Roster!$D$4:$D$500,"Active",Roster!$C$4:$C$500,"&lt;="&amp;$J199))</f>
        <v/>
      </c>
      <c r="C199">
        <f>IF($J199="","",SUMIFS('Hours Log'!$C:$C,'Hours Log'!$A:$A,"&gt;="&amp;$J199,'Hours Log'!$A:$A,"&lt;"&amp;$J199+7)+SUMIFS('Hours Log'!$D:$D,'Hours Log'!$A:$A,"&gt;="&amp;$J199,'Hours Log'!$A:$A,"&lt;"&amp;$J199+7))</f>
        <v/>
      </c>
      <c r="D199">
        <f>IF($J199="","",SUMIFS('Hours Log'!$D:$D,'Hours Log'!$A:$A,"&gt;="&amp;$J199,'Hours Log'!$A:$A,"&lt;"&amp;$J199+7))</f>
        <v/>
      </c>
      <c r="E199">
        <f>IF($J199="","",IFERROR(C199/(B199*40),0))</f>
        <v/>
      </c>
      <c r="F199">
        <f>IF($J199="","",0)</f>
        <v/>
      </c>
      <c r="G199">
        <f>IF($J199="","",SUMIFS('Hours Log'!$E:$E,'Hours Log'!$A:$A,"&gt;="&amp;$J199,'Hours Log'!$A:$A,"&lt;"&amp;$J199+7))</f>
        <v/>
      </c>
      <c r="J199">
        <f>IF(COUNT('Hours Log'!$A$4:$A$5000)=0,"",IF(MIN('Hours Log'!$A$4:$A$5000)+7*(ROW()-10)&gt;MAX('Hours Log'!$A$4:$A$5000),"",MIN('Hours Log'!$A$4:$A$5000)+7*(ROW()-10)))</f>
        <v/>
      </c>
    </row>
    <row r="200">
      <c r="A200">
        <f>IF($J200="","",YEAR($J200-WEEKDAY($J200,2)+4)&amp;"-W"&amp;TEXT(WEEKNUM($J200,21),"00"))</f>
        <v/>
      </c>
      <c r="B200" s="41">
        <f>IF($J200="","",COUNTIFS(Roster!$D$4:$D$500,"Active",Roster!$C$4:$C$500,"&lt;="&amp;$J200))</f>
        <v/>
      </c>
      <c r="C200">
        <f>IF($J200="","",SUMIFS('Hours Log'!$C:$C,'Hours Log'!$A:$A,"&gt;="&amp;$J200,'Hours Log'!$A:$A,"&lt;"&amp;$J200+7)+SUMIFS('Hours Log'!$D:$D,'Hours Log'!$A:$A,"&gt;="&amp;$J200,'Hours Log'!$A:$A,"&lt;"&amp;$J200+7))</f>
        <v/>
      </c>
      <c r="D200">
        <f>IF($J200="","",SUMIFS('Hours Log'!$D:$D,'Hours Log'!$A:$A,"&gt;="&amp;$J200,'Hours Log'!$A:$A,"&lt;"&amp;$J200+7))</f>
        <v/>
      </c>
      <c r="E200">
        <f>IF($J200="","",IFERROR(C200/(B200*40),0))</f>
        <v/>
      </c>
      <c r="F200">
        <f>IF($J200="","",0)</f>
        <v/>
      </c>
      <c r="G200">
        <f>IF($J200="","",SUMIFS('Hours Log'!$E:$E,'Hours Log'!$A:$A,"&gt;="&amp;$J200,'Hours Log'!$A:$A,"&lt;"&amp;$J200+7))</f>
        <v/>
      </c>
      <c r="J200">
        <f>IF(COUNT('Hours Log'!$A$4:$A$5000)=0,"",IF(MIN('Hours Log'!$A$4:$A$5000)+7*(ROW()-10)&gt;MAX('Hours Log'!$A$4:$A$5000),"",MIN('Hours Log'!$A$4:$A$5000)+7*(ROW()-10)))</f>
        <v/>
      </c>
    </row>
    <row r="201">
      <c r="A201">
        <f>IF($J201="","",YEAR($J201-WEEKDAY($J201,2)+4)&amp;"-W"&amp;TEXT(WEEKNUM($J201,21),"00"))</f>
        <v/>
      </c>
      <c r="B201" s="41">
        <f>IF($J201="","",COUNTIFS(Roster!$D$4:$D$500,"Active",Roster!$C$4:$C$500,"&lt;="&amp;$J201))</f>
        <v/>
      </c>
      <c r="C201">
        <f>IF($J201="","",SUMIFS('Hours Log'!$C:$C,'Hours Log'!$A:$A,"&gt;="&amp;$J201,'Hours Log'!$A:$A,"&lt;"&amp;$J201+7)+SUMIFS('Hours Log'!$D:$D,'Hours Log'!$A:$A,"&gt;="&amp;$J201,'Hours Log'!$A:$A,"&lt;"&amp;$J201+7))</f>
        <v/>
      </c>
      <c r="D201">
        <f>IF($J201="","",SUMIFS('Hours Log'!$D:$D,'Hours Log'!$A:$A,"&gt;="&amp;$J201,'Hours Log'!$A:$A,"&lt;"&amp;$J201+7))</f>
        <v/>
      </c>
      <c r="E201">
        <f>IF($J201="","",IFERROR(C201/(B201*40),0))</f>
        <v/>
      </c>
      <c r="F201">
        <f>IF($J201="","",0)</f>
        <v/>
      </c>
      <c r="G201">
        <f>IF($J201="","",SUMIFS('Hours Log'!$E:$E,'Hours Log'!$A:$A,"&gt;="&amp;$J201,'Hours Log'!$A:$A,"&lt;"&amp;$J201+7))</f>
        <v/>
      </c>
      <c r="J201">
        <f>IF(COUNT('Hours Log'!$A$4:$A$5000)=0,"",IF(MIN('Hours Log'!$A$4:$A$5000)+7*(ROW()-10)&gt;MAX('Hours Log'!$A$4:$A$5000),"",MIN('Hours Log'!$A$4:$A$5000)+7*(ROW()-10)))</f>
        <v/>
      </c>
    </row>
    <row r="202">
      <c r="A202">
        <f>IF($J202="","",YEAR($J202-WEEKDAY($J202,2)+4)&amp;"-W"&amp;TEXT(WEEKNUM($J202,21),"00"))</f>
        <v/>
      </c>
      <c r="B202" s="41">
        <f>IF($J202="","",COUNTIFS(Roster!$D$4:$D$500,"Active",Roster!$C$4:$C$500,"&lt;="&amp;$J202))</f>
        <v/>
      </c>
      <c r="C202">
        <f>IF($J202="","",SUMIFS('Hours Log'!$C:$C,'Hours Log'!$A:$A,"&gt;="&amp;$J202,'Hours Log'!$A:$A,"&lt;"&amp;$J202+7)+SUMIFS('Hours Log'!$D:$D,'Hours Log'!$A:$A,"&gt;="&amp;$J202,'Hours Log'!$A:$A,"&lt;"&amp;$J202+7))</f>
        <v/>
      </c>
      <c r="D202">
        <f>IF($J202="","",SUMIFS('Hours Log'!$D:$D,'Hours Log'!$A:$A,"&gt;="&amp;$J202,'Hours Log'!$A:$A,"&lt;"&amp;$J202+7))</f>
        <v/>
      </c>
      <c r="E202">
        <f>IF($J202="","",IFERROR(C202/(B202*40),0))</f>
        <v/>
      </c>
      <c r="F202">
        <f>IF($J202="","",0)</f>
        <v/>
      </c>
      <c r="G202">
        <f>IF($J202="","",SUMIFS('Hours Log'!$E:$E,'Hours Log'!$A:$A,"&gt;="&amp;$J202,'Hours Log'!$A:$A,"&lt;"&amp;$J202+7))</f>
        <v/>
      </c>
      <c r="J202">
        <f>IF(COUNT('Hours Log'!$A$4:$A$5000)=0,"",IF(MIN('Hours Log'!$A$4:$A$5000)+7*(ROW()-10)&gt;MAX('Hours Log'!$A$4:$A$5000),"",MIN('Hours Log'!$A$4:$A$5000)+7*(ROW()-10)))</f>
        <v/>
      </c>
    </row>
    <row r="203">
      <c r="A203">
        <f>IF($J203="","",YEAR($J203-WEEKDAY($J203,2)+4)&amp;"-W"&amp;TEXT(WEEKNUM($J203,21),"00"))</f>
        <v/>
      </c>
      <c r="B203" s="41">
        <f>IF($J203="","",COUNTIFS(Roster!$D$4:$D$500,"Active",Roster!$C$4:$C$500,"&lt;="&amp;$J203))</f>
        <v/>
      </c>
      <c r="C203">
        <f>IF($J203="","",SUMIFS('Hours Log'!$C:$C,'Hours Log'!$A:$A,"&gt;="&amp;$J203,'Hours Log'!$A:$A,"&lt;"&amp;$J203+7)+SUMIFS('Hours Log'!$D:$D,'Hours Log'!$A:$A,"&gt;="&amp;$J203,'Hours Log'!$A:$A,"&lt;"&amp;$J203+7))</f>
        <v/>
      </c>
      <c r="D203">
        <f>IF($J203="","",SUMIFS('Hours Log'!$D:$D,'Hours Log'!$A:$A,"&gt;="&amp;$J203,'Hours Log'!$A:$A,"&lt;"&amp;$J203+7))</f>
        <v/>
      </c>
      <c r="E203">
        <f>IF($J203="","",IFERROR(C203/(B203*40),0))</f>
        <v/>
      </c>
      <c r="F203">
        <f>IF($J203="","",0)</f>
        <v/>
      </c>
      <c r="G203">
        <f>IF($J203="","",SUMIFS('Hours Log'!$E:$E,'Hours Log'!$A:$A,"&gt;="&amp;$J203,'Hours Log'!$A:$A,"&lt;"&amp;$J203+7))</f>
        <v/>
      </c>
      <c r="J203">
        <f>IF(COUNT('Hours Log'!$A$4:$A$5000)=0,"",IF(MIN('Hours Log'!$A$4:$A$5000)+7*(ROW()-10)&gt;MAX('Hours Log'!$A$4:$A$5000),"",MIN('Hours Log'!$A$4:$A$5000)+7*(ROW()-10)))</f>
        <v/>
      </c>
    </row>
    <row r="204">
      <c r="A204">
        <f>IF($J204="","",YEAR($J204-WEEKDAY($J204,2)+4)&amp;"-W"&amp;TEXT(WEEKNUM($J204,21),"00"))</f>
        <v/>
      </c>
      <c r="B204" s="41">
        <f>IF($J204="","",COUNTIFS(Roster!$D$4:$D$500,"Active",Roster!$C$4:$C$500,"&lt;="&amp;$J204))</f>
        <v/>
      </c>
      <c r="C204">
        <f>IF($J204="","",SUMIFS('Hours Log'!$C:$C,'Hours Log'!$A:$A,"&gt;="&amp;$J204,'Hours Log'!$A:$A,"&lt;"&amp;$J204+7)+SUMIFS('Hours Log'!$D:$D,'Hours Log'!$A:$A,"&gt;="&amp;$J204,'Hours Log'!$A:$A,"&lt;"&amp;$J204+7))</f>
        <v/>
      </c>
      <c r="D204">
        <f>IF($J204="","",SUMIFS('Hours Log'!$D:$D,'Hours Log'!$A:$A,"&gt;="&amp;$J204,'Hours Log'!$A:$A,"&lt;"&amp;$J204+7))</f>
        <v/>
      </c>
      <c r="E204">
        <f>IF($J204="","",IFERROR(C204/(B204*40),0))</f>
        <v/>
      </c>
      <c r="F204">
        <f>IF($J204="","",0)</f>
        <v/>
      </c>
      <c r="G204">
        <f>IF($J204="","",SUMIFS('Hours Log'!$E:$E,'Hours Log'!$A:$A,"&gt;="&amp;$J204,'Hours Log'!$A:$A,"&lt;"&amp;$J204+7))</f>
        <v/>
      </c>
      <c r="J204">
        <f>IF(COUNT('Hours Log'!$A$4:$A$5000)=0,"",IF(MIN('Hours Log'!$A$4:$A$5000)+7*(ROW()-10)&gt;MAX('Hours Log'!$A$4:$A$5000),"",MIN('Hours Log'!$A$4:$A$5000)+7*(ROW()-10)))</f>
        <v/>
      </c>
    </row>
    <row r="205">
      <c r="A205">
        <f>IF($J205="","",YEAR($J205-WEEKDAY($J205,2)+4)&amp;"-W"&amp;TEXT(WEEKNUM($J205,21),"00"))</f>
        <v/>
      </c>
      <c r="B205" s="41">
        <f>IF($J205="","",COUNTIFS(Roster!$D$4:$D$500,"Active",Roster!$C$4:$C$500,"&lt;="&amp;$J205))</f>
        <v/>
      </c>
      <c r="C205">
        <f>IF($J205="","",SUMIFS('Hours Log'!$C:$C,'Hours Log'!$A:$A,"&gt;="&amp;$J205,'Hours Log'!$A:$A,"&lt;"&amp;$J205+7)+SUMIFS('Hours Log'!$D:$D,'Hours Log'!$A:$A,"&gt;="&amp;$J205,'Hours Log'!$A:$A,"&lt;"&amp;$J205+7))</f>
        <v/>
      </c>
      <c r="D205">
        <f>IF($J205="","",SUMIFS('Hours Log'!$D:$D,'Hours Log'!$A:$A,"&gt;="&amp;$J205,'Hours Log'!$A:$A,"&lt;"&amp;$J205+7))</f>
        <v/>
      </c>
      <c r="E205">
        <f>IF($J205="","",IFERROR(C205/(B205*40),0))</f>
        <v/>
      </c>
      <c r="F205">
        <f>IF($J205="","",0)</f>
        <v/>
      </c>
      <c r="G205">
        <f>IF($J205="","",SUMIFS('Hours Log'!$E:$E,'Hours Log'!$A:$A,"&gt;="&amp;$J205,'Hours Log'!$A:$A,"&lt;"&amp;$J205+7))</f>
        <v/>
      </c>
      <c r="J205">
        <f>IF(COUNT('Hours Log'!$A$4:$A$5000)=0,"",IF(MIN('Hours Log'!$A$4:$A$5000)+7*(ROW()-10)&gt;MAX('Hours Log'!$A$4:$A$5000),"",MIN('Hours Log'!$A$4:$A$5000)+7*(ROW()-10)))</f>
        <v/>
      </c>
    </row>
    <row r="206">
      <c r="A206">
        <f>IF($J206="","",YEAR($J206-WEEKDAY($J206,2)+4)&amp;"-W"&amp;TEXT(WEEKNUM($J206,21),"00"))</f>
        <v/>
      </c>
      <c r="B206" s="41">
        <f>IF($J206="","",COUNTIFS(Roster!$D$4:$D$500,"Active",Roster!$C$4:$C$500,"&lt;="&amp;$J206))</f>
        <v/>
      </c>
      <c r="C206">
        <f>IF($J206="","",SUMIFS('Hours Log'!$C:$C,'Hours Log'!$A:$A,"&gt;="&amp;$J206,'Hours Log'!$A:$A,"&lt;"&amp;$J206+7)+SUMIFS('Hours Log'!$D:$D,'Hours Log'!$A:$A,"&gt;="&amp;$J206,'Hours Log'!$A:$A,"&lt;"&amp;$J206+7))</f>
        <v/>
      </c>
      <c r="D206">
        <f>IF($J206="","",SUMIFS('Hours Log'!$D:$D,'Hours Log'!$A:$A,"&gt;="&amp;$J206,'Hours Log'!$A:$A,"&lt;"&amp;$J206+7))</f>
        <v/>
      </c>
      <c r="E206">
        <f>IF($J206="","",IFERROR(C206/(B206*40),0))</f>
        <v/>
      </c>
      <c r="F206">
        <f>IF($J206="","",0)</f>
        <v/>
      </c>
      <c r="G206">
        <f>IF($J206="","",SUMIFS('Hours Log'!$E:$E,'Hours Log'!$A:$A,"&gt;="&amp;$J206,'Hours Log'!$A:$A,"&lt;"&amp;$J206+7))</f>
        <v/>
      </c>
      <c r="J206">
        <f>IF(COUNT('Hours Log'!$A$4:$A$5000)=0,"",IF(MIN('Hours Log'!$A$4:$A$5000)+7*(ROW()-10)&gt;MAX('Hours Log'!$A$4:$A$5000),"",MIN('Hours Log'!$A$4:$A$5000)+7*(ROW()-10)))</f>
        <v/>
      </c>
    </row>
    <row r="207">
      <c r="A207">
        <f>IF($J207="","",YEAR($J207-WEEKDAY($J207,2)+4)&amp;"-W"&amp;TEXT(WEEKNUM($J207,21),"00"))</f>
        <v/>
      </c>
      <c r="B207" s="41">
        <f>IF($J207="","",COUNTIFS(Roster!$D$4:$D$500,"Active",Roster!$C$4:$C$500,"&lt;="&amp;$J207))</f>
        <v/>
      </c>
      <c r="C207">
        <f>IF($J207="","",SUMIFS('Hours Log'!$C:$C,'Hours Log'!$A:$A,"&gt;="&amp;$J207,'Hours Log'!$A:$A,"&lt;"&amp;$J207+7)+SUMIFS('Hours Log'!$D:$D,'Hours Log'!$A:$A,"&gt;="&amp;$J207,'Hours Log'!$A:$A,"&lt;"&amp;$J207+7))</f>
        <v/>
      </c>
      <c r="D207">
        <f>IF($J207="","",SUMIFS('Hours Log'!$D:$D,'Hours Log'!$A:$A,"&gt;="&amp;$J207,'Hours Log'!$A:$A,"&lt;"&amp;$J207+7))</f>
        <v/>
      </c>
      <c r="E207">
        <f>IF($J207="","",IFERROR(C207/(B207*40),0))</f>
        <v/>
      </c>
      <c r="F207">
        <f>IF($J207="","",0)</f>
        <v/>
      </c>
      <c r="G207">
        <f>IF($J207="","",SUMIFS('Hours Log'!$E:$E,'Hours Log'!$A:$A,"&gt;="&amp;$J207,'Hours Log'!$A:$A,"&lt;"&amp;$J207+7))</f>
        <v/>
      </c>
      <c r="J207">
        <f>IF(COUNT('Hours Log'!$A$4:$A$5000)=0,"",IF(MIN('Hours Log'!$A$4:$A$5000)+7*(ROW()-10)&gt;MAX('Hours Log'!$A$4:$A$5000),"",MIN('Hours Log'!$A$4:$A$5000)+7*(ROW()-10)))</f>
        <v/>
      </c>
    </row>
    <row r="208">
      <c r="A208">
        <f>IF($J208="","",YEAR($J208-WEEKDAY($J208,2)+4)&amp;"-W"&amp;TEXT(WEEKNUM($J208,21),"00"))</f>
        <v/>
      </c>
      <c r="B208" s="41">
        <f>IF($J208="","",COUNTIFS(Roster!$D$4:$D$500,"Active",Roster!$C$4:$C$500,"&lt;="&amp;$J208))</f>
        <v/>
      </c>
      <c r="C208">
        <f>IF($J208="","",SUMIFS('Hours Log'!$C:$C,'Hours Log'!$A:$A,"&gt;="&amp;$J208,'Hours Log'!$A:$A,"&lt;"&amp;$J208+7)+SUMIFS('Hours Log'!$D:$D,'Hours Log'!$A:$A,"&gt;="&amp;$J208,'Hours Log'!$A:$A,"&lt;"&amp;$J208+7))</f>
        <v/>
      </c>
      <c r="D208">
        <f>IF($J208="","",SUMIFS('Hours Log'!$D:$D,'Hours Log'!$A:$A,"&gt;="&amp;$J208,'Hours Log'!$A:$A,"&lt;"&amp;$J208+7))</f>
        <v/>
      </c>
      <c r="E208">
        <f>IF($J208="","",IFERROR(C208/(B208*40),0))</f>
        <v/>
      </c>
      <c r="F208">
        <f>IF($J208="","",0)</f>
        <v/>
      </c>
      <c r="G208">
        <f>IF($J208="","",SUMIFS('Hours Log'!$E:$E,'Hours Log'!$A:$A,"&gt;="&amp;$J208,'Hours Log'!$A:$A,"&lt;"&amp;$J208+7))</f>
        <v/>
      </c>
      <c r="J208">
        <f>IF(COUNT('Hours Log'!$A$4:$A$5000)=0,"",IF(MIN('Hours Log'!$A$4:$A$5000)+7*(ROW()-10)&gt;MAX('Hours Log'!$A$4:$A$5000),"",MIN('Hours Log'!$A$4:$A$5000)+7*(ROW()-10)))</f>
        <v/>
      </c>
    </row>
    <row r="209">
      <c r="A209">
        <f>IF($J209="","",YEAR($J209-WEEKDAY($J209,2)+4)&amp;"-W"&amp;TEXT(WEEKNUM($J209,21),"00"))</f>
        <v/>
      </c>
      <c r="B209" s="41">
        <f>IF($J209="","",COUNTIFS(Roster!$D$4:$D$500,"Active",Roster!$C$4:$C$500,"&lt;="&amp;$J209))</f>
        <v/>
      </c>
      <c r="C209">
        <f>IF($J209="","",SUMIFS('Hours Log'!$C:$C,'Hours Log'!$A:$A,"&gt;="&amp;$J209,'Hours Log'!$A:$A,"&lt;"&amp;$J209+7)+SUMIFS('Hours Log'!$D:$D,'Hours Log'!$A:$A,"&gt;="&amp;$J209,'Hours Log'!$A:$A,"&lt;"&amp;$J209+7))</f>
        <v/>
      </c>
      <c r="D209">
        <f>IF($J209="","",SUMIFS('Hours Log'!$D:$D,'Hours Log'!$A:$A,"&gt;="&amp;$J209,'Hours Log'!$A:$A,"&lt;"&amp;$J209+7))</f>
        <v/>
      </c>
      <c r="E209">
        <f>IF($J209="","",IFERROR(C209/(B209*40),0))</f>
        <v/>
      </c>
      <c r="F209">
        <f>IF($J209="","",0)</f>
        <v/>
      </c>
      <c r="G209">
        <f>IF($J209="","",SUMIFS('Hours Log'!$E:$E,'Hours Log'!$A:$A,"&gt;="&amp;$J209,'Hours Log'!$A:$A,"&lt;"&amp;$J209+7))</f>
        <v/>
      </c>
      <c r="J209">
        <f>IF(COUNT('Hours Log'!$A$4:$A$5000)=0,"",IF(MIN('Hours Log'!$A$4:$A$5000)+7*(ROW()-10)&gt;MAX('Hours Log'!$A$4:$A$5000),"",MIN('Hours Log'!$A$4:$A$5000)+7*(ROW()-10)))</f>
        <v/>
      </c>
    </row>
    <row r="210">
      <c r="A210">
        <f>IF($J210="","",YEAR($J210-WEEKDAY($J210,2)+4)&amp;"-W"&amp;TEXT(WEEKNUM($J210,21),"00"))</f>
        <v/>
      </c>
      <c r="B210" s="41">
        <f>IF($J210="","",COUNTIFS(Roster!$D$4:$D$500,"Active",Roster!$C$4:$C$500,"&lt;="&amp;$J210))</f>
        <v/>
      </c>
      <c r="C210">
        <f>IF($J210="","",SUMIFS('Hours Log'!$C:$C,'Hours Log'!$A:$A,"&gt;="&amp;$J210,'Hours Log'!$A:$A,"&lt;"&amp;$J210+7)+SUMIFS('Hours Log'!$D:$D,'Hours Log'!$A:$A,"&gt;="&amp;$J210,'Hours Log'!$A:$A,"&lt;"&amp;$J210+7))</f>
        <v/>
      </c>
      <c r="D210">
        <f>IF($J210="","",SUMIFS('Hours Log'!$D:$D,'Hours Log'!$A:$A,"&gt;="&amp;$J210,'Hours Log'!$A:$A,"&lt;"&amp;$J210+7))</f>
        <v/>
      </c>
      <c r="E210">
        <f>IF($J210="","",IFERROR(C210/(B210*40),0))</f>
        <v/>
      </c>
      <c r="F210">
        <f>IF($J210="","",0)</f>
        <v/>
      </c>
      <c r="G210">
        <f>IF($J210="","",SUMIFS('Hours Log'!$E:$E,'Hours Log'!$A:$A,"&gt;="&amp;$J210,'Hours Log'!$A:$A,"&lt;"&amp;$J210+7))</f>
        <v/>
      </c>
      <c r="J210">
        <f>IF(COUNT('Hours Log'!$A$4:$A$5000)=0,"",IF(MIN('Hours Log'!$A$4:$A$5000)+7*(ROW()-10)&gt;MAX('Hours Log'!$A$4:$A$5000),"",MIN('Hours Log'!$A$4:$A$5000)+7*(ROW()-10)))</f>
        <v/>
      </c>
    </row>
    <row r="211">
      <c r="A211">
        <f>IF($J211="","",YEAR($J211-WEEKDAY($J211,2)+4)&amp;"-W"&amp;TEXT(WEEKNUM($J211,21),"00"))</f>
        <v/>
      </c>
      <c r="B211" s="41">
        <f>IF($J211="","",COUNTIFS(Roster!$D$4:$D$500,"Active",Roster!$C$4:$C$500,"&lt;="&amp;$J211))</f>
        <v/>
      </c>
      <c r="C211">
        <f>IF($J211="","",SUMIFS('Hours Log'!$C:$C,'Hours Log'!$A:$A,"&gt;="&amp;$J211,'Hours Log'!$A:$A,"&lt;"&amp;$J211+7)+SUMIFS('Hours Log'!$D:$D,'Hours Log'!$A:$A,"&gt;="&amp;$J211,'Hours Log'!$A:$A,"&lt;"&amp;$J211+7))</f>
        <v/>
      </c>
      <c r="D211">
        <f>IF($J211="","",SUMIFS('Hours Log'!$D:$D,'Hours Log'!$A:$A,"&gt;="&amp;$J211,'Hours Log'!$A:$A,"&lt;"&amp;$J211+7))</f>
        <v/>
      </c>
      <c r="E211">
        <f>IF($J211="","",IFERROR(C211/(B211*40),0))</f>
        <v/>
      </c>
      <c r="F211">
        <f>IF($J211="","",0)</f>
        <v/>
      </c>
      <c r="G211">
        <f>IF($J211="","",SUMIFS('Hours Log'!$E:$E,'Hours Log'!$A:$A,"&gt;="&amp;$J211,'Hours Log'!$A:$A,"&lt;"&amp;$J211+7))</f>
        <v/>
      </c>
      <c r="J211">
        <f>IF(COUNT('Hours Log'!$A$4:$A$5000)=0,"",IF(MIN('Hours Log'!$A$4:$A$5000)+7*(ROW()-10)&gt;MAX('Hours Log'!$A$4:$A$5000),"",MIN('Hours Log'!$A$4:$A$5000)+7*(ROW()-10)))</f>
        <v/>
      </c>
    </row>
    <row r="212">
      <c r="A212">
        <f>IF($J212="","",YEAR($J212-WEEKDAY($J212,2)+4)&amp;"-W"&amp;TEXT(WEEKNUM($J212,21),"00"))</f>
        <v/>
      </c>
      <c r="B212" s="41">
        <f>IF($J212="","",COUNTIFS(Roster!$D$4:$D$500,"Active",Roster!$C$4:$C$500,"&lt;="&amp;$J212))</f>
        <v/>
      </c>
      <c r="C212">
        <f>IF($J212="","",SUMIFS('Hours Log'!$C:$C,'Hours Log'!$A:$A,"&gt;="&amp;$J212,'Hours Log'!$A:$A,"&lt;"&amp;$J212+7)+SUMIFS('Hours Log'!$D:$D,'Hours Log'!$A:$A,"&gt;="&amp;$J212,'Hours Log'!$A:$A,"&lt;"&amp;$J212+7))</f>
        <v/>
      </c>
      <c r="D212">
        <f>IF($J212="","",SUMIFS('Hours Log'!$D:$D,'Hours Log'!$A:$A,"&gt;="&amp;$J212,'Hours Log'!$A:$A,"&lt;"&amp;$J212+7))</f>
        <v/>
      </c>
      <c r="E212">
        <f>IF($J212="","",IFERROR(C212/(B212*40),0))</f>
        <v/>
      </c>
      <c r="F212">
        <f>IF($J212="","",0)</f>
        <v/>
      </c>
      <c r="G212">
        <f>IF($J212="","",SUMIFS('Hours Log'!$E:$E,'Hours Log'!$A:$A,"&gt;="&amp;$J212,'Hours Log'!$A:$A,"&lt;"&amp;$J212+7))</f>
        <v/>
      </c>
      <c r="J212">
        <f>IF(COUNT('Hours Log'!$A$4:$A$5000)=0,"",IF(MIN('Hours Log'!$A$4:$A$5000)+7*(ROW()-10)&gt;MAX('Hours Log'!$A$4:$A$5000),"",MIN('Hours Log'!$A$4:$A$5000)+7*(ROW()-10)))</f>
        <v/>
      </c>
    </row>
    <row r="213">
      <c r="A213">
        <f>IF($J213="","",YEAR($J213-WEEKDAY($J213,2)+4)&amp;"-W"&amp;TEXT(WEEKNUM($J213,21),"00"))</f>
        <v/>
      </c>
      <c r="B213" s="41">
        <f>IF($J213="","",COUNTIFS(Roster!$D$4:$D$500,"Active",Roster!$C$4:$C$500,"&lt;="&amp;$J213))</f>
        <v/>
      </c>
      <c r="C213">
        <f>IF($J213="","",SUMIFS('Hours Log'!$C:$C,'Hours Log'!$A:$A,"&gt;="&amp;$J213,'Hours Log'!$A:$A,"&lt;"&amp;$J213+7)+SUMIFS('Hours Log'!$D:$D,'Hours Log'!$A:$A,"&gt;="&amp;$J213,'Hours Log'!$A:$A,"&lt;"&amp;$J213+7))</f>
        <v/>
      </c>
      <c r="D213">
        <f>IF($J213="","",SUMIFS('Hours Log'!$D:$D,'Hours Log'!$A:$A,"&gt;="&amp;$J213,'Hours Log'!$A:$A,"&lt;"&amp;$J213+7))</f>
        <v/>
      </c>
      <c r="E213">
        <f>IF($J213="","",IFERROR(C213/(B213*40),0))</f>
        <v/>
      </c>
      <c r="F213">
        <f>IF($J213="","",0)</f>
        <v/>
      </c>
      <c r="G213">
        <f>IF($J213="","",SUMIFS('Hours Log'!$E:$E,'Hours Log'!$A:$A,"&gt;="&amp;$J213,'Hours Log'!$A:$A,"&lt;"&amp;$J213+7))</f>
        <v/>
      </c>
      <c r="J213">
        <f>IF(COUNT('Hours Log'!$A$4:$A$5000)=0,"",IF(MIN('Hours Log'!$A$4:$A$5000)+7*(ROW()-10)&gt;MAX('Hours Log'!$A$4:$A$5000),"",MIN('Hours Log'!$A$4:$A$5000)+7*(ROW()-10)))</f>
        <v/>
      </c>
    </row>
    <row r="214">
      <c r="A214">
        <f>IF($J214="","",YEAR($J214-WEEKDAY($J214,2)+4)&amp;"-W"&amp;TEXT(WEEKNUM($J214,21),"00"))</f>
        <v/>
      </c>
      <c r="B214" s="41">
        <f>IF($J214="","",COUNTIFS(Roster!$D$4:$D$500,"Active",Roster!$C$4:$C$500,"&lt;="&amp;$J214))</f>
        <v/>
      </c>
      <c r="C214">
        <f>IF($J214="","",SUMIFS('Hours Log'!$C:$C,'Hours Log'!$A:$A,"&gt;="&amp;$J214,'Hours Log'!$A:$A,"&lt;"&amp;$J214+7)+SUMIFS('Hours Log'!$D:$D,'Hours Log'!$A:$A,"&gt;="&amp;$J214,'Hours Log'!$A:$A,"&lt;"&amp;$J214+7))</f>
        <v/>
      </c>
      <c r="D214">
        <f>IF($J214="","",SUMIFS('Hours Log'!$D:$D,'Hours Log'!$A:$A,"&gt;="&amp;$J214,'Hours Log'!$A:$A,"&lt;"&amp;$J214+7))</f>
        <v/>
      </c>
      <c r="E214">
        <f>IF($J214="","",IFERROR(C214/(B214*40),0))</f>
        <v/>
      </c>
      <c r="F214">
        <f>IF($J214="","",0)</f>
        <v/>
      </c>
      <c r="G214">
        <f>IF($J214="","",SUMIFS('Hours Log'!$E:$E,'Hours Log'!$A:$A,"&gt;="&amp;$J214,'Hours Log'!$A:$A,"&lt;"&amp;$J214+7))</f>
        <v/>
      </c>
      <c r="J214">
        <f>IF(COUNT('Hours Log'!$A$4:$A$5000)=0,"",IF(MIN('Hours Log'!$A$4:$A$5000)+7*(ROW()-10)&gt;MAX('Hours Log'!$A$4:$A$5000),"",MIN('Hours Log'!$A$4:$A$5000)+7*(ROW()-10)))</f>
        <v/>
      </c>
    </row>
    <row r="215">
      <c r="A215">
        <f>IF($J215="","",YEAR($J215-WEEKDAY($J215,2)+4)&amp;"-W"&amp;TEXT(WEEKNUM($J215,21),"00"))</f>
        <v/>
      </c>
      <c r="B215" s="41">
        <f>IF($J215="","",COUNTIFS(Roster!$D$4:$D$500,"Active",Roster!$C$4:$C$500,"&lt;="&amp;$J215))</f>
        <v/>
      </c>
      <c r="C215">
        <f>IF($J215="","",SUMIFS('Hours Log'!$C:$C,'Hours Log'!$A:$A,"&gt;="&amp;$J215,'Hours Log'!$A:$A,"&lt;"&amp;$J215+7)+SUMIFS('Hours Log'!$D:$D,'Hours Log'!$A:$A,"&gt;="&amp;$J215,'Hours Log'!$A:$A,"&lt;"&amp;$J215+7))</f>
        <v/>
      </c>
      <c r="D215">
        <f>IF($J215="","",SUMIFS('Hours Log'!$D:$D,'Hours Log'!$A:$A,"&gt;="&amp;$J215,'Hours Log'!$A:$A,"&lt;"&amp;$J215+7))</f>
        <v/>
      </c>
      <c r="E215">
        <f>IF($J215="","",IFERROR(C215/(B215*40),0))</f>
        <v/>
      </c>
      <c r="F215">
        <f>IF($J215="","",0)</f>
        <v/>
      </c>
      <c r="G215">
        <f>IF($J215="","",SUMIFS('Hours Log'!$E:$E,'Hours Log'!$A:$A,"&gt;="&amp;$J215,'Hours Log'!$A:$A,"&lt;"&amp;$J215+7))</f>
        <v/>
      </c>
      <c r="J215">
        <f>IF(COUNT('Hours Log'!$A$4:$A$5000)=0,"",IF(MIN('Hours Log'!$A$4:$A$5000)+7*(ROW()-10)&gt;MAX('Hours Log'!$A$4:$A$5000),"",MIN('Hours Log'!$A$4:$A$5000)+7*(ROW()-10)))</f>
        <v/>
      </c>
    </row>
    <row r="216">
      <c r="A216">
        <f>IF($J216="","",YEAR($J216-WEEKDAY($J216,2)+4)&amp;"-W"&amp;TEXT(WEEKNUM($J216,21),"00"))</f>
        <v/>
      </c>
      <c r="B216" s="41">
        <f>IF($J216="","",COUNTIFS(Roster!$D$4:$D$500,"Active",Roster!$C$4:$C$500,"&lt;="&amp;$J216))</f>
        <v/>
      </c>
      <c r="C216">
        <f>IF($J216="","",SUMIFS('Hours Log'!$C:$C,'Hours Log'!$A:$A,"&gt;="&amp;$J216,'Hours Log'!$A:$A,"&lt;"&amp;$J216+7)+SUMIFS('Hours Log'!$D:$D,'Hours Log'!$A:$A,"&gt;="&amp;$J216,'Hours Log'!$A:$A,"&lt;"&amp;$J216+7))</f>
        <v/>
      </c>
      <c r="D216">
        <f>IF($J216="","",SUMIFS('Hours Log'!$D:$D,'Hours Log'!$A:$A,"&gt;="&amp;$J216,'Hours Log'!$A:$A,"&lt;"&amp;$J216+7))</f>
        <v/>
      </c>
      <c r="E216">
        <f>IF($J216="","",IFERROR(C216/(B216*40),0))</f>
        <v/>
      </c>
      <c r="F216">
        <f>IF($J216="","",0)</f>
        <v/>
      </c>
      <c r="G216">
        <f>IF($J216="","",SUMIFS('Hours Log'!$E:$E,'Hours Log'!$A:$A,"&gt;="&amp;$J216,'Hours Log'!$A:$A,"&lt;"&amp;$J216+7))</f>
        <v/>
      </c>
      <c r="J216">
        <f>IF(COUNT('Hours Log'!$A$4:$A$5000)=0,"",IF(MIN('Hours Log'!$A$4:$A$5000)+7*(ROW()-10)&gt;MAX('Hours Log'!$A$4:$A$5000),"",MIN('Hours Log'!$A$4:$A$5000)+7*(ROW()-10)))</f>
        <v/>
      </c>
    </row>
    <row r="217">
      <c r="A217">
        <f>IF($J217="","",YEAR($J217-WEEKDAY($J217,2)+4)&amp;"-W"&amp;TEXT(WEEKNUM($J217,21),"00"))</f>
        <v/>
      </c>
      <c r="B217" s="41">
        <f>IF($J217="","",COUNTIFS(Roster!$D$4:$D$500,"Active",Roster!$C$4:$C$500,"&lt;="&amp;$J217))</f>
        <v/>
      </c>
      <c r="C217">
        <f>IF($J217="","",SUMIFS('Hours Log'!$C:$C,'Hours Log'!$A:$A,"&gt;="&amp;$J217,'Hours Log'!$A:$A,"&lt;"&amp;$J217+7)+SUMIFS('Hours Log'!$D:$D,'Hours Log'!$A:$A,"&gt;="&amp;$J217,'Hours Log'!$A:$A,"&lt;"&amp;$J217+7))</f>
        <v/>
      </c>
      <c r="D217">
        <f>IF($J217="","",SUMIFS('Hours Log'!$D:$D,'Hours Log'!$A:$A,"&gt;="&amp;$J217,'Hours Log'!$A:$A,"&lt;"&amp;$J217+7))</f>
        <v/>
      </c>
      <c r="E217">
        <f>IF($J217="","",IFERROR(C217/(B217*40),0))</f>
        <v/>
      </c>
      <c r="F217">
        <f>IF($J217="","",0)</f>
        <v/>
      </c>
      <c r="G217">
        <f>IF($J217="","",SUMIFS('Hours Log'!$E:$E,'Hours Log'!$A:$A,"&gt;="&amp;$J217,'Hours Log'!$A:$A,"&lt;"&amp;$J217+7))</f>
        <v/>
      </c>
      <c r="J217">
        <f>IF(COUNT('Hours Log'!$A$4:$A$5000)=0,"",IF(MIN('Hours Log'!$A$4:$A$5000)+7*(ROW()-10)&gt;MAX('Hours Log'!$A$4:$A$5000),"",MIN('Hours Log'!$A$4:$A$5000)+7*(ROW()-10)))</f>
        <v/>
      </c>
    </row>
    <row r="218">
      <c r="A218">
        <f>IF($J218="","",YEAR($J218-WEEKDAY($J218,2)+4)&amp;"-W"&amp;TEXT(WEEKNUM($J218,21),"00"))</f>
        <v/>
      </c>
      <c r="B218" s="41">
        <f>IF($J218="","",COUNTIFS(Roster!$D$4:$D$500,"Active",Roster!$C$4:$C$500,"&lt;="&amp;$J218))</f>
        <v/>
      </c>
      <c r="C218">
        <f>IF($J218="","",SUMIFS('Hours Log'!$C:$C,'Hours Log'!$A:$A,"&gt;="&amp;$J218,'Hours Log'!$A:$A,"&lt;"&amp;$J218+7)+SUMIFS('Hours Log'!$D:$D,'Hours Log'!$A:$A,"&gt;="&amp;$J218,'Hours Log'!$A:$A,"&lt;"&amp;$J218+7))</f>
        <v/>
      </c>
      <c r="D218">
        <f>IF($J218="","",SUMIFS('Hours Log'!$D:$D,'Hours Log'!$A:$A,"&gt;="&amp;$J218,'Hours Log'!$A:$A,"&lt;"&amp;$J218+7))</f>
        <v/>
      </c>
      <c r="E218">
        <f>IF($J218="","",IFERROR(C218/(B218*40),0))</f>
        <v/>
      </c>
      <c r="F218">
        <f>IF($J218="","",0)</f>
        <v/>
      </c>
      <c r="G218">
        <f>IF($J218="","",SUMIFS('Hours Log'!$E:$E,'Hours Log'!$A:$A,"&gt;="&amp;$J218,'Hours Log'!$A:$A,"&lt;"&amp;$J218+7))</f>
        <v/>
      </c>
      <c r="J218">
        <f>IF(COUNT('Hours Log'!$A$4:$A$5000)=0,"",IF(MIN('Hours Log'!$A$4:$A$5000)+7*(ROW()-10)&gt;MAX('Hours Log'!$A$4:$A$5000),"",MIN('Hours Log'!$A$4:$A$5000)+7*(ROW()-10)))</f>
        <v/>
      </c>
    </row>
    <row r="219">
      <c r="A219">
        <f>IF($J219="","",YEAR($J219-WEEKDAY($J219,2)+4)&amp;"-W"&amp;TEXT(WEEKNUM($J219,21),"00"))</f>
        <v/>
      </c>
      <c r="B219" s="41">
        <f>IF($J219="","",COUNTIFS(Roster!$D$4:$D$500,"Active",Roster!$C$4:$C$500,"&lt;="&amp;$J219))</f>
        <v/>
      </c>
      <c r="C219">
        <f>IF($J219="","",SUMIFS('Hours Log'!$C:$C,'Hours Log'!$A:$A,"&gt;="&amp;$J219,'Hours Log'!$A:$A,"&lt;"&amp;$J219+7)+SUMIFS('Hours Log'!$D:$D,'Hours Log'!$A:$A,"&gt;="&amp;$J219,'Hours Log'!$A:$A,"&lt;"&amp;$J219+7))</f>
        <v/>
      </c>
      <c r="D219">
        <f>IF($J219="","",SUMIFS('Hours Log'!$D:$D,'Hours Log'!$A:$A,"&gt;="&amp;$J219,'Hours Log'!$A:$A,"&lt;"&amp;$J219+7))</f>
        <v/>
      </c>
      <c r="E219">
        <f>IF($J219="","",IFERROR(C219/(B219*40),0))</f>
        <v/>
      </c>
      <c r="F219">
        <f>IF($J219="","",0)</f>
        <v/>
      </c>
      <c r="G219">
        <f>IF($J219="","",SUMIFS('Hours Log'!$E:$E,'Hours Log'!$A:$A,"&gt;="&amp;$J219,'Hours Log'!$A:$A,"&lt;"&amp;$J219+7))</f>
        <v/>
      </c>
      <c r="J219">
        <f>IF(COUNT('Hours Log'!$A$4:$A$5000)=0,"",IF(MIN('Hours Log'!$A$4:$A$5000)+7*(ROW()-10)&gt;MAX('Hours Log'!$A$4:$A$5000),"",MIN('Hours Log'!$A$4:$A$5000)+7*(ROW()-10)))</f>
        <v/>
      </c>
    </row>
    <row r="220">
      <c r="A220">
        <f>IF($J220="","",YEAR($J220-WEEKDAY($J220,2)+4)&amp;"-W"&amp;TEXT(WEEKNUM($J220,21),"00"))</f>
        <v/>
      </c>
      <c r="B220" s="41">
        <f>IF($J220="","",COUNTIFS(Roster!$D$4:$D$500,"Active",Roster!$C$4:$C$500,"&lt;="&amp;$J220))</f>
        <v/>
      </c>
      <c r="C220">
        <f>IF($J220="","",SUMIFS('Hours Log'!$C:$C,'Hours Log'!$A:$A,"&gt;="&amp;$J220,'Hours Log'!$A:$A,"&lt;"&amp;$J220+7)+SUMIFS('Hours Log'!$D:$D,'Hours Log'!$A:$A,"&gt;="&amp;$J220,'Hours Log'!$A:$A,"&lt;"&amp;$J220+7))</f>
        <v/>
      </c>
      <c r="D220">
        <f>IF($J220="","",SUMIFS('Hours Log'!$D:$D,'Hours Log'!$A:$A,"&gt;="&amp;$J220,'Hours Log'!$A:$A,"&lt;"&amp;$J220+7))</f>
        <v/>
      </c>
      <c r="E220">
        <f>IF($J220="","",IFERROR(C220/(B220*40),0))</f>
        <v/>
      </c>
      <c r="F220">
        <f>IF($J220="","",0)</f>
        <v/>
      </c>
      <c r="G220">
        <f>IF($J220="","",SUMIFS('Hours Log'!$E:$E,'Hours Log'!$A:$A,"&gt;="&amp;$J220,'Hours Log'!$A:$A,"&lt;"&amp;$J220+7))</f>
        <v/>
      </c>
      <c r="J220">
        <f>IF(COUNT('Hours Log'!$A$4:$A$5000)=0,"",IF(MIN('Hours Log'!$A$4:$A$5000)+7*(ROW()-10)&gt;MAX('Hours Log'!$A$4:$A$5000),"",MIN('Hours Log'!$A$4:$A$5000)+7*(ROW()-10)))</f>
        <v/>
      </c>
    </row>
    <row r="221">
      <c r="A221">
        <f>IF($J221="","",YEAR($J221-WEEKDAY($J221,2)+4)&amp;"-W"&amp;TEXT(WEEKNUM($J221,21),"00"))</f>
        <v/>
      </c>
      <c r="B221" s="41">
        <f>IF($J221="","",COUNTIFS(Roster!$D$4:$D$500,"Active",Roster!$C$4:$C$500,"&lt;="&amp;$J221))</f>
        <v/>
      </c>
      <c r="C221">
        <f>IF($J221="","",SUMIFS('Hours Log'!$C:$C,'Hours Log'!$A:$A,"&gt;="&amp;$J221,'Hours Log'!$A:$A,"&lt;"&amp;$J221+7)+SUMIFS('Hours Log'!$D:$D,'Hours Log'!$A:$A,"&gt;="&amp;$J221,'Hours Log'!$A:$A,"&lt;"&amp;$J221+7))</f>
        <v/>
      </c>
      <c r="D221">
        <f>IF($J221="","",SUMIFS('Hours Log'!$D:$D,'Hours Log'!$A:$A,"&gt;="&amp;$J221,'Hours Log'!$A:$A,"&lt;"&amp;$J221+7))</f>
        <v/>
      </c>
      <c r="E221">
        <f>IF($J221="","",IFERROR(C221/(B221*40),0))</f>
        <v/>
      </c>
      <c r="F221">
        <f>IF($J221="","",0)</f>
        <v/>
      </c>
      <c r="G221">
        <f>IF($J221="","",SUMIFS('Hours Log'!$E:$E,'Hours Log'!$A:$A,"&gt;="&amp;$J221,'Hours Log'!$A:$A,"&lt;"&amp;$J221+7))</f>
        <v/>
      </c>
      <c r="J221">
        <f>IF(COUNT('Hours Log'!$A$4:$A$5000)=0,"",IF(MIN('Hours Log'!$A$4:$A$5000)+7*(ROW()-10)&gt;MAX('Hours Log'!$A$4:$A$5000),"",MIN('Hours Log'!$A$4:$A$5000)+7*(ROW()-10)))</f>
        <v/>
      </c>
    </row>
    <row r="222">
      <c r="A222">
        <f>IF($J222="","",YEAR($J222-WEEKDAY($J222,2)+4)&amp;"-W"&amp;TEXT(WEEKNUM($J222,21),"00"))</f>
        <v/>
      </c>
      <c r="B222" s="41">
        <f>IF($J222="","",COUNTIFS(Roster!$D$4:$D$500,"Active",Roster!$C$4:$C$500,"&lt;="&amp;$J222))</f>
        <v/>
      </c>
      <c r="C222">
        <f>IF($J222="","",SUMIFS('Hours Log'!$C:$C,'Hours Log'!$A:$A,"&gt;="&amp;$J222,'Hours Log'!$A:$A,"&lt;"&amp;$J222+7)+SUMIFS('Hours Log'!$D:$D,'Hours Log'!$A:$A,"&gt;="&amp;$J222,'Hours Log'!$A:$A,"&lt;"&amp;$J222+7))</f>
        <v/>
      </c>
      <c r="D222">
        <f>IF($J222="","",SUMIFS('Hours Log'!$D:$D,'Hours Log'!$A:$A,"&gt;="&amp;$J222,'Hours Log'!$A:$A,"&lt;"&amp;$J222+7))</f>
        <v/>
      </c>
      <c r="E222">
        <f>IF($J222="","",IFERROR(C222/(B222*40),0))</f>
        <v/>
      </c>
      <c r="F222">
        <f>IF($J222="","",0)</f>
        <v/>
      </c>
      <c r="G222">
        <f>IF($J222="","",SUMIFS('Hours Log'!$E:$E,'Hours Log'!$A:$A,"&gt;="&amp;$J222,'Hours Log'!$A:$A,"&lt;"&amp;$J222+7))</f>
        <v/>
      </c>
      <c r="J222">
        <f>IF(COUNT('Hours Log'!$A$4:$A$5000)=0,"",IF(MIN('Hours Log'!$A$4:$A$5000)+7*(ROW()-10)&gt;MAX('Hours Log'!$A$4:$A$5000),"",MIN('Hours Log'!$A$4:$A$5000)+7*(ROW()-10)))</f>
        <v/>
      </c>
    </row>
    <row r="223">
      <c r="A223">
        <f>IF($J223="","",YEAR($J223-WEEKDAY($J223,2)+4)&amp;"-W"&amp;TEXT(WEEKNUM($J223,21),"00"))</f>
        <v/>
      </c>
      <c r="B223" s="41">
        <f>IF($J223="","",COUNTIFS(Roster!$D$4:$D$500,"Active",Roster!$C$4:$C$500,"&lt;="&amp;$J223))</f>
        <v/>
      </c>
      <c r="C223">
        <f>IF($J223="","",SUMIFS('Hours Log'!$C:$C,'Hours Log'!$A:$A,"&gt;="&amp;$J223,'Hours Log'!$A:$A,"&lt;"&amp;$J223+7)+SUMIFS('Hours Log'!$D:$D,'Hours Log'!$A:$A,"&gt;="&amp;$J223,'Hours Log'!$A:$A,"&lt;"&amp;$J223+7))</f>
        <v/>
      </c>
      <c r="D223">
        <f>IF($J223="","",SUMIFS('Hours Log'!$D:$D,'Hours Log'!$A:$A,"&gt;="&amp;$J223,'Hours Log'!$A:$A,"&lt;"&amp;$J223+7))</f>
        <v/>
      </c>
      <c r="E223">
        <f>IF($J223="","",IFERROR(C223/(B223*40),0))</f>
        <v/>
      </c>
      <c r="F223">
        <f>IF($J223="","",0)</f>
        <v/>
      </c>
      <c r="G223">
        <f>IF($J223="","",SUMIFS('Hours Log'!$E:$E,'Hours Log'!$A:$A,"&gt;="&amp;$J223,'Hours Log'!$A:$A,"&lt;"&amp;$J223+7))</f>
        <v/>
      </c>
      <c r="J223">
        <f>IF(COUNT('Hours Log'!$A$4:$A$5000)=0,"",IF(MIN('Hours Log'!$A$4:$A$5000)+7*(ROW()-10)&gt;MAX('Hours Log'!$A$4:$A$5000),"",MIN('Hours Log'!$A$4:$A$5000)+7*(ROW()-10)))</f>
        <v/>
      </c>
    </row>
    <row r="224">
      <c r="A224">
        <f>IF($J224="","",YEAR($J224-WEEKDAY($J224,2)+4)&amp;"-W"&amp;TEXT(WEEKNUM($J224,21),"00"))</f>
        <v/>
      </c>
      <c r="B224" s="41">
        <f>IF($J224="","",COUNTIFS(Roster!$D$4:$D$500,"Active",Roster!$C$4:$C$500,"&lt;="&amp;$J224))</f>
        <v/>
      </c>
      <c r="C224">
        <f>IF($J224="","",SUMIFS('Hours Log'!$C:$C,'Hours Log'!$A:$A,"&gt;="&amp;$J224,'Hours Log'!$A:$A,"&lt;"&amp;$J224+7)+SUMIFS('Hours Log'!$D:$D,'Hours Log'!$A:$A,"&gt;="&amp;$J224,'Hours Log'!$A:$A,"&lt;"&amp;$J224+7))</f>
        <v/>
      </c>
      <c r="D224">
        <f>IF($J224="","",SUMIFS('Hours Log'!$D:$D,'Hours Log'!$A:$A,"&gt;="&amp;$J224,'Hours Log'!$A:$A,"&lt;"&amp;$J224+7))</f>
        <v/>
      </c>
      <c r="E224">
        <f>IF($J224="","",IFERROR(C224/(B224*40),0))</f>
        <v/>
      </c>
      <c r="F224">
        <f>IF($J224="","",0)</f>
        <v/>
      </c>
      <c r="G224">
        <f>IF($J224="","",SUMIFS('Hours Log'!$E:$E,'Hours Log'!$A:$A,"&gt;="&amp;$J224,'Hours Log'!$A:$A,"&lt;"&amp;$J224+7))</f>
        <v/>
      </c>
      <c r="J224">
        <f>IF(COUNT('Hours Log'!$A$4:$A$5000)=0,"",IF(MIN('Hours Log'!$A$4:$A$5000)+7*(ROW()-10)&gt;MAX('Hours Log'!$A$4:$A$5000),"",MIN('Hours Log'!$A$4:$A$5000)+7*(ROW()-10)))</f>
        <v/>
      </c>
    </row>
    <row r="225">
      <c r="A225">
        <f>IF($J225="","",YEAR($J225-WEEKDAY($J225,2)+4)&amp;"-W"&amp;TEXT(WEEKNUM($J225,21),"00"))</f>
        <v/>
      </c>
      <c r="B225" s="41">
        <f>IF($J225="","",COUNTIFS(Roster!$D$4:$D$500,"Active",Roster!$C$4:$C$500,"&lt;="&amp;$J225))</f>
        <v/>
      </c>
      <c r="C225">
        <f>IF($J225="","",SUMIFS('Hours Log'!$C:$C,'Hours Log'!$A:$A,"&gt;="&amp;$J225,'Hours Log'!$A:$A,"&lt;"&amp;$J225+7)+SUMIFS('Hours Log'!$D:$D,'Hours Log'!$A:$A,"&gt;="&amp;$J225,'Hours Log'!$A:$A,"&lt;"&amp;$J225+7))</f>
        <v/>
      </c>
      <c r="D225">
        <f>IF($J225="","",SUMIFS('Hours Log'!$D:$D,'Hours Log'!$A:$A,"&gt;="&amp;$J225,'Hours Log'!$A:$A,"&lt;"&amp;$J225+7))</f>
        <v/>
      </c>
      <c r="E225">
        <f>IF($J225="","",IFERROR(C225/(B225*40),0))</f>
        <v/>
      </c>
      <c r="F225">
        <f>IF($J225="","",0)</f>
        <v/>
      </c>
      <c r="G225">
        <f>IF($J225="","",SUMIFS('Hours Log'!$E:$E,'Hours Log'!$A:$A,"&gt;="&amp;$J225,'Hours Log'!$A:$A,"&lt;"&amp;$J225+7))</f>
        <v/>
      </c>
      <c r="J225">
        <f>IF(COUNT('Hours Log'!$A$4:$A$5000)=0,"",IF(MIN('Hours Log'!$A$4:$A$5000)+7*(ROW()-10)&gt;MAX('Hours Log'!$A$4:$A$5000),"",MIN('Hours Log'!$A$4:$A$5000)+7*(ROW()-10)))</f>
        <v/>
      </c>
    </row>
    <row r="226">
      <c r="A226">
        <f>IF($J226="","",YEAR($J226-WEEKDAY($J226,2)+4)&amp;"-W"&amp;TEXT(WEEKNUM($J226,21),"00"))</f>
        <v/>
      </c>
      <c r="B226" s="41">
        <f>IF($J226="","",COUNTIFS(Roster!$D$4:$D$500,"Active",Roster!$C$4:$C$500,"&lt;="&amp;$J226))</f>
        <v/>
      </c>
      <c r="C226">
        <f>IF($J226="","",SUMIFS('Hours Log'!$C:$C,'Hours Log'!$A:$A,"&gt;="&amp;$J226,'Hours Log'!$A:$A,"&lt;"&amp;$J226+7)+SUMIFS('Hours Log'!$D:$D,'Hours Log'!$A:$A,"&gt;="&amp;$J226,'Hours Log'!$A:$A,"&lt;"&amp;$J226+7))</f>
        <v/>
      </c>
      <c r="D226">
        <f>IF($J226="","",SUMIFS('Hours Log'!$D:$D,'Hours Log'!$A:$A,"&gt;="&amp;$J226,'Hours Log'!$A:$A,"&lt;"&amp;$J226+7))</f>
        <v/>
      </c>
      <c r="E226">
        <f>IF($J226="","",IFERROR(C226/(B226*40),0))</f>
        <v/>
      </c>
      <c r="F226">
        <f>IF($J226="","",0)</f>
        <v/>
      </c>
      <c r="G226">
        <f>IF($J226="","",SUMIFS('Hours Log'!$E:$E,'Hours Log'!$A:$A,"&gt;="&amp;$J226,'Hours Log'!$A:$A,"&lt;"&amp;$J226+7))</f>
        <v/>
      </c>
      <c r="J226">
        <f>IF(COUNT('Hours Log'!$A$4:$A$5000)=0,"",IF(MIN('Hours Log'!$A$4:$A$5000)+7*(ROW()-10)&gt;MAX('Hours Log'!$A$4:$A$5000),"",MIN('Hours Log'!$A$4:$A$5000)+7*(ROW()-10)))</f>
        <v/>
      </c>
    </row>
    <row r="227">
      <c r="A227">
        <f>IF($J227="","",YEAR($J227-WEEKDAY($J227,2)+4)&amp;"-W"&amp;TEXT(WEEKNUM($J227,21),"00"))</f>
        <v/>
      </c>
      <c r="B227" s="41">
        <f>IF($J227="","",COUNTIFS(Roster!$D$4:$D$500,"Active",Roster!$C$4:$C$500,"&lt;="&amp;$J227))</f>
        <v/>
      </c>
      <c r="C227">
        <f>IF($J227="","",SUMIFS('Hours Log'!$C:$C,'Hours Log'!$A:$A,"&gt;="&amp;$J227,'Hours Log'!$A:$A,"&lt;"&amp;$J227+7)+SUMIFS('Hours Log'!$D:$D,'Hours Log'!$A:$A,"&gt;="&amp;$J227,'Hours Log'!$A:$A,"&lt;"&amp;$J227+7))</f>
        <v/>
      </c>
      <c r="D227">
        <f>IF($J227="","",SUMIFS('Hours Log'!$D:$D,'Hours Log'!$A:$A,"&gt;="&amp;$J227,'Hours Log'!$A:$A,"&lt;"&amp;$J227+7))</f>
        <v/>
      </c>
      <c r="E227">
        <f>IF($J227="","",IFERROR(C227/(B227*40),0))</f>
        <v/>
      </c>
      <c r="F227">
        <f>IF($J227="","",0)</f>
        <v/>
      </c>
      <c r="G227">
        <f>IF($J227="","",SUMIFS('Hours Log'!$E:$E,'Hours Log'!$A:$A,"&gt;="&amp;$J227,'Hours Log'!$A:$A,"&lt;"&amp;$J227+7))</f>
        <v/>
      </c>
      <c r="J227">
        <f>IF(COUNT('Hours Log'!$A$4:$A$5000)=0,"",IF(MIN('Hours Log'!$A$4:$A$5000)+7*(ROW()-10)&gt;MAX('Hours Log'!$A$4:$A$5000),"",MIN('Hours Log'!$A$4:$A$5000)+7*(ROW()-10)))</f>
        <v/>
      </c>
    </row>
    <row r="228">
      <c r="A228">
        <f>IF($J228="","",YEAR($J228-WEEKDAY($J228,2)+4)&amp;"-W"&amp;TEXT(WEEKNUM($J228,21),"00"))</f>
        <v/>
      </c>
      <c r="B228" s="41">
        <f>IF($J228="","",COUNTIFS(Roster!$D$4:$D$500,"Active",Roster!$C$4:$C$500,"&lt;="&amp;$J228))</f>
        <v/>
      </c>
      <c r="C228">
        <f>IF($J228="","",SUMIFS('Hours Log'!$C:$C,'Hours Log'!$A:$A,"&gt;="&amp;$J228,'Hours Log'!$A:$A,"&lt;"&amp;$J228+7)+SUMIFS('Hours Log'!$D:$D,'Hours Log'!$A:$A,"&gt;="&amp;$J228,'Hours Log'!$A:$A,"&lt;"&amp;$J228+7))</f>
        <v/>
      </c>
      <c r="D228">
        <f>IF($J228="","",SUMIFS('Hours Log'!$D:$D,'Hours Log'!$A:$A,"&gt;="&amp;$J228,'Hours Log'!$A:$A,"&lt;"&amp;$J228+7))</f>
        <v/>
      </c>
      <c r="E228">
        <f>IF($J228="","",IFERROR(C228/(B228*40),0))</f>
        <v/>
      </c>
      <c r="F228">
        <f>IF($J228="","",0)</f>
        <v/>
      </c>
      <c r="G228">
        <f>IF($J228="","",SUMIFS('Hours Log'!$E:$E,'Hours Log'!$A:$A,"&gt;="&amp;$J228,'Hours Log'!$A:$A,"&lt;"&amp;$J228+7))</f>
        <v/>
      </c>
      <c r="J228">
        <f>IF(COUNT('Hours Log'!$A$4:$A$5000)=0,"",IF(MIN('Hours Log'!$A$4:$A$5000)+7*(ROW()-10)&gt;MAX('Hours Log'!$A$4:$A$5000),"",MIN('Hours Log'!$A$4:$A$5000)+7*(ROW()-10)))</f>
        <v/>
      </c>
    </row>
    <row r="229">
      <c r="A229">
        <f>IF($J229="","",YEAR($J229-WEEKDAY($J229,2)+4)&amp;"-W"&amp;TEXT(WEEKNUM($J229,21),"00"))</f>
        <v/>
      </c>
      <c r="B229" s="41">
        <f>IF($J229="","",COUNTIFS(Roster!$D$4:$D$500,"Active",Roster!$C$4:$C$500,"&lt;="&amp;$J229))</f>
        <v/>
      </c>
      <c r="C229">
        <f>IF($J229="","",SUMIFS('Hours Log'!$C:$C,'Hours Log'!$A:$A,"&gt;="&amp;$J229,'Hours Log'!$A:$A,"&lt;"&amp;$J229+7)+SUMIFS('Hours Log'!$D:$D,'Hours Log'!$A:$A,"&gt;="&amp;$J229,'Hours Log'!$A:$A,"&lt;"&amp;$J229+7))</f>
        <v/>
      </c>
      <c r="D229">
        <f>IF($J229="","",SUMIFS('Hours Log'!$D:$D,'Hours Log'!$A:$A,"&gt;="&amp;$J229,'Hours Log'!$A:$A,"&lt;"&amp;$J229+7))</f>
        <v/>
      </c>
      <c r="E229">
        <f>IF($J229="","",IFERROR(C229/(B229*40),0))</f>
        <v/>
      </c>
      <c r="F229">
        <f>IF($J229="","",0)</f>
        <v/>
      </c>
      <c r="G229">
        <f>IF($J229="","",SUMIFS('Hours Log'!$E:$E,'Hours Log'!$A:$A,"&gt;="&amp;$J229,'Hours Log'!$A:$A,"&lt;"&amp;$J229+7))</f>
        <v/>
      </c>
      <c r="J229">
        <f>IF(COUNT('Hours Log'!$A$4:$A$5000)=0,"",IF(MIN('Hours Log'!$A$4:$A$5000)+7*(ROW()-10)&gt;MAX('Hours Log'!$A$4:$A$5000),"",MIN('Hours Log'!$A$4:$A$5000)+7*(ROW()-10)))</f>
        <v/>
      </c>
    </row>
    <row r="230">
      <c r="A230">
        <f>IF($J230="","",YEAR($J230-WEEKDAY($J230,2)+4)&amp;"-W"&amp;TEXT(WEEKNUM($J230,21),"00"))</f>
        <v/>
      </c>
      <c r="B230" s="41">
        <f>IF($J230="","",COUNTIFS(Roster!$D$4:$D$500,"Active",Roster!$C$4:$C$500,"&lt;="&amp;$J230))</f>
        <v/>
      </c>
      <c r="C230">
        <f>IF($J230="","",SUMIFS('Hours Log'!$C:$C,'Hours Log'!$A:$A,"&gt;="&amp;$J230,'Hours Log'!$A:$A,"&lt;"&amp;$J230+7)+SUMIFS('Hours Log'!$D:$D,'Hours Log'!$A:$A,"&gt;="&amp;$J230,'Hours Log'!$A:$A,"&lt;"&amp;$J230+7))</f>
        <v/>
      </c>
      <c r="D230">
        <f>IF($J230="","",SUMIFS('Hours Log'!$D:$D,'Hours Log'!$A:$A,"&gt;="&amp;$J230,'Hours Log'!$A:$A,"&lt;"&amp;$J230+7))</f>
        <v/>
      </c>
      <c r="E230">
        <f>IF($J230="","",IFERROR(C230/(B230*40),0))</f>
        <v/>
      </c>
      <c r="F230">
        <f>IF($J230="","",0)</f>
        <v/>
      </c>
      <c r="G230">
        <f>IF($J230="","",SUMIFS('Hours Log'!$E:$E,'Hours Log'!$A:$A,"&gt;="&amp;$J230,'Hours Log'!$A:$A,"&lt;"&amp;$J230+7))</f>
        <v/>
      </c>
      <c r="J230">
        <f>IF(COUNT('Hours Log'!$A$4:$A$5000)=0,"",IF(MIN('Hours Log'!$A$4:$A$5000)+7*(ROW()-10)&gt;MAX('Hours Log'!$A$4:$A$5000),"",MIN('Hours Log'!$A$4:$A$5000)+7*(ROW()-10)))</f>
        <v/>
      </c>
    </row>
    <row r="231">
      <c r="A231">
        <f>IF($J231="","",YEAR($J231-WEEKDAY($J231,2)+4)&amp;"-W"&amp;TEXT(WEEKNUM($J231,21),"00"))</f>
        <v/>
      </c>
      <c r="B231" s="41">
        <f>IF($J231="","",COUNTIFS(Roster!$D$4:$D$500,"Active",Roster!$C$4:$C$500,"&lt;="&amp;$J231))</f>
        <v/>
      </c>
      <c r="C231">
        <f>IF($J231="","",SUMIFS('Hours Log'!$C:$C,'Hours Log'!$A:$A,"&gt;="&amp;$J231,'Hours Log'!$A:$A,"&lt;"&amp;$J231+7)+SUMIFS('Hours Log'!$D:$D,'Hours Log'!$A:$A,"&gt;="&amp;$J231,'Hours Log'!$A:$A,"&lt;"&amp;$J231+7))</f>
        <v/>
      </c>
      <c r="D231">
        <f>IF($J231="","",SUMIFS('Hours Log'!$D:$D,'Hours Log'!$A:$A,"&gt;="&amp;$J231,'Hours Log'!$A:$A,"&lt;"&amp;$J231+7))</f>
        <v/>
      </c>
      <c r="E231">
        <f>IF($J231="","",IFERROR(C231/(B231*40),0))</f>
        <v/>
      </c>
      <c r="F231">
        <f>IF($J231="","",0)</f>
        <v/>
      </c>
      <c r="G231">
        <f>IF($J231="","",SUMIFS('Hours Log'!$E:$E,'Hours Log'!$A:$A,"&gt;="&amp;$J231,'Hours Log'!$A:$A,"&lt;"&amp;$J231+7))</f>
        <v/>
      </c>
      <c r="J231">
        <f>IF(COUNT('Hours Log'!$A$4:$A$5000)=0,"",IF(MIN('Hours Log'!$A$4:$A$5000)+7*(ROW()-10)&gt;MAX('Hours Log'!$A$4:$A$5000),"",MIN('Hours Log'!$A$4:$A$5000)+7*(ROW()-10)))</f>
        <v/>
      </c>
    </row>
    <row r="232">
      <c r="A232">
        <f>IF($J232="","",YEAR($J232-WEEKDAY($J232,2)+4)&amp;"-W"&amp;TEXT(WEEKNUM($J232,21),"00"))</f>
        <v/>
      </c>
      <c r="B232" s="41">
        <f>IF($J232="","",COUNTIFS(Roster!$D$4:$D$500,"Active",Roster!$C$4:$C$500,"&lt;="&amp;$J232))</f>
        <v/>
      </c>
      <c r="C232">
        <f>IF($J232="","",SUMIFS('Hours Log'!$C:$C,'Hours Log'!$A:$A,"&gt;="&amp;$J232,'Hours Log'!$A:$A,"&lt;"&amp;$J232+7)+SUMIFS('Hours Log'!$D:$D,'Hours Log'!$A:$A,"&gt;="&amp;$J232,'Hours Log'!$A:$A,"&lt;"&amp;$J232+7))</f>
        <v/>
      </c>
      <c r="D232">
        <f>IF($J232="","",SUMIFS('Hours Log'!$D:$D,'Hours Log'!$A:$A,"&gt;="&amp;$J232,'Hours Log'!$A:$A,"&lt;"&amp;$J232+7))</f>
        <v/>
      </c>
      <c r="E232">
        <f>IF($J232="","",IFERROR(C232/(B232*40),0))</f>
        <v/>
      </c>
      <c r="F232">
        <f>IF($J232="","",0)</f>
        <v/>
      </c>
      <c r="G232">
        <f>IF($J232="","",SUMIFS('Hours Log'!$E:$E,'Hours Log'!$A:$A,"&gt;="&amp;$J232,'Hours Log'!$A:$A,"&lt;"&amp;$J232+7))</f>
        <v/>
      </c>
      <c r="J232">
        <f>IF(COUNT('Hours Log'!$A$4:$A$5000)=0,"",IF(MIN('Hours Log'!$A$4:$A$5000)+7*(ROW()-10)&gt;MAX('Hours Log'!$A$4:$A$5000),"",MIN('Hours Log'!$A$4:$A$5000)+7*(ROW()-10)))</f>
        <v/>
      </c>
    </row>
    <row r="233">
      <c r="A233">
        <f>IF($J233="","",YEAR($J233-WEEKDAY($J233,2)+4)&amp;"-W"&amp;TEXT(WEEKNUM($J233,21),"00"))</f>
        <v/>
      </c>
      <c r="B233" s="41">
        <f>IF($J233="","",COUNTIFS(Roster!$D$4:$D$500,"Active",Roster!$C$4:$C$500,"&lt;="&amp;$J233))</f>
        <v/>
      </c>
      <c r="C233">
        <f>IF($J233="","",SUMIFS('Hours Log'!$C:$C,'Hours Log'!$A:$A,"&gt;="&amp;$J233,'Hours Log'!$A:$A,"&lt;"&amp;$J233+7)+SUMIFS('Hours Log'!$D:$D,'Hours Log'!$A:$A,"&gt;="&amp;$J233,'Hours Log'!$A:$A,"&lt;"&amp;$J233+7))</f>
        <v/>
      </c>
      <c r="D233">
        <f>IF($J233="","",SUMIFS('Hours Log'!$D:$D,'Hours Log'!$A:$A,"&gt;="&amp;$J233,'Hours Log'!$A:$A,"&lt;"&amp;$J233+7))</f>
        <v/>
      </c>
      <c r="E233">
        <f>IF($J233="","",IFERROR(C233/(B233*40),0))</f>
        <v/>
      </c>
      <c r="F233">
        <f>IF($J233="","",0)</f>
        <v/>
      </c>
      <c r="G233">
        <f>IF($J233="","",SUMIFS('Hours Log'!$E:$E,'Hours Log'!$A:$A,"&gt;="&amp;$J233,'Hours Log'!$A:$A,"&lt;"&amp;$J233+7))</f>
        <v/>
      </c>
      <c r="J233">
        <f>IF(COUNT('Hours Log'!$A$4:$A$5000)=0,"",IF(MIN('Hours Log'!$A$4:$A$5000)+7*(ROW()-10)&gt;MAX('Hours Log'!$A$4:$A$5000),"",MIN('Hours Log'!$A$4:$A$5000)+7*(ROW()-10)))</f>
        <v/>
      </c>
    </row>
    <row r="234">
      <c r="A234">
        <f>IF($J234="","",YEAR($J234-WEEKDAY($J234,2)+4)&amp;"-W"&amp;TEXT(WEEKNUM($J234,21),"00"))</f>
        <v/>
      </c>
      <c r="B234" s="41">
        <f>IF($J234="","",COUNTIFS(Roster!$D$4:$D$500,"Active",Roster!$C$4:$C$500,"&lt;="&amp;$J234))</f>
        <v/>
      </c>
      <c r="C234">
        <f>IF($J234="","",SUMIFS('Hours Log'!$C:$C,'Hours Log'!$A:$A,"&gt;="&amp;$J234,'Hours Log'!$A:$A,"&lt;"&amp;$J234+7)+SUMIFS('Hours Log'!$D:$D,'Hours Log'!$A:$A,"&gt;="&amp;$J234,'Hours Log'!$A:$A,"&lt;"&amp;$J234+7))</f>
        <v/>
      </c>
      <c r="D234">
        <f>IF($J234="","",SUMIFS('Hours Log'!$D:$D,'Hours Log'!$A:$A,"&gt;="&amp;$J234,'Hours Log'!$A:$A,"&lt;"&amp;$J234+7))</f>
        <v/>
      </c>
      <c r="E234">
        <f>IF($J234="","",IFERROR(C234/(B234*40),0))</f>
        <v/>
      </c>
      <c r="F234">
        <f>IF($J234="","",0)</f>
        <v/>
      </c>
      <c r="G234">
        <f>IF($J234="","",SUMIFS('Hours Log'!$E:$E,'Hours Log'!$A:$A,"&gt;="&amp;$J234,'Hours Log'!$A:$A,"&lt;"&amp;$J234+7))</f>
        <v/>
      </c>
      <c r="J234">
        <f>IF(COUNT('Hours Log'!$A$4:$A$5000)=0,"",IF(MIN('Hours Log'!$A$4:$A$5000)+7*(ROW()-10)&gt;MAX('Hours Log'!$A$4:$A$5000),"",MIN('Hours Log'!$A$4:$A$5000)+7*(ROW()-10)))</f>
        <v/>
      </c>
    </row>
    <row r="235">
      <c r="A235">
        <f>IF($J235="","",YEAR($J235-WEEKDAY($J235,2)+4)&amp;"-W"&amp;TEXT(WEEKNUM($J235,21),"00"))</f>
        <v/>
      </c>
      <c r="B235" s="41">
        <f>IF($J235="","",COUNTIFS(Roster!$D$4:$D$500,"Active",Roster!$C$4:$C$500,"&lt;="&amp;$J235))</f>
        <v/>
      </c>
      <c r="C235">
        <f>IF($J235="","",SUMIFS('Hours Log'!$C:$C,'Hours Log'!$A:$A,"&gt;="&amp;$J235,'Hours Log'!$A:$A,"&lt;"&amp;$J235+7)+SUMIFS('Hours Log'!$D:$D,'Hours Log'!$A:$A,"&gt;="&amp;$J235,'Hours Log'!$A:$A,"&lt;"&amp;$J235+7))</f>
        <v/>
      </c>
      <c r="D235">
        <f>IF($J235="","",SUMIFS('Hours Log'!$D:$D,'Hours Log'!$A:$A,"&gt;="&amp;$J235,'Hours Log'!$A:$A,"&lt;"&amp;$J235+7))</f>
        <v/>
      </c>
      <c r="E235">
        <f>IF($J235="","",IFERROR(C235/(B235*40),0))</f>
        <v/>
      </c>
      <c r="F235">
        <f>IF($J235="","",0)</f>
        <v/>
      </c>
      <c r="G235">
        <f>IF($J235="","",SUMIFS('Hours Log'!$E:$E,'Hours Log'!$A:$A,"&gt;="&amp;$J235,'Hours Log'!$A:$A,"&lt;"&amp;$J235+7))</f>
        <v/>
      </c>
      <c r="J235">
        <f>IF(COUNT('Hours Log'!$A$4:$A$5000)=0,"",IF(MIN('Hours Log'!$A$4:$A$5000)+7*(ROW()-10)&gt;MAX('Hours Log'!$A$4:$A$5000),"",MIN('Hours Log'!$A$4:$A$5000)+7*(ROW()-10)))</f>
        <v/>
      </c>
    </row>
    <row r="236">
      <c r="A236">
        <f>IF($J236="","",YEAR($J236-WEEKDAY($J236,2)+4)&amp;"-W"&amp;TEXT(WEEKNUM($J236,21),"00"))</f>
        <v/>
      </c>
      <c r="B236" s="41">
        <f>IF($J236="","",COUNTIFS(Roster!$D$4:$D$500,"Active",Roster!$C$4:$C$500,"&lt;="&amp;$J236))</f>
        <v/>
      </c>
      <c r="C236">
        <f>IF($J236="","",SUMIFS('Hours Log'!$C:$C,'Hours Log'!$A:$A,"&gt;="&amp;$J236,'Hours Log'!$A:$A,"&lt;"&amp;$J236+7)+SUMIFS('Hours Log'!$D:$D,'Hours Log'!$A:$A,"&gt;="&amp;$J236,'Hours Log'!$A:$A,"&lt;"&amp;$J236+7))</f>
        <v/>
      </c>
      <c r="D236">
        <f>IF($J236="","",SUMIFS('Hours Log'!$D:$D,'Hours Log'!$A:$A,"&gt;="&amp;$J236,'Hours Log'!$A:$A,"&lt;"&amp;$J236+7))</f>
        <v/>
      </c>
      <c r="E236">
        <f>IF($J236="","",IFERROR(C236/(B236*40),0))</f>
        <v/>
      </c>
      <c r="F236">
        <f>IF($J236="","",0)</f>
        <v/>
      </c>
      <c r="G236">
        <f>IF($J236="","",SUMIFS('Hours Log'!$E:$E,'Hours Log'!$A:$A,"&gt;="&amp;$J236,'Hours Log'!$A:$A,"&lt;"&amp;$J236+7))</f>
        <v/>
      </c>
      <c r="J236">
        <f>IF(COUNT('Hours Log'!$A$4:$A$5000)=0,"",IF(MIN('Hours Log'!$A$4:$A$5000)+7*(ROW()-10)&gt;MAX('Hours Log'!$A$4:$A$5000),"",MIN('Hours Log'!$A$4:$A$5000)+7*(ROW()-10)))</f>
        <v/>
      </c>
    </row>
    <row r="237">
      <c r="A237">
        <f>IF($J237="","",YEAR($J237-WEEKDAY($J237,2)+4)&amp;"-W"&amp;TEXT(WEEKNUM($J237,21),"00"))</f>
        <v/>
      </c>
      <c r="B237" s="41">
        <f>IF($J237="","",COUNTIFS(Roster!$D$4:$D$500,"Active",Roster!$C$4:$C$500,"&lt;="&amp;$J237))</f>
        <v/>
      </c>
      <c r="C237">
        <f>IF($J237="","",SUMIFS('Hours Log'!$C:$C,'Hours Log'!$A:$A,"&gt;="&amp;$J237,'Hours Log'!$A:$A,"&lt;"&amp;$J237+7)+SUMIFS('Hours Log'!$D:$D,'Hours Log'!$A:$A,"&gt;="&amp;$J237,'Hours Log'!$A:$A,"&lt;"&amp;$J237+7))</f>
        <v/>
      </c>
      <c r="D237">
        <f>IF($J237="","",SUMIFS('Hours Log'!$D:$D,'Hours Log'!$A:$A,"&gt;="&amp;$J237,'Hours Log'!$A:$A,"&lt;"&amp;$J237+7))</f>
        <v/>
      </c>
      <c r="E237">
        <f>IF($J237="","",IFERROR(C237/(B237*40),0))</f>
        <v/>
      </c>
      <c r="F237">
        <f>IF($J237="","",0)</f>
        <v/>
      </c>
      <c r="G237">
        <f>IF($J237="","",SUMIFS('Hours Log'!$E:$E,'Hours Log'!$A:$A,"&gt;="&amp;$J237,'Hours Log'!$A:$A,"&lt;"&amp;$J237+7))</f>
        <v/>
      </c>
      <c r="J237">
        <f>IF(COUNT('Hours Log'!$A$4:$A$5000)=0,"",IF(MIN('Hours Log'!$A$4:$A$5000)+7*(ROW()-10)&gt;MAX('Hours Log'!$A$4:$A$5000),"",MIN('Hours Log'!$A$4:$A$5000)+7*(ROW()-10)))</f>
        <v/>
      </c>
    </row>
    <row r="238">
      <c r="A238">
        <f>IF($J238="","",YEAR($J238-WEEKDAY($J238,2)+4)&amp;"-W"&amp;TEXT(WEEKNUM($J238,21),"00"))</f>
        <v/>
      </c>
      <c r="B238" s="41">
        <f>IF($J238="","",COUNTIFS(Roster!$D$4:$D$500,"Active",Roster!$C$4:$C$500,"&lt;="&amp;$J238))</f>
        <v/>
      </c>
      <c r="C238">
        <f>IF($J238="","",SUMIFS('Hours Log'!$C:$C,'Hours Log'!$A:$A,"&gt;="&amp;$J238,'Hours Log'!$A:$A,"&lt;"&amp;$J238+7)+SUMIFS('Hours Log'!$D:$D,'Hours Log'!$A:$A,"&gt;="&amp;$J238,'Hours Log'!$A:$A,"&lt;"&amp;$J238+7))</f>
        <v/>
      </c>
      <c r="D238">
        <f>IF($J238="","",SUMIFS('Hours Log'!$D:$D,'Hours Log'!$A:$A,"&gt;="&amp;$J238,'Hours Log'!$A:$A,"&lt;"&amp;$J238+7))</f>
        <v/>
      </c>
      <c r="E238">
        <f>IF($J238="","",IFERROR(C238/(B238*40),0))</f>
        <v/>
      </c>
      <c r="F238">
        <f>IF($J238="","",0)</f>
        <v/>
      </c>
      <c r="G238">
        <f>IF($J238="","",SUMIFS('Hours Log'!$E:$E,'Hours Log'!$A:$A,"&gt;="&amp;$J238,'Hours Log'!$A:$A,"&lt;"&amp;$J238+7))</f>
        <v/>
      </c>
      <c r="J238">
        <f>IF(COUNT('Hours Log'!$A$4:$A$5000)=0,"",IF(MIN('Hours Log'!$A$4:$A$5000)+7*(ROW()-10)&gt;MAX('Hours Log'!$A$4:$A$5000),"",MIN('Hours Log'!$A$4:$A$5000)+7*(ROW()-10)))</f>
        <v/>
      </c>
    </row>
    <row r="239">
      <c r="A239">
        <f>IF($J239="","",YEAR($J239-WEEKDAY($J239,2)+4)&amp;"-W"&amp;TEXT(WEEKNUM($J239,21),"00"))</f>
        <v/>
      </c>
      <c r="B239" s="41">
        <f>IF($J239="","",COUNTIFS(Roster!$D$4:$D$500,"Active",Roster!$C$4:$C$500,"&lt;="&amp;$J239))</f>
        <v/>
      </c>
      <c r="C239">
        <f>IF($J239="","",SUMIFS('Hours Log'!$C:$C,'Hours Log'!$A:$A,"&gt;="&amp;$J239,'Hours Log'!$A:$A,"&lt;"&amp;$J239+7)+SUMIFS('Hours Log'!$D:$D,'Hours Log'!$A:$A,"&gt;="&amp;$J239,'Hours Log'!$A:$A,"&lt;"&amp;$J239+7))</f>
        <v/>
      </c>
      <c r="D239">
        <f>IF($J239="","",SUMIFS('Hours Log'!$D:$D,'Hours Log'!$A:$A,"&gt;="&amp;$J239,'Hours Log'!$A:$A,"&lt;"&amp;$J239+7))</f>
        <v/>
      </c>
      <c r="E239">
        <f>IF($J239="","",IFERROR(C239/(B239*40),0))</f>
        <v/>
      </c>
      <c r="F239">
        <f>IF($J239="","",0)</f>
        <v/>
      </c>
      <c r="G239">
        <f>IF($J239="","",SUMIFS('Hours Log'!$E:$E,'Hours Log'!$A:$A,"&gt;="&amp;$J239,'Hours Log'!$A:$A,"&lt;"&amp;$J239+7))</f>
        <v/>
      </c>
      <c r="J239">
        <f>IF(COUNT('Hours Log'!$A$4:$A$5000)=0,"",IF(MIN('Hours Log'!$A$4:$A$5000)+7*(ROW()-10)&gt;MAX('Hours Log'!$A$4:$A$5000),"",MIN('Hours Log'!$A$4:$A$5000)+7*(ROW()-10)))</f>
        <v/>
      </c>
    </row>
    <row r="240">
      <c r="A240">
        <f>IF($J240="","",YEAR($J240-WEEKDAY($J240,2)+4)&amp;"-W"&amp;TEXT(WEEKNUM($J240,21),"00"))</f>
        <v/>
      </c>
      <c r="B240" s="41">
        <f>IF($J240="","",COUNTIFS(Roster!$D$4:$D$500,"Active",Roster!$C$4:$C$500,"&lt;="&amp;$J240))</f>
        <v/>
      </c>
      <c r="C240">
        <f>IF($J240="","",SUMIFS('Hours Log'!$C:$C,'Hours Log'!$A:$A,"&gt;="&amp;$J240,'Hours Log'!$A:$A,"&lt;"&amp;$J240+7)+SUMIFS('Hours Log'!$D:$D,'Hours Log'!$A:$A,"&gt;="&amp;$J240,'Hours Log'!$A:$A,"&lt;"&amp;$J240+7))</f>
        <v/>
      </c>
      <c r="D240">
        <f>IF($J240="","",SUMIFS('Hours Log'!$D:$D,'Hours Log'!$A:$A,"&gt;="&amp;$J240,'Hours Log'!$A:$A,"&lt;"&amp;$J240+7))</f>
        <v/>
      </c>
      <c r="E240">
        <f>IF($J240="","",IFERROR(C240/(B240*40),0))</f>
        <v/>
      </c>
      <c r="F240">
        <f>IF($J240="","",0)</f>
        <v/>
      </c>
      <c r="G240">
        <f>IF($J240="","",SUMIFS('Hours Log'!$E:$E,'Hours Log'!$A:$A,"&gt;="&amp;$J240,'Hours Log'!$A:$A,"&lt;"&amp;$J240+7))</f>
        <v/>
      </c>
      <c r="J240">
        <f>IF(COUNT('Hours Log'!$A$4:$A$5000)=0,"",IF(MIN('Hours Log'!$A$4:$A$5000)+7*(ROW()-10)&gt;MAX('Hours Log'!$A$4:$A$5000),"",MIN('Hours Log'!$A$4:$A$5000)+7*(ROW()-10)))</f>
        <v/>
      </c>
    </row>
    <row r="241">
      <c r="A241">
        <f>IF($J241="","",YEAR($J241-WEEKDAY($J241,2)+4)&amp;"-W"&amp;TEXT(WEEKNUM($J241,21),"00"))</f>
        <v/>
      </c>
      <c r="B241" s="41">
        <f>IF($J241="","",COUNTIFS(Roster!$D$4:$D$500,"Active",Roster!$C$4:$C$500,"&lt;="&amp;$J241))</f>
        <v/>
      </c>
      <c r="C241">
        <f>IF($J241="","",SUMIFS('Hours Log'!$C:$C,'Hours Log'!$A:$A,"&gt;="&amp;$J241,'Hours Log'!$A:$A,"&lt;"&amp;$J241+7)+SUMIFS('Hours Log'!$D:$D,'Hours Log'!$A:$A,"&gt;="&amp;$J241,'Hours Log'!$A:$A,"&lt;"&amp;$J241+7))</f>
        <v/>
      </c>
      <c r="D241">
        <f>IF($J241="","",SUMIFS('Hours Log'!$D:$D,'Hours Log'!$A:$A,"&gt;="&amp;$J241,'Hours Log'!$A:$A,"&lt;"&amp;$J241+7))</f>
        <v/>
      </c>
      <c r="E241">
        <f>IF($J241="","",IFERROR(C241/(B241*40),0))</f>
        <v/>
      </c>
      <c r="F241">
        <f>IF($J241="","",0)</f>
        <v/>
      </c>
      <c r="G241">
        <f>IF($J241="","",SUMIFS('Hours Log'!$E:$E,'Hours Log'!$A:$A,"&gt;="&amp;$J241,'Hours Log'!$A:$A,"&lt;"&amp;$J241+7))</f>
        <v/>
      </c>
      <c r="J241">
        <f>IF(COUNT('Hours Log'!$A$4:$A$5000)=0,"",IF(MIN('Hours Log'!$A$4:$A$5000)+7*(ROW()-10)&gt;MAX('Hours Log'!$A$4:$A$5000),"",MIN('Hours Log'!$A$4:$A$5000)+7*(ROW()-10)))</f>
        <v/>
      </c>
    </row>
    <row r="242">
      <c r="A242">
        <f>IF($J242="","",YEAR($J242-WEEKDAY($J242,2)+4)&amp;"-W"&amp;TEXT(WEEKNUM($J242,21),"00"))</f>
        <v/>
      </c>
      <c r="B242" s="41">
        <f>IF($J242="","",COUNTIFS(Roster!$D$4:$D$500,"Active",Roster!$C$4:$C$500,"&lt;="&amp;$J242))</f>
        <v/>
      </c>
      <c r="C242">
        <f>IF($J242="","",SUMIFS('Hours Log'!$C:$C,'Hours Log'!$A:$A,"&gt;="&amp;$J242,'Hours Log'!$A:$A,"&lt;"&amp;$J242+7)+SUMIFS('Hours Log'!$D:$D,'Hours Log'!$A:$A,"&gt;="&amp;$J242,'Hours Log'!$A:$A,"&lt;"&amp;$J242+7))</f>
        <v/>
      </c>
      <c r="D242">
        <f>IF($J242="","",SUMIFS('Hours Log'!$D:$D,'Hours Log'!$A:$A,"&gt;="&amp;$J242,'Hours Log'!$A:$A,"&lt;"&amp;$J242+7))</f>
        <v/>
      </c>
      <c r="E242">
        <f>IF($J242="","",IFERROR(C242/(B242*40),0))</f>
        <v/>
      </c>
      <c r="F242">
        <f>IF($J242="","",0)</f>
        <v/>
      </c>
      <c r="G242">
        <f>IF($J242="","",SUMIFS('Hours Log'!$E:$E,'Hours Log'!$A:$A,"&gt;="&amp;$J242,'Hours Log'!$A:$A,"&lt;"&amp;$J242+7))</f>
        <v/>
      </c>
      <c r="J242">
        <f>IF(COUNT('Hours Log'!$A$4:$A$5000)=0,"",IF(MIN('Hours Log'!$A$4:$A$5000)+7*(ROW()-10)&gt;MAX('Hours Log'!$A$4:$A$5000),"",MIN('Hours Log'!$A$4:$A$5000)+7*(ROW()-10)))</f>
        <v/>
      </c>
    </row>
    <row r="243">
      <c r="A243">
        <f>IF($J243="","",YEAR($J243-WEEKDAY($J243,2)+4)&amp;"-W"&amp;TEXT(WEEKNUM($J243,21),"00"))</f>
        <v/>
      </c>
      <c r="B243" s="41">
        <f>IF($J243="","",COUNTIFS(Roster!$D$4:$D$500,"Active",Roster!$C$4:$C$500,"&lt;="&amp;$J243))</f>
        <v/>
      </c>
      <c r="C243">
        <f>IF($J243="","",SUMIFS('Hours Log'!$C:$C,'Hours Log'!$A:$A,"&gt;="&amp;$J243,'Hours Log'!$A:$A,"&lt;"&amp;$J243+7)+SUMIFS('Hours Log'!$D:$D,'Hours Log'!$A:$A,"&gt;="&amp;$J243,'Hours Log'!$A:$A,"&lt;"&amp;$J243+7))</f>
        <v/>
      </c>
      <c r="D243">
        <f>IF($J243="","",SUMIFS('Hours Log'!$D:$D,'Hours Log'!$A:$A,"&gt;="&amp;$J243,'Hours Log'!$A:$A,"&lt;"&amp;$J243+7))</f>
        <v/>
      </c>
      <c r="E243">
        <f>IF($J243="","",IFERROR(C243/(B243*40),0))</f>
        <v/>
      </c>
      <c r="F243">
        <f>IF($J243="","",0)</f>
        <v/>
      </c>
      <c r="G243">
        <f>IF($J243="","",SUMIFS('Hours Log'!$E:$E,'Hours Log'!$A:$A,"&gt;="&amp;$J243,'Hours Log'!$A:$A,"&lt;"&amp;$J243+7))</f>
        <v/>
      </c>
      <c r="J243">
        <f>IF(COUNT('Hours Log'!$A$4:$A$5000)=0,"",IF(MIN('Hours Log'!$A$4:$A$5000)+7*(ROW()-10)&gt;MAX('Hours Log'!$A$4:$A$5000),"",MIN('Hours Log'!$A$4:$A$5000)+7*(ROW()-10)))</f>
        <v/>
      </c>
    </row>
    <row r="244">
      <c r="A244">
        <f>IF($J244="","",YEAR($J244-WEEKDAY($J244,2)+4)&amp;"-W"&amp;TEXT(WEEKNUM($J244,21),"00"))</f>
        <v/>
      </c>
      <c r="B244" s="41">
        <f>IF($J244="","",COUNTIFS(Roster!$D$4:$D$500,"Active",Roster!$C$4:$C$500,"&lt;="&amp;$J244))</f>
        <v/>
      </c>
      <c r="C244">
        <f>IF($J244="","",SUMIFS('Hours Log'!$C:$C,'Hours Log'!$A:$A,"&gt;="&amp;$J244,'Hours Log'!$A:$A,"&lt;"&amp;$J244+7)+SUMIFS('Hours Log'!$D:$D,'Hours Log'!$A:$A,"&gt;="&amp;$J244,'Hours Log'!$A:$A,"&lt;"&amp;$J244+7))</f>
        <v/>
      </c>
      <c r="D244">
        <f>IF($J244="","",SUMIFS('Hours Log'!$D:$D,'Hours Log'!$A:$A,"&gt;="&amp;$J244,'Hours Log'!$A:$A,"&lt;"&amp;$J244+7))</f>
        <v/>
      </c>
      <c r="E244">
        <f>IF($J244="","",IFERROR(C244/(B244*40),0))</f>
        <v/>
      </c>
      <c r="F244">
        <f>IF($J244="","",0)</f>
        <v/>
      </c>
      <c r="G244">
        <f>IF($J244="","",SUMIFS('Hours Log'!$E:$E,'Hours Log'!$A:$A,"&gt;="&amp;$J244,'Hours Log'!$A:$A,"&lt;"&amp;$J244+7))</f>
        <v/>
      </c>
      <c r="J244">
        <f>IF(COUNT('Hours Log'!$A$4:$A$5000)=0,"",IF(MIN('Hours Log'!$A$4:$A$5000)+7*(ROW()-10)&gt;MAX('Hours Log'!$A$4:$A$5000),"",MIN('Hours Log'!$A$4:$A$5000)+7*(ROW()-10)))</f>
        <v/>
      </c>
    </row>
    <row r="245">
      <c r="A245">
        <f>IF($J245="","",YEAR($J245-WEEKDAY($J245,2)+4)&amp;"-W"&amp;TEXT(WEEKNUM($J245,21),"00"))</f>
        <v/>
      </c>
      <c r="B245" s="41">
        <f>IF($J245="","",COUNTIFS(Roster!$D$4:$D$500,"Active",Roster!$C$4:$C$500,"&lt;="&amp;$J245))</f>
        <v/>
      </c>
      <c r="C245">
        <f>IF($J245="","",SUMIFS('Hours Log'!$C:$C,'Hours Log'!$A:$A,"&gt;="&amp;$J245,'Hours Log'!$A:$A,"&lt;"&amp;$J245+7)+SUMIFS('Hours Log'!$D:$D,'Hours Log'!$A:$A,"&gt;="&amp;$J245,'Hours Log'!$A:$A,"&lt;"&amp;$J245+7))</f>
        <v/>
      </c>
      <c r="D245">
        <f>IF($J245="","",SUMIFS('Hours Log'!$D:$D,'Hours Log'!$A:$A,"&gt;="&amp;$J245,'Hours Log'!$A:$A,"&lt;"&amp;$J245+7))</f>
        <v/>
      </c>
      <c r="E245">
        <f>IF($J245="","",IFERROR(C245/(B245*40),0))</f>
        <v/>
      </c>
      <c r="F245">
        <f>IF($J245="","",0)</f>
        <v/>
      </c>
      <c r="G245">
        <f>IF($J245="","",SUMIFS('Hours Log'!$E:$E,'Hours Log'!$A:$A,"&gt;="&amp;$J245,'Hours Log'!$A:$A,"&lt;"&amp;$J245+7))</f>
        <v/>
      </c>
      <c r="J245">
        <f>IF(COUNT('Hours Log'!$A$4:$A$5000)=0,"",IF(MIN('Hours Log'!$A$4:$A$5000)+7*(ROW()-10)&gt;MAX('Hours Log'!$A$4:$A$5000),"",MIN('Hours Log'!$A$4:$A$5000)+7*(ROW()-10)))</f>
        <v/>
      </c>
    </row>
    <row r="246">
      <c r="A246">
        <f>IF($J246="","",YEAR($J246-WEEKDAY($J246,2)+4)&amp;"-W"&amp;TEXT(WEEKNUM($J246,21),"00"))</f>
        <v/>
      </c>
      <c r="B246" s="41">
        <f>IF($J246="","",COUNTIFS(Roster!$D$4:$D$500,"Active",Roster!$C$4:$C$500,"&lt;="&amp;$J246))</f>
        <v/>
      </c>
      <c r="C246">
        <f>IF($J246="","",SUMIFS('Hours Log'!$C:$C,'Hours Log'!$A:$A,"&gt;="&amp;$J246,'Hours Log'!$A:$A,"&lt;"&amp;$J246+7)+SUMIFS('Hours Log'!$D:$D,'Hours Log'!$A:$A,"&gt;="&amp;$J246,'Hours Log'!$A:$A,"&lt;"&amp;$J246+7))</f>
        <v/>
      </c>
      <c r="D246">
        <f>IF($J246="","",SUMIFS('Hours Log'!$D:$D,'Hours Log'!$A:$A,"&gt;="&amp;$J246,'Hours Log'!$A:$A,"&lt;"&amp;$J246+7))</f>
        <v/>
      </c>
      <c r="E246">
        <f>IF($J246="","",IFERROR(C246/(B246*40),0))</f>
        <v/>
      </c>
      <c r="F246">
        <f>IF($J246="","",0)</f>
        <v/>
      </c>
      <c r="G246">
        <f>IF($J246="","",SUMIFS('Hours Log'!$E:$E,'Hours Log'!$A:$A,"&gt;="&amp;$J246,'Hours Log'!$A:$A,"&lt;"&amp;$J246+7))</f>
        <v/>
      </c>
      <c r="J246">
        <f>IF(COUNT('Hours Log'!$A$4:$A$5000)=0,"",IF(MIN('Hours Log'!$A$4:$A$5000)+7*(ROW()-10)&gt;MAX('Hours Log'!$A$4:$A$5000),"",MIN('Hours Log'!$A$4:$A$5000)+7*(ROW()-10)))</f>
        <v/>
      </c>
    </row>
    <row r="247">
      <c r="A247">
        <f>IF($J247="","",YEAR($J247-WEEKDAY($J247,2)+4)&amp;"-W"&amp;TEXT(WEEKNUM($J247,21),"00"))</f>
        <v/>
      </c>
      <c r="B247" s="41">
        <f>IF($J247="","",COUNTIFS(Roster!$D$4:$D$500,"Active",Roster!$C$4:$C$500,"&lt;="&amp;$J247))</f>
        <v/>
      </c>
      <c r="C247">
        <f>IF($J247="","",SUMIFS('Hours Log'!$C:$C,'Hours Log'!$A:$A,"&gt;="&amp;$J247,'Hours Log'!$A:$A,"&lt;"&amp;$J247+7)+SUMIFS('Hours Log'!$D:$D,'Hours Log'!$A:$A,"&gt;="&amp;$J247,'Hours Log'!$A:$A,"&lt;"&amp;$J247+7))</f>
        <v/>
      </c>
      <c r="D247">
        <f>IF($J247="","",SUMIFS('Hours Log'!$D:$D,'Hours Log'!$A:$A,"&gt;="&amp;$J247,'Hours Log'!$A:$A,"&lt;"&amp;$J247+7))</f>
        <v/>
      </c>
      <c r="E247">
        <f>IF($J247="","",IFERROR(C247/(B247*40),0))</f>
        <v/>
      </c>
      <c r="F247">
        <f>IF($J247="","",0)</f>
        <v/>
      </c>
      <c r="G247">
        <f>IF($J247="","",SUMIFS('Hours Log'!$E:$E,'Hours Log'!$A:$A,"&gt;="&amp;$J247,'Hours Log'!$A:$A,"&lt;"&amp;$J247+7))</f>
        <v/>
      </c>
      <c r="J247">
        <f>IF(COUNT('Hours Log'!$A$4:$A$5000)=0,"",IF(MIN('Hours Log'!$A$4:$A$5000)+7*(ROW()-10)&gt;MAX('Hours Log'!$A$4:$A$5000),"",MIN('Hours Log'!$A$4:$A$5000)+7*(ROW()-10)))</f>
        <v/>
      </c>
    </row>
    <row r="248">
      <c r="A248">
        <f>IF($J248="","",YEAR($J248-WEEKDAY($J248,2)+4)&amp;"-W"&amp;TEXT(WEEKNUM($J248,21),"00"))</f>
        <v/>
      </c>
      <c r="B248" s="41">
        <f>IF($J248="","",COUNTIFS(Roster!$D$4:$D$500,"Active",Roster!$C$4:$C$500,"&lt;="&amp;$J248))</f>
        <v/>
      </c>
      <c r="C248">
        <f>IF($J248="","",SUMIFS('Hours Log'!$C:$C,'Hours Log'!$A:$A,"&gt;="&amp;$J248,'Hours Log'!$A:$A,"&lt;"&amp;$J248+7)+SUMIFS('Hours Log'!$D:$D,'Hours Log'!$A:$A,"&gt;="&amp;$J248,'Hours Log'!$A:$A,"&lt;"&amp;$J248+7))</f>
        <v/>
      </c>
      <c r="D248">
        <f>IF($J248="","",SUMIFS('Hours Log'!$D:$D,'Hours Log'!$A:$A,"&gt;="&amp;$J248,'Hours Log'!$A:$A,"&lt;"&amp;$J248+7))</f>
        <v/>
      </c>
      <c r="E248">
        <f>IF($J248="","",IFERROR(C248/(B248*40),0))</f>
        <v/>
      </c>
      <c r="F248">
        <f>IF($J248="","",0)</f>
        <v/>
      </c>
      <c r="G248">
        <f>IF($J248="","",SUMIFS('Hours Log'!$E:$E,'Hours Log'!$A:$A,"&gt;="&amp;$J248,'Hours Log'!$A:$A,"&lt;"&amp;$J248+7))</f>
        <v/>
      </c>
      <c r="J248">
        <f>IF(COUNT('Hours Log'!$A$4:$A$5000)=0,"",IF(MIN('Hours Log'!$A$4:$A$5000)+7*(ROW()-10)&gt;MAX('Hours Log'!$A$4:$A$5000),"",MIN('Hours Log'!$A$4:$A$5000)+7*(ROW()-10)))</f>
        <v/>
      </c>
    </row>
    <row r="249">
      <c r="A249">
        <f>IF($J249="","",YEAR($J249-WEEKDAY($J249,2)+4)&amp;"-W"&amp;TEXT(WEEKNUM($J249,21),"00"))</f>
        <v/>
      </c>
      <c r="B249" s="41">
        <f>IF($J249="","",COUNTIFS(Roster!$D$4:$D$500,"Active",Roster!$C$4:$C$500,"&lt;="&amp;$J249))</f>
        <v/>
      </c>
      <c r="C249">
        <f>IF($J249="","",SUMIFS('Hours Log'!$C:$C,'Hours Log'!$A:$A,"&gt;="&amp;$J249,'Hours Log'!$A:$A,"&lt;"&amp;$J249+7)+SUMIFS('Hours Log'!$D:$D,'Hours Log'!$A:$A,"&gt;="&amp;$J249,'Hours Log'!$A:$A,"&lt;"&amp;$J249+7))</f>
        <v/>
      </c>
      <c r="D249">
        <f>IF($J249="","",SUMIFS('Hours Log'!$D:$D,'Hours Log'!$A:$A,"&gt;="&amp;$J249,'Hours Log'!$A:$A,"&lt;"&amp;$J249+7))</f>
        <v/>
      </c>
      <c r="E249">
        <f>IF($J249="","",IFERROR(C249/(B249*40),0))</f>
        <v/>
      </c>
      <c r="F249">
        <f>IF($J249="","",0)</f>
        <v/>
      </c>
      <c r="G249">
        <f>IF($J249="","",SUMIFS('Hours Log'!$E:$E,'Hours Log'!$A:$A,"&gt;="&amp;$J249,'Hours Log'!$A:$A,"&lt;"&amp;$J249+7))</f>
        <v/>
      </c>
      <c r="J249">
        <f>IF(COUNT('Hours Log'!$A$4:$A$5000)=0,"",IF(MIN('Hours Log'!$A$4:$A$5000)+7*(ROW()-10)&gt;MAX('Hours Log'!$A$4:$A$5000),"",MIN('Hours Log'!$A$4:$A$5000)+7*(ROW()-10)))</f>
        <v/>
      </c>
    </row>
    <row r="250">
      <c r="A250">
        <f>IF($J250="","",YEAR($J250-WEEKDAY($J250,2)+4)&amp;"-W"&amp;TEXT(WEEKNUM($J250,21),"00"))</f>
        <v/>
      </c>
      <c r="B250" s="41">
        <f>IF($J250="","",COUNTIFS(Roster!$D$4:$D$500,"Active",Roster!$C$4:$C$500,"&lt;="&amp;$J250))</f>
        <v/>
      </c>
      <c r="C250">
        <f>IF($J250="","",SUMIFS('Hours Log'!$C:$C,'Hours Log'!$A:$A,"&gt;="&amp;$J250,'Hours Log'!$A:$A,"&lt;"&amp;$J250+7)+SUMIFS('Hours Log'!$D:$D,'Hours Log'!$A:$A,"&gt;="&amp;$J250,'Hours Log'!$A:$A,"&lt;"&amp;$J250+7))</f>
        <v/>
      </c>
      <c r="D250">
        <f>IF($J250="","",SUMIFS('Hours Log'!$D:$D,'Hours Log'!$A:$A,"&gt;="&amp;$J250,'Hours Log'!$A:$A,"&lt;"&amp;$J250+7))</f>
        <v/>
      </c>
      <c r="E250">
        <f>IF($J250="","",IFERROR(C250/(B250*40),0))</f>
        <v/>
      </c>
      <c r="F250">
        <f>IF($J250="","",0)</f>
        <v/>
      </c>
      <c r="G250">
        <f>IF($J250="","",SUMIFS('Hours Log'!$E:$E,'Hours Log'!$A:$A,"&gt;="&amp;$J250,'Hours Log'!$A:$A,"&lt;"&amp;$J250+7))</f>
        <v/>
      </c>
      <c r="J250">
        <f>IF(COUNT('Hours Log'!$A$4:$A$5000)=0,"",IF(MIN('Hours Log'!$A$4:$A$5000)+7*(ROW()-10)&gt;MAX('Hours Log'!$A$4:$A$5000),"",MIN('Hours Log'!$A$4:$A$5000)+7*(ROW()-10)))</f>
        <v/>
      </c>
    </row>
    <row r="251">
      <c r="A251">
        <f>IF($J251="","",YEAR($J251-WEEKDAY($J251,2)+4)&amp;"-W"&amp;TEXT(WEEKNUM($J251,21),"00"))</f>
        <v/>
      </c>
      <c r="B251" s="41">
        <f>IF($J251="","",COUNTIFS(Roster!$D$4:$D$500,"Active",Roster!$C$4:$C$500,"&lt;="&amp;$J251))</f>
        <v/>
      </c>
      <c r="C251">
        <f>IF($J251="","",SUMIFS('Hours Log'!$C:$C,'Hours Log'!$A:$A,"&gt;="&amp;$J251,'Hours Log'!$A:$A,"&lt;"&amp;$J251+7)+SUMIFS('Hours Log'!$D:$D,'Hours Log'!$A:$A,"&gt;="&amp;$J251,'Hours Log'!$A:$A,"&lt;"&amp;$J251+7))</f>
        <v/>
      </c>
      <c r="D251">
        <f>IF($J251="","",SUMIFS('Hours Log'!$D:$D,'Hours Log'!$A:$A,"&gt;="&amp;$J251,'Hours Log'!$A:$A,"&lt;"&amp;$J251+7))</f>
        <v/>
      </c>
      <c r="E251">
        <f>IF($J251="","",IFERROR(C251/(B251*40),0))</f>
        <v/>
      </c>
      <c r="F251">
        <f>IF($J251="","",0)</f>
        <v/>
      </c>
      <c r="G251">
        <f>IF($J251="","",SUMIFS('Hours Log'!$E:$E,'Hours Log'!$A:$A,"&gt;="&amp;$J251,'Hours Log'!$A:$A,"&lt;"&amp;$J251+7))</f>
        <v/>
      </c>
      <c r="J251">
        <f>IF(COUNT('Hours Log'!$A$4:$A$5000)=0,"",IF(MIN('Hours Log'!$A$4:$A$5000)+7*(ROW()-10)&gt;MAX('Hours Log'!$A$4:$A$5000),"",MIN('Hours Log'!$A$4:$A$5000)+7*(ROW()-10)))</f>
        <v/>
      </c>
    </row>
    <row r="252">
      <c r="A252">
        <f>IF($J252="","",YEAR($J252-WEEKDAY($J252,2)+4)&amp;"-W"&amp;TEXT(WEEKNUM($J252,21),"00"))</f>
        <v/>
      </c>
      <c r="B252" s="41">
        <f>IF($J252="","",COUNTIFS(Roster!$D$4:$D$500,"Active",Roster!$C$4:$C$500,"&lt;="&amp;$J252))</f>
        <v/>
      </c>
      <c r="C252">
        <f>IF($J252="","",SUMIFS('Hours Log'!$C:$C,'Hours Log'!$A:$A,"&gt;="&amp;$J252,'Hours Log'!$A:$A,"&lt;"&amp;$J252+7)+SUMIFS('Hours Log'!$D:$D,'Hours Log'!$A:$A,"&gt;="&amp;$J252,'Hours Log'!$A:$A,"&lt;"&amp;$J252+7))</f>
        <v/>
      </c>
      <c r="D252">
        <f>IF($J252="","",SUMIFS('Hours Log'!$D:$D,'Hours Log'!$A:$A,"&gt;="&amp;$J252,'Hours Log'!$A:$A,"&lt;"&amp;$J252+7))</f>
        <v/>
      </c>
      <c r="E252">
        <f>IF($J252="","",IFERROR(C252/(B252*40),0))</f>
        <v/>
      </c>
      <c r="F252">
        <f>IF($J252="","",0)</f>
        <v/>
      </c>
      <c r="G252">
        <f>IF($J252="","",SUMIFS('Hours Log'!$E:$E,'Hours Log'!$A:$A,"&gt;="&amp;$J252,'Hours Log'!$A:$A,"&lt;"&amp;$J252+7))</f>
        <v/>
      </c>
      <c r="J252">
        <f>IF(COUNT('Hours Log'!$A$4:$A$5000)=0,"",IF(MIN('Hours Log'!$A$4:$A$5000)+7*(ROW()-10)&gt;MAX('Hours Log'!$A$4:$A$5000),"",MIN('Hours Log'!$A$4:$A$5000)+7*(ROW()-10)))</f>
        <v/>
      </c>
    </row>
    <row r="253">
      <c r="A253">
        <f>IF($J253="","",YEAR($J253-WEEKDAY($J253,2)+4)&amp;"-W"&amp;TEXT(WEEKNUM($J253,21),"00"))</f>
        <v/>
      </c>
      <c r="B253" s="41">
        <f>IF($J253="","",COUNTIFS(Roster!$D$4:$D$500,"Active",Roster!$C$4:$C$500,"&lt;="&amp;$J253))</f>
        <v/>
      </c>
      <c r="C253">
        <f>IF($J253="","",SUMIFS('Hours Log'!$C:$C,'Hours Log'!$A:$A,"&gt;="&amp;$J253,'Hours Log'!$A:$A,"&lt;"&amp;$J253+7)+SUMIFS('Hours Log'!$D:$D,'Hours Log'!$A:$A,"&gt;="&amp;$J253,'Hours Log'!$A:$A,"&lt;"&amp;$J253+7))</f>
        <v/>
      </c>
      <c r="D253">
        <f>IF($J253="","",SUMIFS('Hours Log'!$D:$D,'Hours Log'!$A:$A,"&gt;="&amp;$J253,'Hours Log'!$A:$A,"&lt;"&amp;$J253+7))</f>
        <v/>
      </c>
      <c r="E253">
        <f>IF($J253="","",IFERROR(C253/(B253*40),0))</f>
        <v/>
      </c>
      <c r="F253">
        <f>IF($J253="","",0)</f>
        <v/>
      </c>
      <c r="G253">
        <f>IF($J253="","",SUMIFS('Hours Log'!$E:$E,'Hours Log'!$A:$A,"&gt;="&amp;$J253,'Hours Log'!$A:$A,"&lt;"&amp;$J253+7))</f>
        <v/>
      </c>
      <c r="J253">
        <f>IF(COUNT('Hours Log'!$A$4:$A$5000)=0,"",IF(MIN('Hours Log'!$A$4:$A$5000)+7*(ROW()-10)&gt;MAX('Hours Log'!$A$4:$A$5000),"",MIN('Hours Log'!$A$4:$A$5000)+7*(ROW()-10)))</f>
        <v/>
      </c>
    </row>
    <row r="254">
      <c r="A254">
        <f>IF($J254="","",YEAR($J254-WEEKDAY($J254,2)+4)&amp;"-W"&amp;TEXT(WEEKNUM($J254,21),"00"))</f>
        <v/>
      </c>
      <c r="B254" s="41">
        <f>IF($J254="","",COUNTIFS(Roster!$D$4:$D$500,"Active",Roster!$C$4:$C$500,"&lt;="&amp;$J254))</f>
        <v/>
      </c>
      <c r="C254">
        <f>IF($J254="","",SUMIFS('Hours Log'!$C:$C,'Hours Log'!$A:$A,"&gt;="&amp;$J254,'Hours Log'!$A:$A,"&lt;"&amp;$J254+7)+SUMIFS('Hours Log'!$D:$D,'Hours Log'!$A:$A,"&gt;="&amp;$J254,'Hours Log'!$A:$A,"&lt;"&amp;$J254+7))</f>
        <v/>
      </c>
      <c r="D254">
        <f>IF($J254="","",SUMIFS('Hours Log'!$D:$D,'Hours Log'!$A:$A,"&gt;="&amp;$J254,'Hours Log'!$A:$A,"&lt;"&amp;$J254+7))</f>
        <v/>
      </c>
      <c r="E254">
        <f>IF($J254="","",IFERROR(C254/(B254*40),0))</f>
        <v/>
      </c>
      <c r="F254">
        <f>IF($J254="","",0)</f>
        <v/>
      </c>
      <c r="G254">
        <f>IF($J254="","",SUMIFS('Hours Log'!$E:$E,'Hours Log'!$A:$A,"&gt;="&amp;$J254,'Hours Log'!$A:$A,"&lt;"&amp;$J254+7))</f>
        <v/>
      </c>
      <c r="J254">
        <f>IF(COUNT('Hours Log'!$A$4:$A$5000)=0,"",IF(MIN('Hours Log'!$A$4:$A$5000)+7*(ROW()-10)&gt;MAX('Hours Log'!$A$4:$A$5000),"",MIN('Hours Log'!$A$4:$A$5000)+7*(ROW()-10)))</f>
        <v/>
      </c>
    </row>
    <row r="255">
      <c r="A255">
        <f>IF($J255="","",YEAR($J255-WEEKDAY($J255,2)+4)&amp;"-W"&amp;TEXT(WEEKNUM($J255,21),"00"))</f>
        <v/>
      </c>
      <c r="B255" s="41">
        <f>IF($J255="","",COUNTIFS(Roster!$D$4:$D$500,"Active",Roster!$C$4:$C$500,"&lt;="&amp;$J255))</f>
        <v/>
      </c>
      <c r="C255">
        <f>IF($J255="","",SUMIFS('Hours Log'!$C:$C,'Hours Log'!$A:$A,"&gt;="&amp;$J255,'Hours Log'!$A:$A,"&lt;"&amp;$J255+7)+SUMIFS('Hours Log'!$D:$D,'Hours Log'!$A:$A,"&gt;="&amp;$J255,'Hours Log'!$A:$A,"&lt;"&amp;$J255+7))</f>
        <v/>
      </c>
      <c r="D255">
        <f>IF($J255="","",SUMIFS('Hours Log'!$D:$D,'Hours Log'!$A:$A,"&gt;="&amp;$J255,'Hours Log'!$A:$A,"&lt;"&amp;$J255+7))</f>
        <v/>
      </c>
      <c r="E255">
        <f>IF($J255="","",IFERROR(C255/(B255*40),0))</f>
        <v/>
      </c>
      <c r="F255">
        <f>IF($J255="","",0)</f>
        <v/>
      </c>
      <c r="G255">
        <f>IF($J255="","",SUMIFS('Hours Log'!$E:$E,'Hours Log'!$A:$A,"&gt;="&amp;$J255,'Hours Log'!$A:$A,"&lt;"&amp;$J255+7))</f>
        <v/>
      </c>
      <c r="J255">
        <f>IF(COUNT('Hours Log'!$A$4:$A$5000)=0,"",IF(MIN('Hours Log'!$A$4:$A$5000)+7*(ROW()-10)&gt;MAX('Hours Log'!$A$4:$A$5000),"",MIN('Hours Log'!$A$4:$A$5000)+7*(ROW()-10)))</f>
        <v/>
      </c>
    </row>
    <row r="256">
      <c r="A256">
        <f>IF($J256="","",YEAR($J256-WEEKDAY($J256,2)+4)&amp;"-W"&amp;TEXT(WEEKNUM($J256,21),"00"))</f>
        <v/>
      </c>
      <c r="B256" s="41">
        <f>IF($J256="","",COUNTIFS(Roster!$D$4:$D$500,"Active",Roster!$C$4:$C$500,"&lt;="&amp;$J256))</f>
        <v/>
      </c>
      <c r="C256">
        <f>IF($J256="","",SUMIFS('Hours Log'!$C:$C,'Hours Log'!$A:$A,"&gt;="&amp;$J256,'Hours Log'!$A:$A,"&lt;"&amp;$J256+7)+SUMIFS('Hours Log'!$D:$D,'Hours Log'!$A:$A,"&gt;="&amp;$J256,'Hours Log'!$A:$A,"&lt;"&amp;$J256+7))</f>
        <v/>
      </c>
      <c r="D256">
        <f>IF($J256="","",SUMIFS('Hours Log'!$D:$D,'Hours Log'!$A:$A,"&gt;="&amp;$J256,'Hours Log'!$A:$A,"&lt;"&amp;$J256+7))</f>
        <v/>
      </c>
      <c r="E256">
        <f>IF($J256="","",IFERROR(C256/(B256*40),0))</f>
        <v/>
      </c>
      <c r="F256">
        <f>IF($J256="","",0)</f>
        <v/>
      </c>
      <c r="G256">
        <f>IF($J256="","",SUMIFS('Hours Log'!$E:$E,'Hours Log'!$A:$A,"&gt;="&amp;$J256,'Hours Log'!$A:$A,"&lt;"&amp;$J256+7))</f>
        <v/>
      </c>
      <c r="J256">
        <f>IF(COUNT('Hours Log'!$A$4:$A$5000)=0,"",IF(MIN('Hours Log'!$A$4:$A$5000)+7*(ROW()-10)&gt;MAX('Hours Log'!$A$4:$A$5000),"",MIN('Hours Log'!$A$4:$A$5000)+7*(ROW()-10)))</f>
        <v/>
      </c>
    </row>
    <row r="257">
      <c r="A257">
        <f>IF($J257="","",YEAR($J257-WEEKDAY($J257,2)+4)&amp;"-W"&amp;TEXT(WEEKNUM($J257,21),"00"))</f>
        <v/>
      </c>
      <c r="B257" s="41">
        <f>IF($J257="","",COUNTIFS(Roster!$D$4:$D$500,"Active",Roster!$C$4:$C$500,"&lt;="&amp;$J257))</f>
        <v/>
      </c>
      <c r="C257">
        <f>IF($J257="","",SUMIFS('Hours Log'!$C:$C,'Hours Log'!$A:$A,"&gt;="&amp;$J257,'Hours Log'!$A:$A,"&lt;"&amp;$J257+7)+SUMIFS('Hours Log'!$D:$D,'Hours Log'!$A:$A,"&gt;="&amp;$J257,'Hours Log'!$A:$A,"&lt;"&amp;$J257+7))</f>
        <v/>
      </c>
      <c r="D257">
        <f>IF($J257="","",SUMIFS('Hours Log'!$D:$D,'Hours Log'!$A:$A,"&gt;="&amp;$J257,'Hours Log'!$A:$A,"&lt;"&amp;$J257+7))</f>
        <v/>
      </c>
      <c r="E257">
        <f>IF($J257="","",IFERROR(C257/(B257*40),0))</f>
        <v/>
      </c>
      <c r="F257">
        <f>IF($J257="","",0)</f>
        <v/>
      </c>
      <c r="G257">
        <f>IF($J257="","",SUMIFS('Hours Log'!$E:$E,'Hours Log'!$A:$A,"&gt;="&amp;$J257,'Hours Log'!$A:$A,"&lt;"&amp;$J257+7))</f>
        <v/>
      </c>
      <c r="J257">
        <f>IF(COUNT('Hours Log'!$A$4:$A$5000)=0,"",IF(MIN('Hours Log'!$A$4:$A$5000)+7*(ROW()-10)&gt;MAX('Hours Log'!$A$4:$A$5000),"",MIN('Hours Log'!$A$4:$A$5000)+7*(ROW()-10)))</f>
        <v/>
      </c>
    </row>
    <row r="258">
      <c r="A258">
        <f>IF($J258="","",YEAR($J258-WEEKDAY($J258,2)+4)&amp;"-W"&amp;TEXT(WEEKNUM($J258,21),"00"))</f>
        <v/>
      </c>
      <c r="B258" s="41">
        <f>IF($J258="","",COUNTIFS(Roster!$D$4:$D$500,"Active",Roster!$C$4:$C$500,"&lt;="&amp;$J258))</f>
        <v/>
      </c>
      <c r="C258">
        <f>IF($J258="","",SUMIFS('Hours Log'!$C:$C,'Hours Log'!$A:$A,"&gt;="&amp;$J258,'Hours Log'!$A:$A,"&lt;"&amp;$J258+7)+SUMIFS('Hours Log'!$D:$D,'Hours Log'!$A:$A,"&gt;="&amp;$J258,'Hours Log'!$A:$A,"&lt;"&amp;$J258+7))</f>
        <v/>
      </c>
      <c r="D258">
        <f>IF($J258="","",SUMIFS('Hours Log'!$D:$D,'Hours Log'!$A:$A,"&gt;="&amp;$J258,'Hours Log'!$A:$A,"&lt;"&amp;$J258+7))</f>
        <v/>
      </c>
      <c r="E258">
        <f>IF($J258="","",IFERROR(C258/(B258*40),0))</f>
        <v/>
      </c>
      <c r="F258">
        <f>IF($J258="","",0)</f>
        <v/>
      </c>
      <c r="G258">
        <f>IF($J258="","",SUMIFS('Hours Log'!$E:$E,'Hours Log'!$A:$A,"&gt;="&amp;$J258,'Hours Log'!$A:$A,"&lt;"&amp;$J258+7))</f>
        <v/>
      </c>
      <c r="J258">
        <f>IF(COUNT('Hours Log'!$A$4:$A$5000)=0,"",IF(MIN('Hours Log'!$A$4:$A$5000)+7*(ROW()-10)&gt;MAX('Hours Log'!$A$4:$A$5000),"",MIN('Hours Log'!$A$4:$A$5000)+7*(ROW()-10)))</f>
        <v/>
      </c>
    </row>
    <row r="259">
      <c r="A259">
        <f>IF($J259="","",YEAR($J259-WEEKDAY($J259,2)+4)&amp;"-W"&amp;TEXT(WEEKNUM($J259,21),"00"))</f>
        <v/>
      </c>
      <c r="B259" s="41">
        <f>IF($J259="","",COUNTIFS(Roster!$D$4:$D$500,"Active",Roster!$C$4:$C$500,"&lt;="&amp;$J259))</f>
        <v/>
      </c>
      <c r="C259">
        <f>IF($J259="","",SUMIFS('Hours Log'!$C:$C,'Hours Log'!$A:$A,"&gt;="&amp;$J259,'Hours Log'!$A:$A,"&lt;"&amp;$J259+7)+SUMIFS('Hours Log'!$D:$D,'Hours Log'!$A:$A,"&gt;="&amp;$J259,'Hours Log'!$A:$A,"&lt;"&amp;$J259+7))</f>
        <v/>
      </c>
      <c r="D259">
        <f>IF($J259="","",SUMIFS('Hours Log'!$D:$D,'Hours Log'!$A:$A,"&gt;="&amp;$J259,'Hours Log'!$A:$A,"&lt;"&amp;$J259+7))</f>
        <v/>
      </c>
      <c r="E259">
        <f>IF($J259="","",IFERROR(C259/(B259*40),0))</f>
        <v/>
      </c>
      <c r="F259">
        <f>IF($J259="","",0)</f>
        <v/>
      </c>
      <c r="G259">
        <f>IF($J259="","",SUMIFS('Hours Log'!$E:$E,'Hours Log'!$A:$A,"&gt;="&amp;$J259,'Hours Log'!$A:$A,"&lt;"&amp;$J259+7))</f>
        <v/>
      </c>
      <c r="J259">
        <f>IF(COUNT('Hours Log'!$A$4:$A$5000)=0,"",IF(MIN('Hours Log'!$A$4:$A$5000)+7*(ROW()-10)&gt;MAX('Hours Log'!$A$4:$A$5000),"",MIN('Hours Log'!$A$4:$A$5000)+7*(ROW()-10)))</f>
        <v/>
      </c>
    </row>
    <row r="260">
      <c r="A260">
        <f>IF($J260="","",YEAR($J260-WEEKDAY($J260,2)+4)&amp;"-W"&amp;TEXT(WEEKNUM($J260,21),"00"))</f>
        <v/>
      </c>
      <c r="B260" s="41">
        <f>IF($J260="","",COUNTIFS(Roster!$D$4:$D$500,"Active",Roster!$C$4:$C$500,"&lt;="&amp;$J260))</f>
        <v/>
      </c>
      <c r="C260">
        <f>IF($J260="","",SUMIFS('Hours Log'!$C:$C,'Hours Log'!$A:$A,"&gt;="&amp;$J260,'Hours Log'!$A:$A,"&lt;"&amp;$J260+7)+SUMIFS('Hours Log'!$D:$D,'Hours Log'!$A:$A,"&gt;="&amp;$J260,'Hours Log'!$A:$A,"&lt;"&amp;$J260+7))</f>
        <v/>
      </c>
      <c r="D260">
        <f>IF($J260="","",SUMIFS('Hours Log'!$D:$D,'Hours Log'!$A:$A,"&gt;="&amp;$J260,'Hours Log'!$A:$A,"&lt;"&amp;$J260+7))</f>
        <v/>
      </c>
      <c r="E260">
        <f>IF($J260="","",IFERROR(C260/(B260*40),0))</f>
        <v/>
      </c>
      <c r="F260">
        <f>IF($J260="","",0)</f>
        <v/>
      </c>
      <c r="G260">
        <f>IF($J260="","",SUMIFS('Hours Log'!$E:$E,'Hours Log'!$A:$A,"&gt;="&amp;$J260,'Hours Log'!$A:$A,"&lt;"&amp;$J260+7))</f>
        <v/>
      </c>
      <c r="J260">
        <f>IF(COUNT('Hours Log'!$A$4:$A$5000)=0,"",IF(MIN('Hours Log'!$A$4:$A$5000)+7*(ROW()-10)&gt;MAX('Hours Log'!$A$4:$A$5000),"",MIN('Hours Log'!$A$4:$A$5000)+7*(ROW()-10)))</f>
        <v/>
      </c>
    </row>
    <row r="261">
      <c r="A261">
        <f>IF($J261="","",YEAR($J261-WEEKDAY($J261,2)+4)&amp;"-W"&amp;TEXT(WEEKNUM($J261,21),"00"))</f>
        <v/>
      </c>
      <c r="B261" s="41">
        <f>IF($J261="","",COUNTIFS(Roster!$D$4:$D$500,"Active",Roster!$C$4:$C$500,"&lt;="&amp;$J261))</f>
        <v/>
      </c>
      <c r="C261">
        <f>IF($J261="","",SUMIFS('Hours Log'!$C:$C,'Hours Log'!$A:$A,"&gt;="&amp;$J261,'Hours Log'!$A:$A,"&lt;"&amp;$J261+7)+SUMIFS('Hours Log'!$D:$D,'Hours Log'!$A:$A,"&gt;="&amp;$J261,'Hours Log'!$A:$A,"&lt;"&amp;$J261+7))</f>
        <v/>
      </c>
      <c r="D261">
        <f>IF($J261="","",SUMIFS('Hours Log'!$D:$D,'Hours Log'!$A:$A,"&gt;="&amp;$J261,'Hours Log'!$A:$A,"&lt;"&amp;$J261+7))</f>
        <v/>
      </c>
      <c r="E261">
        <f>IF($J261="","",IFERROR(C261/(B261*40),0))</f>
        <v/>
      </c>
      <c r="F261">
        <f>IF($J261="","",0)</f>
        <v/>
      </c>
      <c r="G261">
        <f>IF($J261="","",SUMIFS('Hours Log'!$E:$E,'Hours Log'!$A:$A,"&gt;="&amp;$J261,'Hours Log'!$A:$A,"&lt;"&amp;$J261+7))</f>
        <v/>
      </c>
      <c r="J261">
        <f>IF(COUNT('Hours Log'!$A$4:$A$5000)=0,"",IF(MIN('Hours Log'!$A$4:$A$5000)+7*(ROW()-10)&gt;MAX('Hours Log'!$A$4:$A$5000),"",MIN('Hours Log'!$A$4:$A$5000)+7*(ROW()-10)))</f>
        <v/>
      </c>
    </row>
    <row r="262">
      <c r="A262">
        <f>IF($J262="","",YEAR($J262-WEEKDAY($J262,2)+4)&amp;"-W"&amp;TEXT(WEEKNUM($J262,21),"00"))</f>
        <v/>
      </c>
      <c r="B262" s="41">
        <f>IF($J262="","",COUNTIFS(Roster!$D$4:$D$500,"Active",Roster!$C$4:$C$500,"&lt;="&amp;$J262))</f>
        <v/>
      </c>
      <c r="C262">
        <f>IF($J262="","",SUMIFS('Hours Log'!$C:$C,'Hours Log'!$A:$A,"&gt;="&amp;$J262,'Hours Log'!$A:$A,"&lt;"&amp;$J262+7)+SUMIFS('Hours Log'!$D:$D,'Hours Log'!$A:$A,"&gt;="&amp;$J262,'Hours Log'!$A:$A,"&lt;"&amp;$J262+7))</f>
        <v/>
      </c>
      <c r="D262">
        <f>IF($J262="","",SUMIFS('Hours Log'!$D:$D,'Hours Log'!$A:$A,"&gt;="&amp;$J262,'Hours Log'!$A:$A,"&lt;"&amp;$J262+7))</f>
        <v/>
      </c>
      <c r="E262">
        <f>IF($J262="","",IFERROR(C262/(B262*40),0))</f>
        <v/>
      </c>
      <c r="F262">
        <f>IF($J262="","",0)</f>
        <v/>
      </c>
      <c r="G262">
        <f>IF($J262="","",SUMIFS('Hours Log'!$E:$E,'Hours Log'!$A:$A,"&gt;="&amp;$J262,'Hours Log'!$A:$A,"&lt;"&amp;$J262+7))</f>
        <v/>
      </c>
      <c r="J262">
        <f>IF(COUNT('Hours Log'!$A$4:$A$5000)=0,"",IF(MIN('Hours Log'!$A$4:$A$5000)+7*(ROW()-10)&gt;MAX('Hours Log'!$A$4:$A$5000),"",MIN('Hours Log'!$A$4:$A$5000)+7*(ROW()-10)))</f>
        <v/>
      </c>
    </row>
    <row r="263">
      <c r="A263">
        <f>IF($J263="","",YEAR($J263-WEEKDAY($J263,2)+4)&amp;"-W"&amp;TEXT(WEEKNUM($J263,21),"00"))</f>
        <v/>
      </c>
      <c r="B263" s="41">
        <f>IF($J263="","",COUNTIFS(Roster!$D$4:$D$500,"Active",Roster!$C$4:$C$500,"&lt;="&amp;$J263))</f>
        <v/>
      </c>
      <c r="C263">
        <f>IF($J263="","",SUMIFS('Hours Log'!$C:$C,'Hours Log'!$A:$A,"&gt;="&amp;$J263,'Hours Log'!$A:$A,"&lt;"&amp;$J263+7)+SUMIFS('Hours Log'!$D:$D,'Hours Log'!$A:$A,"&gt;="&amp;$J263,'Hours Log'!$A:$A,"&lt;"&amp;$J263+7))</f>
        <v/>
      </c>
      <c r="D263">
        <f>IF($J263="","",SUMIFS('Hours Log'!$D:$D,'Hours Log'!$A:$A,"&gt;="&amp;$J263,'Hours Log'!$A:$A,"&lt;"&amp;$J263+7))</f>
        <v/>
      </c>
      <c r="E263">
        <f>IF($J263="","",IFERROR(C263/(B263*40),0))</f>
        <v/>
      </c>
      <c r="F263">
        <f>IF($J263="","",0)</f>
        <v/>
      </c>
      <c r="G263">
        <f>IF($J263="","",SUMIFS('Hours Log'!$E:$E,'Hours Log'!$A:$A,"&gt;="&amp;$J263,'Hours Log'!$A:$A,"&lt;"&amp;$J263+7))</f>
        <v/>
      </c>
      <c r="J263">
        <f>IF(COUNT('Hours Log'!$A$4:$A$5000)=0,"",IF(MIN('Hours Log'!$A$4:$A$5000)+7*(ROW()-10)&gt;MAX('Hours Log'!$A$4:$A$5000),"",MIN('Hours Log'!$A$4:$A$5000)+7*(ROW()-10)))</f>
        <v/>
      </c>
    </row>
    <row r="264">
      <c r="A264">
        <f>IF($J264="","",YEAR($J264-WEEKDAY($J264,2)+4)&amp;"-W"&amp;TEXT(WEEKNUM($J264,21),"00"))</f>
        <v/>
      </c>
      <c r="B264" s="41">
        <f>IF($J264="","",COUNTIFS(Roster!$D$4:$D$500,"Active",Roster!$C$4:$C$500,"&lt;="&amp;$J264))</f>
        <v/>
      </c>
      <c r="C264">
        <f>IF($J264="","",SUMIFS('Hours Log'!$C:$C,'Hours Log'!$A:$A,"&gt;="&amp;$J264,'Hours Log'!$A:$A,"&lt;"&amp;$J264+7)+SUMIFS('Hours Log'!$D:$D,'Hours Log'!$A:$A,"&gt;="&amp;$J264,'Hours Log'!$A:$A,"&lt;"&amp;$J264+7))</f>
        <v/>
      </c>
      <c r="D264">
        <f>IF($J264="","",SUMIFS('Hours Log'!$D:$D,'Hours Log'!$A:$A,"&gt;="&amp;$J264,'Hours Log'!$A:$A,"&lt;"&amp;$J264+7))</f>
        <v/>
      </c>
      <c r="E264">
        <f>IF($J264="","",IFERROR(C264/(B264*40),0))</f>
        <v/>
      </c>
      <c r="F264">
        <f>IF($J264="","",0)</f>
        <v/>
      </c>
      <c r="G264">
        <f>IF($J264="","",SUMIFS('Hours Log'!$E:$E,'Hours Log'!$A:$A,"&gt;="&amp;$J264,'Hours Log'!$A:$A,"&lt;"&amp;$J264+7))</f>
        <v/>
      </c>
      <c r="J264">
        <f>IF(COUNT('Hours Log'!$A$4:$A$5000)=0,"",IF(MIN('Hours Log'!$A$4:$A$5000)+7*(ROW()-10)&gt;MAX('Hours Log'!$A$4:$A$5000),"",MIN('Hours Log'!$A$4:$A$5000)+7*(ROW()-10)))</f>
        <v/>
      </c>
    </row>
    <row r="265">
      <c r="A265">
        <f>IF($J265="","",YEAR($J265-WEEKDAY($J265,2)+4)&amp;"-W"&amp;TEXT(WEEKNUM($J265,21),"00"))</f>
        <v/>
      </c>
      <c r="B265" s="41">
        <f>IF($J265="","",COUNTIFS(Roster!$D$4:$D$500,"Active",Roster!$C$4:$C$500,"&lt;="&amp;$J265))</f>
        <v/>
      </c>
      <c r="C265">
        <f>IF($J265="","",SUMIFS('Hours Log'!$C:$C,'Hours Log'!$A:$A,"&gt;="&amp;$J265,'Hours Log'!$A:$A,"&lt;"&amp;$J265+7)+SUMIFS('Hours Log'!$D:$D,'Hours Log'!$A:$A,"&gt;="&amp;$J265,'Hours Log'!$A:$A,"&lt;"&amp;$J265+7))</f>
        <v/>
      </c>
      <c r="D265">
        <f>IF($J265="","",SUMIFS('Hours Log'!$D:$D,'Hours Log'!$A:$A,"&gt;="&amp;$J265,'Hours Log'!$A:$A,"&lt;"&amp;$J265+7))</f>
        <v/>
      </c>
      <c r="E265">
        <f>IF($J265="","",IFERROR(C265/(B265*40),0))</f>
        <v/>
      </c>
      <c r="F265">
        <f>IF($J265="","",0)</f>
        <v/>
      </c>
      <c r="G265">
        <f>IF($J265="","",SUMIFS('Hours Log'!$E:$E,'Hours Log'!$A:$A,"&gt;="&amp;$J265,'Hours Log'!$A:$A,"&lt;"&amp;$J265+7))</f>
        <v/>
      </c>
      <c r="J265">
        <f>IF(COUNT('Hours Log'!$A$4:$A$5000)=0,"",IF(MIN('Hours Log'!$A$4:$A$5000)+7*(ROW()-10)&gt;MAX('Hours Log'!$A$4:$A$5000),"",MIN('Hours Log'!$A$4:$A$5000)+7*(ROW()-10)))</f>
        <v/>
      </c>
    </row>
    <row r="266">
      <c r="A266">
        <f>IF($J266="","",YEAR($J266-WEEKDAY($J266,2)+4)&amp;"-W"&amp;TEXT(WEEKNUM($J266,21),"00"))</f>
        <v/>
      </c>
      <c r="B266" s="41">
        <f>IF($J266="","",COUNTIFS(Roster!$D$4:$D$500,"Active",Roster!$C$4:$C$500,"&lt;="&amp;$J266))</f>
        <v/>
      </c>
      <c r="C266">
        <f>IF($J266="","",SUMIFS('Hours Log'!$C:$C,'Hours Log'!$A:$A,"&gt;="&amp;$J266,'Hours Log'!$A:$A,"&lt;"&amp;$J266+7)+SUMIFS('Hours Log'!$D:$D,'Hours Log'!$A:$A,"&gt;="&amp;$J266,'Hours Log'!$A:$A,"&lt;"&amp;$J266+7))</f>
        <v/>
      </c>
      <c r="D266">
        <f>IF($J266="","",SUMIFS('Hours Log'!$D:$D,'Hours Log'!$A:$A,"&gt;="&amp;$J266,'Hours Log'!$A:$A,"&lt;"&amp;$J266+7))</f>
        <v/>
      </c>
      <c r="E266">
        <f>IF($J266="","",IFERROR(C266/(B266*40),0))</f>
        <v/>
      </c>
      <c r="F266">
        <f>IF($J266="","",0)</f>
        <v/>
      </c>
      <c r="G266">
        <f>IF($J266="","",SUMIFS('Hours Log'!$E:$E,'Hours Log'!$A:$A,"&gt;="&amp;$J266,'Hours Log'!$A:$A,"&lt;"&amp;$J266+7))</f>
        <v/>
      </c>
      <c r="J266">
        <f>IF(COUNT('Hours Log'!$A$4:$A$5000)=0,"",IF(MIN('Hours Log'!$A$4:$A$5000)+7*(ROW()-10)&gt;MAX('Hours Log'!$A$4:$A$5000),"",MIN('Hours Log'!$A$4:$A$5000)+7*(ROW()-10)))</f>
        <v/>
      </c>
    </row>
    <row r="267">
      <c r="A267">
        <f>IF($J267="","",YEAR($J267-WEEKDAY($J267,2)+4)&amp;"-W"&amp;TEXT(WEEKNUM($J267,21),"00"))</f>
        <v/>
      </c>
      <c r="B267" s="41">
        <f>IF($J267="","",COUNTIFS(Roster!$D$4:$D$500,"Active",Roster!$C$4:$C$500,"&lt;="&amp;$J267))</f>
        <v/>
      </c>
      <c r="C267">
        <f>IF($J267="","",SUMIFS('Hours Log'!$C:$C,'Hours Log'!$A:$A,"&gt;="&amp;$J267,'Hours Log'!$A:$A,"&lt;"&amp;$J267+7)+SUMIFS('Hours Log'!$D:$D,'Hours Log'!$A:$A,"&gt;="&amp;$J267,'Hours Log'!$A:$A,"&lt;"&amp;$J267+7))</f>
        <v/>
      </c>
      <c r="D267">
        <f>IF($J267="","",SUMIFS('Hours Log'!$D:$D,'Hours Log'!$A:$A,"&gt;="&amp;$J267,'Hours Log'!$A:$A,"&lt;"&amp;$J267+7))</f>
        <v/>
      </c>
      <c r="E267">
        <f>IF($J267="","",IFERROR(C267/(B267*40),0))</f>
        <v/>
      </c>
      <c r="F267">
        <f>IF($J267="","",0)</f>
        <v/>
      </c>
      <c r="G267">
        <f>IF($J267="","",SUMIFS('Hours Log'!$E:$E,'Hours Log'!$A:$A,"&gt;="&amp;$J267,'Hours Log'!$A:$A,"&lt;"&amp;$J267+7))</f>
        <v/>
      </c>
      <c r="J267">
        <f>IF(COUNT('Hours Log'!$A$4:$A$5000)=0,"",IF(MIN('Hours Log'!$A$4:$A$5000)+7*(ROW()-10)&gt;MAX('Hours Log'!$A$4:$A$5000),"",MIN('Hours Log'!$A$4:$A$5000)+7*(ROW()-10)))</f>
        <v/>
      </c>
    </row>
    <row r="268">
      <c r="A268">
        <f>IF($J268="","",YEAR($J268-WEEKDAY($J268,2)+4)&amp;"-W"&amp;TEXT(WEEKNUM($J268,21),"00"))</f>
        <v/>
      </c>
      <c r="B268" s="41">
        <f>IF($J268="","",COUNTIFS(Roster!$D$4:$D$500,"Active",Roster!$C$4:$C$500,"&lt;="&amp;$J268))</f>
        <v/>
      </c>
      <c r="C268">
        <f>IF($J268="","",SUMIFS('Hours Log'!$C:$C,'Hours Log'!$A:$A,"&gt;="&amp;$J268,'Hours Log'!$A:$A,"&lt;"&amp;$J268+7)+SUMIFS('Hours Log'!$D:$D,'Hours Log'!$A:$A,"&gt;="&amp;$J268,'Hours Log'!$A:$A,"&lt;"&amp;$J268+7))</f>
        <v/>
      </c>
      <c r="D268">
        <f>IF($J268="","",SUMIFS('Hours Log'!$D:$D,'Hours Log'!$A:$A,"&gt;="&amp;$J268,'Hours Log'!$A:$A,"&lt;"&amp;$J268+7))</f>
        <v/>
      </c>
      <c r="E268">
        <f>IF($J268="","",IFERROR(C268/(B268*40),0))</f>
        <v/>
      </c>
      <c r="F268">
        <f>IF($J268="","",0)</f>
        <v/>
      </c>
      <c r="G268">
        <f>IF($J268="","",SUMIFS('Hours Log'!$E:$E,'Hours Log'!$A:$A,"&gt;="&amp;$J268,'Hours Log'!$A:$A,"&lt;"&amp;$J268+7))</f>
        <v/>
      </c>
      <c r="J268">
        <f>IF(COUNT('Hours Log'!$A$4:$A$5000)=0,"",IF(MIN('Hours Log'!$A$4:$A$5000)+7*(ROW()-10)&gt;MAX('Hours Log'!$A$4:$A$5000),"",MIN('Hours Log'!$A$4:$A$5000)+7*(ROW()-10)))</f>
        <v/>
      </c>
    </row>
    <row r="269">
      <c r="A269">
        <f>IF($J269="","",YEAR($J269-WEEKDAY($J269,2)+4)&amp;"-W"&amp;TEXT(WEEKNUM($J269,21),"00"))</f>
        <v/>
      </c>
      <c r="B269" s="41">
        <f>IF($J269="","",COUNTIFS(Roster!$D$4:$D$500,"Active",Roster!$C$4:$C$500,"&lt;="&amp;$J269))</f>
        <v/>
      </c>
      <c r="C269">
        <f>IF($J269="","",SUMIFS('Hours Log'!$C:$C,'Hours Log'!$A:$A,"&gt;="&amp;$J269,'Hours Log'!$A:$A,"&lt;"&amp;$J269+7)+SUMIFS('Hours Log'!$D:$D,'Hours Log'!$A:$A,"&gt;="&amp;$J269,'Hours Log'!$A:$A,"&lt;"&amp;$J269+7))</f>
        <v/>
      </c>
      <c r="D269">
        <f>IF($J269="","",SUMIFS('Hours Log'!$D:$D,'Hours Log'!$A:$A,"&gt;="&amp;$J269,'Hours Log'!$A:$A,"&lt;"&amp;$J269+7))</f>
        <v/>
      </c>
      <c r="E269">
        <f>IF($J269="","",IFERROR(C269/(B269*40),0))</f>
        <v/>
      </c>
      <c r="F269">
        <f>IF($J269="","",0)</f>
        <v/>
      </c>
      <c r="G269">
        <f>IF($J269="","",SUMIFS('Hours Log'!$E:$E,'Hours Log'!$A:$A,"&gt;="&amp;$J269,'Hours Log'!$A:$A,"&lt;"&amp;$J269+7))</f>
        <v/>
      </c>
      <c r="J269">
        <f>IF(COUNT('Hours Log'!$A$4:$A$5000)=0,"",IF(MIN('Hours Log'!$A$4:$A$5000)+7*(ROW()-10)&gt;MAX('Hours Log'!$A$4:$A$5000),"",MIN('Hours Log'!$A$4:$A$5000)+7*(ROW()-10)))</f>
        <v/>
      </c>
    </row>
    <row r="270">
      <c r="A270">
        <f>IF($J270="","",YEAR($J270-WEEKDAY($J270,2)+4)&amp;"-W"&amp;TEXT(WEEKNUM($J270,21),"00"))</f>
        <v/>
      </c>
      <c r="B270" s="41">
        <f>IF($J270="","",COUNTIFS(Roster!$D$4:$D$500,"Active",Roster!$C$4:$C$500,"&lt;="&amp;$J270))</f>
        <v/>
      </c>
      <c r="C270">
        <f>IF($J270="","",SUMIFS('Hours Log'!$C:$C,'Hours Log'!$A:$A,"&gt;="&amp;$J270,'Hours Log'!$A:$A,"&lt;"&amp;$J270+7)+SUMIFS('Hours Log'!$D:$D,'Hours Log'!$A:$A,"&gt;="&amp;$J270,'Hours Log'!$A:$A,"&lt;"&amp;$J270+7))</f>
        <v/>
      </c>
      <c r="D270">
        <f>IF($J270="","",SUMIFS('Hours Log'!$D:$D,'Hours Log'!$A:$A,"&gt;="&amp;$J270,'Hours Log'!$A:$A,"&lt;"&amp;$J270+7))</f>
        <v/>
      </c>
      <c r="E270">
        <f>IF($J270="","",IFERROR(C270/(B270*40),0))</f>
        <v/>
      </c>
      <c r="F270">
        <f>IF($J270="","",0)</f>
        <v/>
      </c>
      <c r="G270">
        <f>IF($J270="","",SUMIFS('Hours Log'!$E:$E,'Hours Log'!$A:$A,"&gt;="&amp;$J270,'Hours Log'!$A:$A,"&lt;"&amp;$J270+7))</f>
        <v/>
      </c>
      <c r="J270">
        <f>IF(COUNT('Hours Log'!$A$4:$A$5000)=0,"",IF(MIN('Hours Log'!$A$4:$A$5000)+7*(ROW()-10)&gt;MAX('Hours Log'!$A$4:$A$5000),"",MIN('Hours Log'!$A$4:$A$5000)+7*(ROW()-10)))</f>
        <v/>
      </c>
    </row>
    <row r="271">
      <c r="A271">
        <f>IF($J271="","",YEAR($J271-WEEKDAY($J271,2)+4)&amp;"-W"&amp;TEXT(WEEKNUM($J271,21),"00"))</f>
        <v/>
      </c>
      <c r="B271" s="41">
        <f>IF($J271="","",COUNTIFS(Roster!$D$4:$D$500,"Active",Roster!$C$4:$C$500,"&lt;="&amp;$J271))</f>
        <v/>
      </c>
      <c r="C271">
        <f>IF($J271="","",SUMIFS('Hours Log'!$C:$C,'Hours Log'!$A:$A,"&gt;="&amp;$J271,'Hours Log'!$A:$A,"&lt;"&amp;$J271+7)+SUMIFS('Hours Log'!$D:$D,'Hours Log'!$A:$A,"&gt;="&amp;$J271,'Hours Log'!$A:$A,"&lt;"&amp;$J271+7))</f>
        <v/>
      </c>
      <c r="D271">
        <f>IF($J271="","",SUMIFS('Hours Log'!$D:$D,'Hours Log'!$A:$A,"&gt;="&amp;$J271,'Hours Log'!$A:$A,"&lt;"&amp;$J271+7))</f>
        <v/>
      </c>
      <c r="E271">
        <f>IF($J271="","",IFERROR(C271/(B271*40),0))</f>
        <v/>
      </c>
      <c r="F271">
        <f>IF($J271="","",0)</f>
        <v/>
      </c>
      <c r="G271">
        <f>IF($J271="","",SUMIFS('Hours Log'!$E:$E,'Hours Log'!$A:$A,"&gt;="&amp;$J271,'Hours Log'!$A:$A,"&lt;"&amp;$J271+7))</f>
        <v/>
      </c>
      <c r="J271">
        <f>IF(COUNT('Hours Log'!$A$4:$A$5000)=0,"",IF(MIN('Hours Log'!$A$4:$A$5000)+7*(ROW()-10)&gt;MAX('Hours Log'!$A$4:$A$5000),"",MIN('Hours Log'!$A$4:$A$5000)+7*(ROW()-10)))</f>
        <v/>
      </c>
    </row>
    <row r="272">
      <c r="A272">
        <f>IF($J272="","",YEAR($J272-WEEKDAY($J272,2)+4)&amp;"-W"&amp;TEXT(WEEKNUM($J272,21),"00"))</f>
        <v/>
      </c>
      <c r="B272" s="41">
        <f>IF($J272="","",COUNTIFS(Roster!$D$4:$D$500,"Active",Roster!$C$4:$C$500,"&lt;="&amp;$J272))</f>
        <v/>
      </c>
      <c r="C272">
        <f>IF($J272="","",SUMIFS('Hours Log'!$C:$C,'Hours Log'!$A:$A,"&gt;="&amp;$J272,'Hours Log'!$A:$A,"&lt;"&amp;$J272+7)+SUMIFS('Hours Log'!$D:$D,'Hours Log'!$A:$A,"&gt;="&amp;$J272,'Hours Log'!$A:$A,"&lt;"&amp;$J272+7))</f>
        <v/>
      </c>
      <c r="D272">
        <f>IF($J272="","",SUMIFS('Hours Log'!$D:$D,'Hours Log'!$A:$A,"&gt;="&amp;$J272,'Hours Log'!$A:$A,"&lt;"&amp;$J272+7))</f>
        <v/>
      </c>
      <c r="E272">
        <f>IF($J272="","",IFERROR(C272/(B272*40),0))</f>
        <v/>
      </c>
      <c r="F272">
        <f>IF($J272="","",0)</f>
        <v/>
      </c>
      <c r="G272">
        <f>IF($J272="","",SUMIFS('Hours Log'!$E:$E,'Hours Log'!$A:$A,"&gt;="&amp;$J272,'Hours Log'!$A:$A,"&lt;"&amp;$J272+7))</f>
        <v/>
      </c>
      <c r="J272">
        <f>IF(COUNT('Hours Log'!$A$4:$A$5000)=0,"",IF(MIN('Hours Log'!$A$4:$A$5000)+7*(ROW()-10)&gt;MAX('Hours Log'!$A$4:$A$5000),"",MIN('Hours Log'!$A$4:$A$5000)+7*(ROW()-10)))</f>
        <v/>
      </c>
    </row>
    <row r="273">
      <c r="A273">
        <f>IF($J273="","",YEAR($J273-WEEKDAY($J273,2)+4)&amp;"-W"&amp;TEXT(WEEKNUM($J273,21),"00"))</f>
        <v/>
      </c>
      <c r="B273" s="41">
        <f>IF($J273="","",COUNTIFS(Roster!$D$4:$D$500,"Active",Roster!$C$4:$C$500,"&lt;="&amp;$J273))</f>
        <v/>
      </c>
      <c r="C273">
        <f>IF($J273="","",SUMIFS('Hours Log'!$C:$C,'Hours Log'!$A:$A,"&gt;="&amp;$J273,'Hours Log'!$A:$A,"&lt;"&amp;$J273+7)+SUMIFS('Hours Log'!$D:$D,'Hours Log'!$A:$A,"&gt;="&amp;$J273,'Hours Log'!$A:$A,"&lt;"&amp;$J273+7))</f>
        <v/>
      </c>
      <c r="D273">
        <f>IF($J273="","",SUMIFS('Hours Log'!$D:$D,'Hours Log'!$A:$A,"&gt;="&amp;$J273,'Hours Log'!$A:$A,"&lt;"&amp;$J273+7))</f>
        <v/>
      </c>
      <c r="E273">
        <f>IF($J273="","",IFERROR(C273/(B273*40),0))</f>
        <v/>
      </c>
      <c r="F273">
        <f>IF($J273="","",0)</f>
        <v/>
      </c>
      <c r="G273">
        <f>IF($J273="","",SUMIFS('Hours Log'!$E:$E,'Hours Log'!$A:$A,"&gt;="&amp;$J273,'Hours Log'!$A:$A,"&lt;"&amp;$J273+7))</f>
        <v/>
      </c>
      <c r="J273">
        <f>IF(COUNT('Hours Log'!$A$4:$A$5000)=0,"",IF(MIN('Hours Log'!$A$4:$A$5000)+7*(ROW()-10)&gt;MAX('Hours Log'!$A$4:$A$5000),"",MIN('Hours Log'!$A$4:$A$5000)+7*(ROW()-10)))</f>
        <v/>
      </c>
    </row>
    <row r="274">
      <c r="A274">
        <f>IF($J274="","",YEAR($J274-WEEKDAY($J274,2)+4)&amp;"-W"&amp;TEXT(WEEKNUM($J274,21),"00"))</f>
        <v/>
      </c>
      <c r="B274" s="41">
        <f>IF($J274="","",COUNTIFS(Roster!$D$4:$D$500,"Active",Roster!$C$4:$C$500,"&lt;="&amp;$J274))</f>
        <v/>
      </c>
      <c r="C274">
        <f>IF($J274="","",SUMIFS('Hours Log'!$C:$C,'Hours Log'!$A:$A,"&gt;="&amp;$J274,'Hours Log'!$A:$A,"&lt;"&amp;$J274+7)+SUMIFS('Hours Log'!$D:$D,'Hours Log'!$A:$A,"&gt;="&amp;$J274,'Hours Log'!$A:$A,"&lt;"&amp;$J274+7))</f>
        <v/>
      </c>
      <c r="D274">
        <f>IF($J274="","",SUMIFS('Hours Log'!$D:$D,'Hours Log'!$A:$A,"&gt;="&amp;$J274,'Hours Log'!$A:$A,"&lt;"&amp;$J274+7))</f>
        <v/>
      </c>
      <c r="E274">
        <f>IF($J274="","",IFERROR(C274/(B274*40),0))</f>
        <v/>
      </c>
      <c r="F274">
        <f>IF($J274="","",0)</f>
        <v/>
      </c>
      <c r="G274">
        <f>IF($J274="","",SUMIFS('Hours Log'!$E:$E,'Hours Log'!$A:$A,"&gt;="&amp;$J274,'Hours Log'!$A:$A,"&lt;"&amp;$J274+7))</f>
        <v/>
      </c>
      <c r="J274">
        <f>IF(COUNT('Hours Log'!$A$4:$A$5000)=0,"",IF(MIN('Hours Log'!$A$4:$A$5000)+7*(ROW()-10)&gt;MAX('Hours Log'!$A$4:$A$5000),"",MIN('Hours Log'!$A$4:$A$5000)+7*(ROW()-10)))</f>
        <v/>
      </c>
    </row>
    <row r="275">
      <c r="A275">
        <f>IF($J275="","",YEAR($J275-WEEKDAY($J275,2)+4)&amp;"-W"&amp;TEXT(WEEKNUM($J275,21),"00"))</f>
        <v/>
      </c>
      <c r="B275" s="41">
        <f>IF($J275="","",COUNTIFS(Roster!$D$4:$D$500,"Active",Roster!$C$4:$C$500,"&lt;="&amp;$J275))</f>
        <v/>
      </c>
      <c r="C275">
        <f>IF($J275="","",SUMIFS('Hours Log'!$C:$C,'Hours Log'!$A:$A,"&gt;="&amp;$J275,'Hours Log'!$A:$A,"&lt;"&amp;$J275+7)+SUMIFS('Hours Log'!$D:$D,'Hours Log'!$A:$A,"&gt;="&amp;$J275,'Hours Log'!$A:$A,"&lt;"&amp;$J275+7))</f>
        <v/>
      </c>
      <c r="D275">
        <f>IF($J275="","",SUMIFS('Hours Log'!$D:$D,'Hours Log'!$A:$A,"&gt;="&amp;$J275,'Hours Log'!$A:$A,"&lt;"&amp;$J275+7))</f>
        <v/>
      </c>
      <c r="E275">
        <f>IF($J275="","",IFERROR(C275/(B275*40),0))</f>
        <v/>
      </c>
      <c r="F275">
        <f>IF($J275="","",0)</f>
        <v/>
      </c>
      <c r="G275">
        <f>IF($J275="","",SUMIFS('Hours Log'!$E:$E,'Hours Log'!$A:$A,"&gt;="&amp;$J275,'Hours Log'!$A:$A,"&lt;"&amp;$J275+7))</f>
        <v/>
      </c>
      <c r="J275">
        <f>IF(COUNT('Hours Log'!$A$4:$A$5000)=0,"",IF(MIN('Hours Log'!$A$4:$A$5000)+7*(ROW()-10)&gt;MAX('Hours Log'!$A$4:$A$5000),"",MIN('Hours Log'!$A$4:$A$5000)+7*(ROW()-10)))</f>
        <v/>
      </c>
    </row>
    <row r="276">
      <c r="A276">
        <f>IF($J276="","",YEAR($J276-WEEKDAY($J276,2)+4)&amp;"-W"&amp;TEXT(WEEKNUM($J276,21),"00"))</f>
        <v/>
      </c>
      <c r="B276" s="41">
        <f>IF($J276="","",COUNTIFS(Roster!$D$4:$D$500,"Active",Roster!$C$4:$C$500,"&lt;="&amp;$J276))</f>
        <v/>
      </c>
      <c r="C276">
        <f>IF($J276="","",SUMIFS('Hours Log'!$C:$C,'Hours Log'!$A:$A,"&gt;="&amp;$J276,'Hours Log'!$A:$A,"&lt;"&amp;$J276+7)+SUMIFS('Hours Log'!$D:$D,'Hours Log'!$A:$A,"&gt;="&amp;$J276,'Hours Log'!$A:$A,"&lt;"&amp;$J276+7))</f>
        <v/>
      </c>
      <c r="D276">
        <f>IF($J276="","",SUMIFS('Hours Log'!$D:$D,'Hours Log'!$A:$A,"&gt;="&amp;$J276,'Hours Log'!$A:$A,"&lt;"&amp;$J276+7))</f>
        <v/>
      </c>
      <c r="E276">
        <f>IF($J276="","",IFERROR(C276/(B276*40),0))</f>
        <v/>
      </c>
      <c r="F276">
        <f>IF($J276="","",0)</f>
        <v/>
      </c>
      <c r="G276">
        <f>IF($J276="","",SUMIFS('Hours Log'!$E:$E,'Hours Log'!$A:$A,"&gt;="&amp;$J276,'Hours Log'!$A:$A,"&lt;"&amp;$J276+7))</f>
        <v/>
      </c>
      <c r="J276">
        <f>IF(COUNT('Hours Log'!$A$4:$A$5000)=0,"",IF(MIN('Hours Log'!$A$4:$A$5000)+7*(ROW()-10)&gt;MAX('Hours Log'!$A$4:$A$5000),"",MIN('Hours Log'!$A$4:$A$5000)+7*(ROW()-10)))</f>
        <v/>
      </c>
    </row>
    <row r="277">
      <c r="A277">
        <f>IF($J277="","",YEAR($J277-WEEKDAY($J277,2)+4)&amp;"-W"&amp;TEXT(WEEKNUM($J277,21),"00"))</f>
        <v/>
      </c>
      <c r="B277" s="41">
        <f>IF($J277="","",COUNTIFS(Roster!$D$4:$D$500,"Active",Roster!$C$4:$C$500,"&lt;="&amp;$J277))</f>
        <v/>
      </c>
      <c r="C277">
        <f>IF($J277="","",SUMIFS('Hours Log'!$C:$C,'Hours Log'!$A:$A,"&gt;="&amp;$J277,'Hours Log'!$A:$A,"&lt;"&amp;$J277+7)+SUMIFS('Hours Log'!$D:$D,'Hours Log'!$A:$A,"&gt;="&amp;$J277,'Hours Log'!$A:$A,"&lt;"&amp;$J277+7))</f>
        <v/>
      </c>
      <c r="D277">
        <f>IF($J277="","",SUMIFS('Hours Log'!$D:$D,'Hours Log'!$A:$A,"&gt;="&amp;$J277,'Hours Log'!$A:$A,"&lt;"&amp;$J277+7))</f>
        <v/>
      </c>
      <c r="E277">
        <f>IF($J277="","",IFERROR(C277/(B277*40),0))</f>
        <v/>
      </c>
      <c r="F277">
        <f>IF($J277="","",0)</f>
        <v/>
      </c>
      <c r="G277">
        <f>IF($J277="","",SUMIFS('Hours Log'!$E:$E,'Hours Log'!$A:$A,"&gt;="&amp;$J277,'Hours Log'!$A:$A,"&lt;"&amp;$J277+7))</f>
        <v/>
      </c>
      <c r="J277">
        <f>IF(COUNT('Hours Log'!$A$4:$A$5000)=0,"",IF(MIN('Hours Log'!$A$4:$A$5000)+7*(ROW()-10)&gt;MAX('Hours Log'!$A$4:$A$5000),"",MIN('Hours Log'!$A$4:$A$5000)+7*(ROW()-10)))</f>
        <v/>
      </c>
    </row>
    <row r="278">
      <c r="A278">
        <f>IF($J278="","",YEAR($J278-WEEKDAY($J278,2)+4)&amp;"-W"&amp;TEXT(WEEKNUM($J278,21),"00"))</f>
        <v/>
      </c>
      <c r="B278" s="41">
        <f>IF($J278="","",COUNTIFS(Roster!$D$4:$D$500,"Active",Roster!$C$4:$C$500,"&lt;="&amp;$J278))</f>
        <v/>
      </c>
      <c r="C278">
        <f>IF($J278="","",SUMIFS('Hours Log'!$C:$C,'Hours Log'!$A:$A,"&gt;="&amp;$J278,'Hours Log'!$A:$A,"&lt;"&amp;$J278+7)+SUMIFS('Hours Log'!$D:$D,'Hours Log'!$A:$A,"&gt;="&amp;$J278,'Hours Log'!$A:$A,"&lt;"&amp;$J278+7))</f>
        <v/>
      </c>
      <c r="D278">
        <f>IF($J278="","",SUMIFS('Hours Log'!$D:$D,'Hours Log'!$A:$A,"&gt;="&amp;$J278,'Hours Log'!$A:$A,"&lt;"&amp;$J278+7))</f>
        <v/>
      </c>
      <c r="E278">
        <f>IF($J278="","",IFERROR(C278/(B278*40),0))</f>
        <v/>
      </c>
      <c r="F278">
        <f>IF($J278="","",0)</f>
        <v/>
      </c>
      <c r="G278">
        <f>IF($J278="","",SUMIFS('Hours Log'!$E:$E,'Hours Log'!$A:$A,"&gt;="&amp;$J278,'Hours Log'!$A:$A,"&lt;"&amp;$J278+7))</f>
        <v/>
      </c>
      <c r="J278">
        <f>IF(COUNT('Hours Log'!$A$4:$A$5000)=0,"",IF(MIN('Hours Log'!$A$4:$A$5000)+7*(ROW()-10)&gt;MAX('Hours Log'!$A$4:$A$5000),"",MIN('Hours Log'!$A$4:$A$5000)+7*(ROW()-10)))</f>
        <v/>
      </c>
    </row>
    <row r="279">
      <c r="A279">
        <f>IF($J279="","",YEAR($J279-WEEKDAY($J279,2)+4)&amp;"-W"&amp;TEXT(WEEKNUM($J279,21),"00"))</f>
        <v/>
      </c>
      <c r="B279" s="41">
        <f>IF($J279="","",COUNTIFS(Roster!$D$4:$D$500,"Active",Roster!$C$4:$C$500,"&lt;="&amp;$J279))</f>
        <v/>
      </c>
      <c r="C279">
        <f>IF($J279="","",SUMIFS('Hours Log'!$C:$C,'Hours Log'!$A:$A,"&gt;="&amp;$J279,'Hours Log'!$A:$A,"&lt;"&amp;$J279+7)+SUMIFS('Hours Log'!$D:$D,'Hours Log'!$A:$A,"&gt;="&amp;$J279,'Hours Log'!$A:$A,"&lt;"&amp;$J279+7))</f>
        <v/>
      </c>
      <c r="D279">
        <f>IF($J279="","",SUMIFS('Hours Log'!$D:$D,'Hours Log'!$A:$A,"&gt;="&amp;$J279,'Hours Log'!$A:$A,"&lt;"&amp;$J279+7))</f>
        <v/>
      </c>
      <c r="E279">
        <f>IF($J279="","",IFERROR(C279/(B279*40),0))</f>
        <v/>
      </c>
      <c r="F279">
        <f>IF($J279="","",0)</f>
        <v/>
      </c>
      <c r="G279">
        <f>IF($J279="","",SUMIFS('Hours Log'!$E:$E,'Hours Log'!$A:$A,"&gt;="&amp;$J279,'Hours Log'!$A:$A,"&lt;"&amp;$J279+7))</f>
        <v/>
      </c>
      <c r="J279">
        <f>IF(COUNT('Hours Log'!$A$4:$A$5000)=0,"",IF(MIN('Hours Log'!$A$4:$A$5000)+7*(ROW()-10)&gt;MAX('Hours Log'!$A$4:$A$5000),"",MIN('Hours Log'!$A$4:$A$5000)+7*(ROW()-10)))</f>
        <v/>
      </c>
    </row>
    <row r="280">
      <c r="A280">
        <f>IF($J280="","",YEAR($J280-WEEKDAY($J280,2)+4)&amp;"-W"&amp;TEXT(WEEKNUM($J280,21),"00"))</f>
        <v/>
      </c>
      <c r="B280" s="41">
        <f>IF($J280="","",COUNTIFS(Roster!$D$4:$D$500,"Active",Roster!$C$4:$C$500,"&lt;="&amp;$J280))</f>
        <v/>
      </c>
      <c r="C280">
        <f>IF($J280="","",SUMIFS('Hours Log'!$C:$C,'Hours Log'!$A:$A,"&gt;="&amp;$J280,'Hours Log'!$A:$A,"&lt;"&amp;$J280+7)+SUMIFS('Hours Log'!$D:$D,'Hours Log'!$A:$A,"&gt;="&amp;$J280,'Hours Log'!$A:$A,"&lt;"&amp;$J280+7))</f>
        <v/>
      </c>
      <c r="D280">
        <f>IF($J280="","",SUMIFS('Hours Log'!$D:$D,'Hours Log'!$A:$A,"&gt;="&amp;$J280,'Hours Log'!$A:$A,"&lt;"&amp;$J280+7))</f>
        <v/>
      </c>
      <c r="E280">
        <f>IF($J280="","",IFERROR(C280/(B280*40),0))</f>
        <v/>
      </c>
      <c r="F280">
        <f>IF($J280="","",0)</f>
        <v/>
      </c>
      <c r="G280">
        <f>IF($J280="","",SUMIFS('Hours Log'!$E:$E,'Hours Log'!$A:$A,"&gt;="&amp;$J280,'Hours Log'!$A:$A,"&lt;"&amp;$J280+7))</f>
        <v/>
      </c>
      <c r="J280">
        <f>IF(COUNT('Hours Log'!$A$4:$A$5000)=0,"",IF(MIN('Hours Log'!$A$4:$A$5000)+7*(ROW()-10)&gt;MAX('Hours Log'!$A$4:$A$5000),"",MIN('Hours Log'!$A$4:$A$5000)+7*(ROW()-10)))</f>
        <v/>
      </c>
    </row>
    <row r="281">
      <c r="A281">
        <f>IF($J281="","",YEAR($J281-WEEKDAY($J281,2)+4)&amp;"-W"&amp;TEXT(WEEKNUM($J281,21),"00"))</f>
        <v/>
      </c>
      <c r="B281" s="41">
        <f>IF($J281="","",COUNTIFS(Roster!$D$4:$D$500,"Active",Roster!$C$4:$C$500,"&lt;="&amp;$J281))</f>
        <v/>
      </c>
      <c r="C281">
        <f>IF($J281="","",SUMIFS('Hours Log'!$C:$C,'Hours Log'!$A:$A,"&gt;="&amp;$J281,'Hours Log'!$A:$A,"&lt;"&amp;$J281+7)+SUMIFS('Hours Log'!$D:$D,'Hours Log'!$A:$A,"&gt;="&amp;$J281,'Hours Log'!$A:$A,"&lt;"&amp;$J281+7))</f>
        <v/>
      </c>
      <c r="D281">
        <f>IF($J281="","",SUMIFS('Hours Log'!$D:$D,'Hours Log'!$A:$A,"&gt;="&amp;$J281,'Hours Log'!$A:$A,"&lt;"&amp;$J281+7))</f>
        <v/>
      </c>
      <c r="E281">
        <f>IF($J281="","",IFERROR(C281/(B281*40),0))</f>
        <v/>
      </c>
      <c r="F281">
        <f>IF($J281="","",0)</f>
        <v/>
      </c>
      <c r="G281">
        <f>IF($J281="","",SUMIFS('Hours Log'!$E:$E,'Hours Log'!$A:$A,"&gt;="&amp;$J281,'Hours Log'!$A:$A,"&lt;"&amp;$J281+7))</f>
        <v/>
      </c>
      <c r="J281">
        <f>IF(COUNT('Hours Log'!$A$4:$A$5000)=0,"",IF(MIN('Hours Log'!$A$4:$A$5000)+7*(ROW()-10)&gt;MAX('Hours Log'!$A$4:$A$5000),"",MIN('Hours Log'!$A$4:$A$5000)+7*(ROW()-10)))</f>
        <v/>
      </c>
    </row>
    <row r="282">
      <c r="A282">
        <f>IF($J282="","",YEAR($J282-WEEKDAY($J282,2)+4)&amp;"-W"&amp;TEXT(WEEKNUM($J282,21),"00"))</f>
        <v/>
      </c>
      <c r="B282" s="41">
        <f>IF($J282="","",COUNTIFS(Roster!$D$4:$D$500,"Active",Roster!$C$4:$C$500,"&lt;="&amp;$J282))</f>
        <v/>
      </c>
      <c r="C282">
        <f>IF($J282="","",SUMIFS('Hours Log'!$C:$C,'Hours Log'!$A:$A,"&gt;="&amp;$J282,'Hours Log'!$A:$A,"&lt;"&amp;$J282+7)+SUMIFS('Hours Log'!$D:$D,'Hours Log'!$A:$A,"&gt;="&amp;$J282,'Hours Log'!$A:$A,"&lt;"&amp;$J282+7))</f>
        <v/>
      </c>
      <c r="D282">
        <f>IF($J282="","",SUMIFS('Hours Log'!$D:$D,'Hours Log'!$A:$A,"&gt;="&amp;$J282,'Hours Log'!$A:$A,"&lt;"&amp;$J282+7))</f>
        <v/>
      </c>
      <c r="E282">
        <f>IF($J282="","",IFERROR(C282/(B282*40),0))</f>
        <v/>
      </c>
      <c r="F282">
        <f>IF($J282="","",0)</f>
        <v/>
      </c>
      <c r="G282">
        <f>IF($J282="","",SUMIFS('Hours Log'!$E:$E,'Hours Log'!$A:$A,"&gt;="&amp;$J282,'Hours Log'!$A:$A,"&lt;"&amp;$J282+7))</f>
        <v/>
      </c>
      <c r="J282">
        <f>IF(COUNT('Hours Log'!$A$4:$A$5000)=0,"",IF(MIN('Hours Log'!$A$4:$A$5000)+7*(ROW()-10)&gt;MAX('Hours Log'!$A$4:$A$5000),"",MIN('Hours Log'!$A$4:$A$5000)+7*(ROW()-10)))</f>
        <v/>
      </c>
    </row>
    <row r="283">
      <c r="A283">
        <f>IF($J283="","",YEAR($J283-WEEKDAY($J283,2)+4)&amp;"-W"&amp;TEXT(WEEKNUM($J283,21),"00"))</f>
        <v/>
      </c>
      <c r="B283" s="41">
        <f>IF($J283="","",COUNTIFS(Roster!$D$4:$D$500,"Active",Roster!$C$4:$C$500,"&lt;="&amp;$J283))</f>
        <v/>
      </c>
      <c r="C283">
        <f>IF($J283="","",SUMIFS('Hours Log'!$C:$C,'Hours Log'!$A:$A,"&gt;="&amp;$J283,'Hours Log'!$A:$A,"&lt;"&amp;$J283+7)+SUMIFS('Hours Log'!$D:$D,'Hours Log'!$A:$A,"&gt;="&amp;$J283,'Hours Log'!$A:$A,"&lt;"&amp;$J283+7))</f>
        <v/>
      </c>
      <c r="D283">
        <f>IF($J283="","",SUMIFS('Hours Log'!$D:$D,'Hours Log'!$A:$A,"&gt;="&amp;$J283,'Hours Log'!$A:$A,"&lt;"&amp;$J283+7))</f>
        <v/>
      </c>
      <c r="E283">
        <f>IF($J283="","",IFERROR(C283/(B283*40),0))</f>
        <v/>
      </c>
      <c r="F283">
        <f>IF($J283="","",0)</f>
        <v/>
      </c>
      <c r="G283">
        <f>IF($J283="","",SUMIFS('Hours Log'!$E:$E,'Hours Log'!$A:$A,"&gt;="&amp;$J283,'Hours Log'!$A:$A,"&lt;"&amp;$J283+7))</f>
        <v/>
      </c>
      <c r="J283">
        <f>IF(COUNT('Hours Log'!$A$4:$A$5000)=0,"",IF(MIN('Hours Log'!$A$4:$A$5000)+7*(ROW()-10)&gt;MAX('Hours Log'!$A$4:$A$5000),"",MIN('Hours Log'!$A$4:$A$5000)+7*(ROW()-10)))</f>
        <v/>
      </c>
    </row>
    <row r="284">
      <c r="A284">
        <f>IF($J284="","",YEAR($J284-WEEKDAY($J284,2)+4)&amp;"-W"&amp;TEXT(WEEKNUM($J284,21),"00"))</f>
        <v/>
      </c>
      <c r="B284" s="41">
        <f>IF($J284="","",COUNTIFS(Roster!$D$4:$D$500,"Active",Roster!$C$4:$C$500,"&lt;="&amp;$J284))</f>
        <v/>
      </c>
      <c r="C284">
        <f>IF($J284="","",SUMIFS('Hours Log'!$C:$C,'Hours Log'!$A:$A,"&gt;="&amp;$J284,'Hours Log'!$A:$A,"&lt;"&amp;$J284+7)+SUMIFS('Hours Log'!$D:$D,'Hours Log'!$A:$A,"&gt;="&amp;$J284,'Hours Log'!$A:$A,"&lt;"&amp;$J284+7))</f>
        <v/>
      </c>
      <c r="D284">
        <f>IF($J284="","",SUMIFS('Hours Log'!$D:$D,'Hours Log'!$A:$A,"&gt;="&amp;$J284,'Hours Log'!$A:$A,"&lt;"&amp;$J284+7))</f>
        <v/>
      </c>
      <c r="E284">
        <f>IF($J284="","",IFERROR(C284/(B284*40),0))</f>
        <v/>
      </c>
      <c r="F284">
        <f>IF($J284="","",0)</f>
        <v/>
      </c>
      <c r="G284">
        <f>IF($J284="","",SUMIFS('Hours Log'!$E:$E,'Hours Log'!$A:$A,"&gt;="&amp;$J284,'Hours Log'!$A:$A,"&lt;"&amp;$J284+7))</f>
        <v/>
      </c>
      <c r="J284">
        <f>IF(COUNT('Hours Log'!$A$4:$A$5000)=0,"",IF(MIN('Hours Log'!$A$4:$A$5000)+7*(ROW()-10)&gt;MAX('Hours Log'!$A$4:$A$5000),"",MIN('Hours Log'!$A$4:$A$5000)+7*(ROW()-10)))</f>
        <v/>
      </c>
    </row>
    <row r="285">
      <c r="A285">
        <f>IF($J285="","",YEAR($J285-WEEKDAY($J285,2)+4)&amp;"-W"&amp;TEXT(WEEKNUM($J285,21),"00"))</f>
        <v/>
      </c>
      <c r="B285" s="41">
        <f>IF($J285="","",COUNTIFS(Roster!$D$4:$D$500,"Active",Roster!$C$4:$C$500,"&lt;="&amp;$J285))</f>
        <v/>
      </c>
      <c r="C285">
        <f>IF($J285="","",SUMIFS('Hours Log'!$C:$C,'Hours Log'!$A:$A,"&gt;="&amp;$J285,'Hours Log'!$A:$A,"&lt;"&amp;$J285+7)+SUMIFS('Hours Log'!$D:$D,'Hours Log'!$A:$A,"&gt;="&amp;$J285,'Hours Log'!$A:$A,"&lt;"&amp;$J285+7))</f>
        <v/>
      </c>
      <c r="D285">
        <f>IF($J285="","",SUMIFS('Hours Log'!$D:$D,'Hours Log'!$A:$A,"&gt;="&amp;$J285,'Hours Log'!$A:$A,"&lt;"&amp;$J285+7))</f>
        <v/>
      </c>
      <c r="E285">
        <f>IF($J285="","",IFERROR(C285/(B285*40),0))</f>
        <v/>
      </c>
      <c r="F285">
        <f>IF($J285="","",0)</f>
        <v/>
      </c>
      <c r="G285">
        <f>IF($J285="","",SUMIFS('Hours Log'!$E:$E,'Hours Log'!$A:$A,"&gt;="&amp;$J285,'Hours Log'!$A:$A,"&lt;"&amp;$J285+7))</f>
        <v/>
      </c>
      <c r="J285">
        <f>IF(COUNT('Hours Log'!$A$4:$A$5000)=0,"",IF(MIN('Hours Log'!$A$4:$A$5000)+7*(ROW()-10)&gt;MAX('Hours Log'!$A$4:$A$5000),"",MIN('Hours Log'!$A$4:$A$5000)+7*(ROW()-10)))</f>
        <v/>
      </c>
    </row>
    <row r="286">
      <c r="A286">
        <f>IF($J286="","",YEAR($J286-WEEKDAY($J286,2)+4)&amp;"-W"&amp;TEXT(WEEKNUM($J286,21),"00"))</f>
        <v/>
      </c>
      <c r="B286" s="41">
        <f>IF($J286="","",COUNTIFS(Roster!$D$4:$D$500,"Active",Roster!$C$4:$C$500,"&lt;="&amp;$J286))</f>
        <v/>
      </c>
      <c r="C286">
        <f>IF($J286="","",SUMIFS('Hours Log'!$C:$C,'Hours Log'!$A:$A,"&gt;="&amp;$J286,'Hours Log'!$A:$A,"&lt;"&amp;$J286+7)+SUMIFS('Hours Log'!$D:$D,'Hours Log'!$A:$A,"&gt;="&amp;$J286,'Hours Log'!$A:$A,"&lt;"&amp;$J286+7))</f>
        <v/>
      </c>
      <c r="D286">
        <f>IF($J286="","",SUMIFS('Hours Log'!$D:$D,'Hours Log'!$A:$A,"&gt;="&amp;$J286,'Hours Log'!$A:$A,"&lt;"&amp;$J286+7))</f>
        <v/>
      </c>
      <c r="E286">
        <f>IF($J286="","",IFERROR(C286/(B286*40),0))</f>
        <v/>
      </c>
      <c r="F286">
        <f>IF($J286="","",0)</f>
        <v/>
      </c>
      <c r="G286">
        <f>IF($J286="","",SUMIFS('Hours Log'!$E:$E,'Hours Log'!$A:$A,"&gt;="&amp;$J286,'Hours Log'!$A:$A,"&lt;"&amp;$J286+7))</f>
        <v/>
      </c>
      <c r="J286">
        <f>IF(COUNT('Hours Log'!$A$4:$A$5000)=0,"",IF(MIN('Hours Log'!$A$4:$A$5000)+7*(ROW()-10)&gt;MAX('Hours Log'!$A$4:$A$5000),"",MIN('Hours Log'!$A$4:$A$5000)+7*(ROW()-10)))</f>
        <v/>
      </c>
    </row>
    <row r="287">
      <c r="A287">
        <f>IF($J287="","",YEAR($J287-WEEKDAY($J287,2)+4)&amp;"-W"&amp;TEXT(WEEKNUM($J287,21),"00"))</f>
        <v/>
      </c>
      <c r="B287" s="41">
        <f>IF($J287="","",COUNTIFS(Roster!$D$4:$D$500,"Active",Roster!$C$4:$C$500,"&lt;="&amp;$J287))</f>
        <v/>
      </c>
      <c r="C287">
        <f>IF($J287="","",SUMIFS('Hours Log'!$C:$C,'Hours Log'!$A:$A,"&gt;="&amp;$J287,'Hours Log'!$A:$A,"&lt;"&amp;$J287+7)+SUMIFS('Hours Log'!$D:$D,'Hours Log'!$A:$A,"&gt;="&amp;$J287,'Hours Log'!$A:$A,"&lt;"&amp;$J287+7))</f>
        <v/>
      </c>
      <c r="D287">
        <f>IF($J287="","",SUMIFS('Hours Log'!$D:$D,'Hours Log'!$A:$A,"&gt;="&amp;$J287,'Hours Log'!$A:$A,"&lt;"&amp;$J287+7))</f>
        <v/>
      </c>
      <c r="E287">
        <f>IF($J287="","",IFERROR(C287/(B287*40),0))</f>
        <v/>
      </c>
      <c r="F287">
        <f>IF($J287="","",0)</f>
        <v/>
      </c>
      <c r="G287">
        <f>IF($J287="","",SUMIFS('Hours Log'!$E:$E,'Hours Log'!$A:$A,"&gt;="&amp;$J287,'Hours Log'!$A:$A,"&lt;"&amp;$J287+7))</f>
        <v/>
      </c>
      <c r="J287">
        <f>IF(COUNT('Hours Log'!$A$4:$A$5000)=0,"",IF(MIN('Hours Log'!$A$4:$A$5000)+7*(ROW()-10)&gt;MAX('Hours Log'!$A$4:$A$5000),"",MIN('Hours Log'!$A$4:$A$5000)+7*(ROW()-10)))</f>
        <v/>
      </c>
    </row>
    <row r="288">
      <c r="A288">
        <f>IF($J288="","",YEAR($J288-WEEKDAY($J288,2)+4)&amp;"-W"&amp;TEXT(WEEKNUM($J288,21),"00"))</f>
        <v/>
      </c>
      <c r="B288" s="41">
        <f>IF($J288="","",COUNTIFS(Roster!$D$4:$D$500,"Active",Roster!$C$4:$C$500,"&lt;="&amp;$J288))</f>
        <v/>
      </c>
      <c r="C288">
        <f>IF($J288="","",SUMIFS('Hours Log'!$C:$C,'Hours Log'!$A:$A,"&gt;="&amp;$J288,'Hours Log'!$A:$A,"&lt;"&amp;$J288+7)+SUMIFS('Hours Log'!$D:$D,'Hours Log'!$A:$A,"&gt;="&amp;$J288,'Hours Log'!$A:$A,"&lt;"&amp;$J288+7))</f>
        <v/>
      </c>
      <c r="D288">
        <f>IF($J288="","",SUMIFS('Hours Log'!$D:$D,'Hours Log'!$A:$A,"&gt;="&amp;$J288,'Hours Log'!$A:$A,"&lt;"&amp;$J288+7))</f>
        <v/>
      </c>
      <c r="E288">
        <f>IF($J288="","",IFERROR(C288/(B288*40),0))</f>
        <v/>
      </c>
      <c r="F288">
        <f>IF($J288="","",0)</f>
        <v/>
      </c>
      <c r="G288">
        <f>IF($J288="","",SUMIFS('Hours Log'!$E:$E,'Hours Log'!$A:$A,"&gt;="&amp;$J288,'Hours Log'!$A:$A,"&lt;"&amp;$J288+7))</f>
        <v/>
      </c>
      <c r="J288">
        <f>IF(COUNT('Hours Log'!$A$4:$A$5000)=0,"",IF(MIN('Hours Log'!$A$4:$A$5000)+7*(ROW()-10)&gt;MAX('Hours Log'!$A$4:$A$5000),"",MIN('Hours Log'!$A$4:$A$5000)+7*(ROW()-10)))</f>
        <v/>
      </c>
    </row>
    <row r="289">
      <c r="A289">
        <f>IF($J289="","",YEAR($J289-WEEKDAY($J289,2)+4)&amp;"-W"&amp;TEXT(WEEKNUM($J289,21),"00"))</f>
        <v/>
      </c>
      <c r="B289" s="41">
        <f>IF($J289="","",COUNTIFS(Roster!$D$4:$D$500,"Active",Roster!$C$4:$C$500,"&lt;="&amp;$J289))</f>
        <v/>
      </c>
      <c r="C289">
        <f>IF($J289="","",SUMIFS('Hours Log'!$C:$C,'Hours Log'!$A:$A,"&gt;="&amp;$J289,'Hours Log'!$A:$A,"&lt;"&amp;$J289+7)+SUMIFS('Hours Log'!$D:$D,'Hours Log'!$A:$A,"&gt;="&amp;$J289,'Hours Log'!$A:$A,"&lt;"&amp;$J289+7))</f>
        <v/>
      </c>
      <c r="D289">
        <f>IF($J289="","",SUMIFS('Hours Log'!$D:$D,'Hours Log'!$A:$A,"&gt;="&amp;$J289,'Hours Log'!$A:$A,"&lt;"&amp;$J289+7))</f>
        <v/>
      </c>
      <c r="E289">
        <f>IF($J289="","",IFERROR(C289/(B289*40),0))</f>
        <v/>
      </c>
      <c r="F289">
        <f>IF($J289="","",0)</f>
        <v/>
      </c>
      <c r="G289">
        <f>IF($J289="","",SUMIFS('Hours Log'!$E:$E,'Hours Log'!$A:$A,"&gt;="&amp;$J289,'Hours Log'!$A:$A,"&lt;"&amp;$J289+7))</f>
        <v/>
      </c>
      <c r="J289">
        <f>IF(COUNT('Hours Log'!$A$4:$A$5000)=0,"",IF(MIN('Hours Log'!$A$4:$A$5000)+7*(ROW()-10)&gt;MAX('Hours Log'!$A$4:$A$5000),"",MIN('Hours Log'!$A$4:$A$5000)+7*(ROW()-10)))</f>
        <v/>
      </c>
    </row>
    <row r="290">
      <c r="A290">
        <f>IF($J290="","",YEAR($J290-WEEKDAY($J290,2)+4)&amp;"-W"&amp;TEXT(WEEKNUM($J290,21),"00"))</f>
        <v/>
      </c>
      <c r="B290" s="41">
        <f>IF($J290="","",COUNTIFS(Roster!$D$4:$D$500,"Active",Roster!$C$4:$C$500,"&lt;="&amp;$J290))</f>
        <v/>
      </c>
      <c r="C290">
        <f>IF($J290="","",SUMIFS('Hours Log'!$C:$C,'Hours Log'!$A:$A,"&gt;="&amp;$J290,'Hours Log'!$A:$A,"&lt;"&amp;$J290+7)+SUMIFS('Hours Log'!$D:$D,'Hours Log'!$A:$A,"&gt;="&amp;$J290,'Hours Log'!$A:$A,"&lt;"&amp;$J290+7))</f>
        <v/>
      </c>
      <c r="D290">
        <f>IF($J290="","",SUMIFS('Hours Log'!$D:$D,'Hours Log'!$A:$A,"&gt;="&amp;$J290,'Hours Log'!$A:$A,"&lt;"&amp;$J290+7))</f>
        <v/>
      </c>
      <c r="E290">
        <f>IF($J290="","",IFERROR(C290/(B290*40),0))</f>
        <v/>
      </c>
      <c r="F290">
        <f>IF($J290="","",0)</f>
        <v/>
      </c>
      <c r="G290">
        <f>IF($J290="","",SUMIFS('Hours Log'!$E:$E,'Hours Log'!$A:$A,"&gt;="&amp;$J290,'Hours Log'!$A:$A,"&lt;"&amp;$J290+7))</f>
        <v/>
      </c>
      <c r="J290">
        <f>IF(COUNT('Hours Log'!$A$4:$A$5000)=0,"",IF(MIN('Hours Log'!$A$4:$A$5000)+7*(ROW()-10)&gt;MAX('Hours Log'!$A$4:$A$5000),"",MIN('Hours Log'!$A$4:$A$5000)+7*(ROW()-10)))</f>
        <v/>
      </c>
    </row>
    <row r="291">
      <c r="A291">
        <f>IF($J291="","",YEAR($J291-WEEKDAY($J291,2)+4)&amp;"-W"&amp;TEXT(WEEKNUM($J291,21),"00"))</f>
        <v/>
      </c>
      <c r="B291" s="41">
        <f>IF($J291="","",COUNTIFS(Roster!$D$4:$D$500,"Active",Roster!$C$4:$C$500,"&lt;="&amp;$J291))</f>
        <v/>
      </c>
      <c r="C291">
        <f>IF($J291="","",SUMIFS('Hours Log'!$C:$C,'Hours Log'!$A:$A,"&gt;="&amp;$J291,'Hours Log'!$A:$A,"&lt;"&amp;$J291+7)+SUMIFS('Hours Log'!$D:$D,'Hours Log'!$A:$A,"&gt;="&amp;$J291,'Hours Log'!$A:$A,"&lt;"&amp;$J291+7))</f>
        <v/>
      </c>
      <c r="D291">
        <f>IF($J291="","",SUMIFS('Hours Log'!$D:$D,'Hours Log'!$A:$A,"&gt;="&amp;$J291,'Hours Log'!$A:$A,"&lt;"&amp;$J291+7))</f>
        <v/>
      </c>
      <c r="E291">
        <f>IF($J291="","",IFERROR(C291/(B291*40),0))</f>
        <v/>
      </c>
      <c r="F291">
        <f>IF($J291="","",0)</f>
        <v/>
      </c>
      <c r="G291">
        <f>IF($J291="","",SUMIFS('Hours Log'!$E:$E,'Hours Log'!$A:$A,"&gt;="&amp;$J291,'Hours Log'!$A:$A,"&lt;"&amp;$J291+7))</f>
        <v/>
      </c>
      <c r="J291">
        <f>IF(COUNT('Hours Log'!$A$4:$A$5000)=0,"",IF(MIN('Hours Log'!$A$4:$A$5000)+7*(ROW()-10)&gt;MAX('Hours Log'!$A$4:$A$5000),"",MIN('Hours Log'!$A$4:$A$5000)+7*(ROW()-10)))</f>
        <v/>
      </c>
    </row>
    <row r="292">
      <c r="A292">
        <f>IF($J292="","",YEAR($J292-WEEKDAY($J292,2)+4)&amp;"-W"&amp;TEXT(WEEKNUM($J292,21),"00"))</f>
        <v/>
      </c>
      <c r="B292" s="41">
        <f>IF($J292="","",COUNTIFS(Roster!$D$4:$D$500,"Active",Roster!$C$4:$C$500,"&lt;="&amp;$J292))</f>
        <v/>
      </c>
      <c r="C292">
        <f>IF($J292="","",SUMIFS('Hours Log'!$C:$C,'Hours Log'!$A:$A,"&gt;="&amp;$J292,'Hours Log'!$A:$A,"&lt;"&amp;$J292+7)+SUMIFS('Hours Log'!$D:$D,'Hours Log'!$A:$A,"&gt;="&amp;$J292,'Hours Log'!$A:$A,"&lt;"&amp;$J292+7))</f>
        <v/>
      </c>
      <c r="D292">
        <f>IF($J292="","",SUMIFS('Hours Log'!$D:$D,'Hours Log'!$A:$A,"&gt;="&amp;$J292,'Hours Log'!$A:$A,"&lt;"&amp;$J292+7))</f>
        <v/>
      </c>
      <c r="E292">
        <f>IF($J292="","",IFERROR(C292/(B292*40),0))</f>
        <v/>
      </c>
      <c r="F292">
        <f>IF($J292="","",0)</f>
        <v/>
      </c>
      <c r="G292">
        <f>IF($J292="","",SUMIFS('Hours Log'!$E:$E,'Hours Log'!$A:$A,"&gt;="&amp;$J292,'Hours Log'!$A:$A,"&lt;"&amp;$J292+7))</f>
        <v/>
      </c>
      <c r="J292">
        <f>IF(COUNT('Hours Log'!$A$4:$A$5000)=0,"",IF(MIN('Hours Log'!$A$4:$A$5000)+7*(ROW()-10)&gt;MAX('Hours Log'!$A$4:$A$5000),"",MIN('Hours Log'!$A$4:$A$5000)+7*(ROW()-10)))</f>
        <v/>
      </c>
    </row>
    <row r="293">
      <c r="A293">
        <f>IF($J293="","",YEAR($J293-WEEKDAY($J293,2)+4)&amp;"-W"&amp;TEXT(WEEKNUM($J293,21),"00"))</f>
        <v/>
      </c>
      <c r="B293" s="41">
        <f>IF($J293="","",COUNTIFS(Roster!$D$4:$D$500,"Active",Roster!$C$4:$C$500,"&lt;="&amp;$J293))</f>
        <v/>
      </c>
      <c r="C293">
        <f>IF($J293="","",SUMIFS('Hours Log'!$C:$C,'Hours Log'!$A:$A,"&gt;="&amp;$J293,'Hours Log'!$A:$A,"&lt;"&amp;$J293+7)+SUMIFS('Hours Log'!$D:$D,'Hours Log'!$A:$A,"&gt;="&amp;$J293,'Hours Log'!$A:$A,"&lt;"&amp;$J293+7))</f>
        <v/>
      </c>
      <c r="D293">
        <f>IF($J293="","",SUMIFS('Hours Log'!$D:$D,'Hours Log'!$A:$A,"&gt;="&amp;$J293,'Hours Log'!$A:$A,"&lt;"&amp;$J293+7))</f>
        <v/>
      </c>
      <c r="E293">
        <f>IF($J293="","",IFERROR(C293/(B293*40),0))</f>
        <v/>
      </c>
      <c r="F293">
        <f>IF($J293="","",0)</f>
        <v/>
      </c>
      <c r="G293">
        <f>IF($J293="","",SUMIFS('Hours Log'!$E:$E,'Hours Log'!$A:$A,"&gt;="&amp;$J293,'Hours Log'!$A:$A,"&lt;"&amp;$J293+7))</f>
        <v/>
      </c>
      <c r="J293">
        <f>IF(COUNT('Hours Log'!$A$4:$A$5000)=0,"",IF(MIN('Hours Log'!$A$4:$A$5000)+7*(ROW()-10)&gt;MAX('Hours Log'!$A$4:$A$5000),"",MIN('Hours Log'!$A$4:$A$5000)+7*(ROW()-10)))</f>
        <v/>
      </c>
    </row>
    <row r="294">
      <c r="A294">
        <f>IF($J294="","",YEAR($J294-WEEKDAY($J294,2)+4)&amp;"-W"&amp;TEXT(WEEKNUM($J294,21),"00"))</f>
        <v/>
      </c>
      <c r="B294" s="41">
        <f>IF($J294="","",COUNTIFS(Roster!$D$4:$D$500,"Active",Roster!$C$4:$C$500,"&lt;="&amp;$J294))</f>
        <v/>
      </c>
      <c r="C294">
        <f>IF($J294="","",SUMIFS('Hours Log'!$C:$C,'Hours Log'!$A:$A,"&gt;="&amp;$J294,'Hours Log'!$A:$A,"&lt;"&amp;$J294+7)+SUMIFS('Hours Log'!$D:$D,'Hours Log'!$A:$A,"&gt;="&amp;$J294,'Hours Log'!$A:$A,"&lt;"&amp;$J294+7))</f>
        <v/>
      </c>
      <c r="D294">
        <f>IF($J294="","",SUMIFS('Hours Log'!$D:$D,'Hours Log'!$A:$A,"&gt;="&amp;$J294,'Hours Log'!$A:$A,"&lt;"&amp;$J294+7))</f>
        <v/>
      </c>
      <c r="E294">
        <f>IF($J294="","",IFERROR(C294/(B294*40),0))</f>
        <v/>
      </c>
      <c r="F294">
        <f>IF($J294="","",0)</f>
        <v/>
      </c>
      <c r="G294">
        <f>IF($J294="","",SUMIFS('Hours Log'!$E:$E,'Hours Log'!$A:$A,"&gt;="&amp;$J294,'Hours Log'!$A:$A,"&lt;"&amp;$J294+7))</f>
        <v/>
      </c>
      <c r="J294">
        <f>IF(COUNT('Hours Log'!$A$4:$A$5000)=0,"",IF(MIN('Hours Log'!$A$4:$A$5000)+7*(ROW()-10)&gt;MAX('Hours Log'!$A$4:$A$5000),"",MIN('Hours Log'!$A$4:$A$5000)+7*(ROW()-10)))</f>
        <v/>
      </c>
    </row>
    <row r="295">
      <c r="A295">
        <f>IF($J295="","",YEAR($J295-WEEKDAY($J295,2)+4)&amp;"-W"&amp;TEXT(WEEKNUM($J295,21),"00"))</f>
        <v/>
      </c>
      <c r="B295" s="41">
        <f>IF($J295="","",COUNTIFS(Roster!$D$4:$D$500,"Active",Roster!$C$4:$C$500,"&lt;="&amp;$J295))</f>
        <v/>
      </c>
      <c r="C295">
        <f>IF($J295="","",SUMIFS('Hours Log'!$C:$C,'Hours Log'!$A:$A,"&gt;="&amp;$J295,'Hours Log'!$A:$A,"&lt;"&amp;$J295+7)+SUMIFS('Hours Log'!$D:$D,'Hours Log'!$A:$A,"&gt;="&amp;$J295,'Hours Log'!$A:$A,"&lt;"&amp;$J295+7))</f>
        <v/>
      </c>
      <c r="D295">
        <f>IF($J295="","",SUMIFS('Hours Log'!$D:$D,'Hours Log'!$A:$A,"&gt;="&amp;$J295,'Hours Log'!$A:$A,"&lt;"&amp;$J295+7))</f>
        <v/>
      </c>
      <c r="E295">
        <f>IF($J295="","",IFERROR(C295/(B295*40),0))</f>
        <v/>
      </c>
      <c r="F295">
        <f>IF($J295="","",0)</f>
        <v/>
      </c>
      <c r="G295">
        <f>IF($J295="","",SUMIFS('Hours Log'!$E:$E,'Hours Log'!$A:$A,"&gt;="&amp;$J295,'Hours Log'!$A:$A,"&lt;"&amp;$J295+7))</f>
        <v/>
      </c>
      <c r="J295">
        <f>IF(COUNT('Hours Log'!$A$4:$A$5000)=0,"",IF(MIN('Hours Log'!$A$4:$A$5000)+7*(ROW()-10)&gt;MAX('Hours Log'!$A$4:$A$5000),"",MIN('Hours Log'!$A$4:$A$5000)+7*(ROW()-10)))</f>
        <v/>
      </c>
    </row>
    <row r="296">
      <c r="A296">
        <f>IF($J296="","",YEAR($J296-WEEKDAY($J296,2)+4)&amp;"-W"&amp;TEXT(WEEKNUM($J296,21),"00"))</f>
        <v/>
      </c>
      <c r="B296" s="41">
        <f>IF($J296="","",COUNTIFS(Roster!$D$4:$D$500,"Active",Roster!$C$4:$C$500,"&lt;="&amp;$J296))</f>
        <v/>
      </c>
      <c r="C296">
        <f>IF($J296="","",SUMIFS('Hours Log'!$C:$C,'Hours Log'!$A:$A,"&gt;="&amp;$J296,'Hours Log'!$A:$A,"&lt;"&amp;$J296+7)+SUMIFS('Hours Log'!$D:$D,'Hours Log'!$A:$A,"&gt;="&amp;$J296,'Hours Log'!$A:$A,"&lt;"&amp;$J296+7))</f>
        <v/>
      </c>
      <c r="D296">
        <f>IF($J296="","",SUMIFS('Hours Log'!$D:$D,'Hours Log'!$A:$A,"&gt;="&amp;$J296,'Hours Log'!$A:$A,"&lt;"&amp;$J296+7))</f>
        <v/>
      </c>
      <c r="E296">
        <f>IF($J296="","",IFERROR(C296/(B296*40),0))</f>
        <v/>
      </c>
      <c r="F296">
        <f>IF($J296="","",0)</f>
        <v/>
      </c>
      <c r="G296">
        <f>IF($J296="","",SUMIFS('Hours Log'!$E:$E,'Hours Log'!$A:$A,"&gt;="&amp;$J296,'Hours Log'!$A:$A,"&lt;"&amp;$J296+7))</f>
        <v/>
      </c>
      <c r="J296">
        <f>IF(COUNT('Hours Log'!$A$4:$A$5000)=0,"",IF(MIN('Hours Log'!$A$4:$A$5000)+7*(ROW()-10)&gt;MAX('Hours Log'!$A$4:$A$5000),"",MIN('Hours Log'!$A$4:$A$5000)+7*(ROW()-10)))</f>
        <v/>
      </c>
    </row>
    <row r="297">
      <c r="A297">
        <f>IF($J297="","",YEAR($J297-WEEKDAY($J297,2)+4)&amp;"-W"&amp;TEXT(WEEKNUM($J297,21),"00"))</f>
        <v/>
      </c>
      <c r="B297" s="41">
        <f>IF($J297="","",COUNTIFS(Roster!$D$4:$D$500,"Active",Roster!$C$4:$C$500,"&lt;="&amp;$J297))</f>
        <v/>
      </c>
      <c r="C297">
        <f>IF($J297="","",SUMIFS('Hours Log'!$C:$C,'Hours Log'!$A:$A,"&gt;="&amp;$J297,'Hours Log'!$A:$A,"&lt;"&amp;$J297+7)+SUMIFS('Hours Log'!$D:$D,'Hours Log'!$A:$A,"&gt;="&amp;$J297,'Hours Log'!$A:$A,"&lt;"&amp;$J297+7))</f>
        <v/>
      </c>
      <c r="D297">
        <f>IF($J297="","",SUMIFS('Hours Log'!$D:$D,'Hours Log'!$A:$A,"&gt;="&amp;$J297,'Hours Log'!$A:$A,"&lt;"&amp;$J297+7))</f>
        <v/>
      </c>
      <c r="E297">
        <f>IF($J297="","",IFERROR(C297/(B297*40),0))</f>
        <v/>
      </c>
      <c r="F297">
        <f>IF($J297="","",0)</f>
        <v/>
      </c>
      <c r="G297">
        <f>IF($J297="","",SUMIFS('Hours Log'!$E:$E,'Hours Log'!$A:$A,"&gt;="&amp;$J297,'Hours Log'!$A:$A,"&lt;"&amp;$J297+7))</f>
        <v/>
      </c>
      <c r="J297">
        <f>IF(COUNT('Hours Log'!$A$4:$A$5000)=0,"",IF(MIN('Hours Log'!$A$4:$A$5000)+7*(ROW()-10)&gt;MAX('Hours Log'!$A$4:$A$5000),"",MIN('Hours Log'!$A$4:$A$5000)+7*(ROW()-10)))</f>
        <v/>
      </c>
    </row>
    <row r="298">
      <c r="A298">
        <f>IF($J298="","",YEAR($J298-WEEKDAY($J298,2)+4)&amp;"-W"&amp;TEXT(WEEKNUM($J298,21),"00"))</f>
        <v/>
      </c>
      <c r="B298" s="41">
        <f>IF($J298="","",COUNTIFS(Roster!$D$4:$D$500,"Active",Roster!$C$4:$C$500,"&lt;="&amp;$J298))</f>
        <v/>
      </c>
      <c r="C298">
        <f>IF($J298="","",SUMIFS('Hours Log'!$C:$C,'Hours Log'!$A:$A,"&gt;="&amp;$J298,'Hours Log'!$A:$A,"&lt;"&amp;$J298+7)+SUMIFS('Hours Log'!$D:$D,'Hours Log'!$A:$A,"&gt;="&amp;$J298,'Hours Log'!$A:$A,"&lt;"&amp;$J298+7))</f>
        <v/>
      </c>
      <c r="D298">
        <f>IF($J298="","",SUMIFS('Hours Log'!$D:$D,'Hours Log'!$A:$A,"&gt;="&amp;$J298,'Hours Log'!$A:$A,"&lt;"&amp;$J298+7))</f>
        <v/>
      </c>
      <c r="E298">
        <f>IF($J298="","",IFERROR(C298/(B298*40),0))</f>
        <v/>
      </c>
      <c r="F298">
        <f>IF($J298="","",0)</f>
        <v/>
      </c>
      <c r="G298">
        <f>IF($J298="","",SUMIFS('Hours Log'!$E:$E,'Hours Log'!$A:$A,"&gt;="&amp;$J298,'Hours Log'!$A:$A,"&lt;"&amp;$J298+7))</f>
        <v/>
      </c>
      <c r="J298">
        <f>IF(COUNT('Hours Log'!$A$4:$A$5000)=0,"",IF(MIN('Hours Log'!$A$4:$A$5000)+7*(ROW()-10)&gt;MAX('Hours Log'!$A$4:$A$5000),"",MIN('Hours Log'!$A$4:$A$5000)+7*(ROW()-10)))</f>
        <v/>
      </c>
    </row>
    <row r="299">
      <c r="A299">
        <f>IF($J299="","",YEAR($J299-WEEKDAY($J299,2)+4)&amp;"-W"&amp;TEXT(WEEKNUM($J299,21),"00"))</f>
        <v/>
      </c>
      <c r="B299" s="41">
        <f>IF($J299="","",COUNTIFS(Roster!$D$4:$D$500,"Active",Roster!$C$4:$C$500,"&lt;="&amp;$J299))</f>
        <v/>
      </c>
      <c r="C299">
        <f>IF($J299="","",SUMIFS('Hours Log'!$C:$C,'Hours Log'!$A:$A,"&gt;="&amp;$J299,'Hours Log'!$A:$A,"&lt;"&amp;$J299+7)+SUMIFS('Hours Log'!$D:$D,'Hours Log'!$A:$A,"&gt;="&amp;$J299,'Hours Log'!$A:$A,"&lt;"&amp;$J299+7))</f>
        <v/>
      </c>
      <c r="D299">
        <f>IF($J299="","",SUMIFS('Hours Log'!$D:$D,'Hours Log'!$A:$A,"&gt;="&amp;$J299,'Hours Log'!$A:$A,"&lt;"&amp;$J299+7))</f>
        <v/>
      </c>
      <c r="E299">
        <f>IF($J299="","",IFERROR(C299/(B299*40),0))</f>
        <v/>
      </c>
      <c r="F299">
        <f>IF($J299="","",0)</f>
        <v/>
      </c>
      <c r="G299">
        <f>IF($J299="","",SUMIFS('Hours Log'!$E:$E,'Hours Log'!$A:$A,"&gt;="&amp;$J299,'Hours Log'!$A:$A,"&lt;"&amp;$J299+7))</f>
        <v/>
      </c>
      <c r="J299">
        <f>IF(COUNT('Hours Log'!$A$4:$A$5000)=0,"",IF(MIN('Hours Log'!$A$4:$A$5000)+7*(ROW()-10)&gt;MAX('Hours Log'!$A$4:$A$5000),"",MIN('Hours Log'!$A$4:$A$5000)+7*(ROW()-10)))</f>
        <v/>
      </c>
    </row>
    <row r="300">
      <c r="A300">
        <f>IF($J300="","",YEAR($J300-WEEKDAY($J300,2)+4)&amp;"-W"&amp;TEXT(WEEKNUM($J300,21),"00"))</f>
        <v/>
      </c>
      <c r="B300" s="41">
        <f>IF($J300="","",COUNTIFS(Roster!$D$4:$D$500,"Active",Roster!$C$4:$C$500,"&lt;="&amp;$J300))</f>
        <v/>
      </c>
      <c r="C300">
        <f>IF($J300="","",SUMIFS('Hours Log'!$C:$C,'Hours Log'!$A:$A,"&gt;="&amp;$J300,'Hours Log'!$A:$A,"&lt;"&amp;$J300+7)+SUMIFS('Hours Log'!$D:$D,'Hours Log'!$A:$A,"&gt;="&amp;$J300,'Hours Log'!$A:$A,"&lt;"&amp;$J300+7))</f>
        <v/>
      </c>
      <c r="D300">
        <f>IF($J300="","",SUMIFS('Hours Log'!$D:$D,'Hours Log'!$A:$A,"&gt;="&amp;$J300,'Hours Log'!$A:$A,"&lt;"&amp;$J300+7))</f>
        <v/>
      </c>
      <c r="E300">
        <f>IF($J300="","",IFERROR(C300/(B300*40),0))</f>
        <v/>
      </c>
      <c r="F300">
        <f>IF($J300="","",0)</f>
        <v/>
      </c>
      <c r="G300">
        <f>IF($J300="","",SUMIFS('Hours Log'!$E:$E,'Hours Log'!$A:$A,"&gt;="&amp;$J300,'Hours Log'!$A:$A,"&lt;"&amp;$J300+7))</f>
        <v/>
      </c>
      <c r="J300">
        <f>IF(COUNT('Hours Log'!$A$4:$A$5000)=0,"",IF(MIN('Hours Log'!$A$4:$A$5000)+7*(ROW()-10)&gt;MAX('Hours Log'!$A$4:$A$5000),"",MIN('Hours Log'!$A$4:$A$5000)+7*(ROW()-10)))</f>
        <v/>
      </c>
    </row>
    <row r="301">
      <c r="A301">
        <f>IF($J301="","",YEAR($J301-WEEKDAY($J301,2)+4)&amp;"-W"&amp;TEXT(WEEKNUM($J301,21),"00"))</f>
        <v/>
      </c>
      <c r="B301" s="41">
        <f>IF($J301="","",COUNTIFS(Roster!$D$4:$D$500,"Active",Roster!$C$4:$C$500,"&lt;="&amp;$J301))</f>
        <v/>
      </c>
      <c r="C301">
        <f>IF($J301="","",SUMIFS('Hours Log'!$C:$C,'Hours Log'!$A:$A,"&gt;="&amp;$J301,'Hours Log'!$A:$A,"&lt;"&amp;$J301+7)+SUMIFS('Hours Log'!$D:$D,'Hours Log'!$A:$A,"&gt;="&amp;$J301,'Hours Log'!$A:$A,"&lt;"&amp;$J301+7))</f>
        <v/>
      </c>
      <c r="D301">
        <f>IF($J301="","",SUMIFS('Hours Log'!$D:$D,'Hours Log'!$A:$A,"&gt;="&amp;$J301,'Hours Log'!$A:$A,"&lt;"&amp;$J301+7))</f>
        <v/>
      </c>
      <c r="E301">
        <f>IF($J301="","",IFERROR(C301/(B301*40),0))</f>
        <v/>
      </c>
      <c r="F301">
        <f>IF($J301="","",0)</f>
        <v/>
      </c>
      <c r="G301">
        <f>IF($J301="","",SUMIFS('Hours Log'!$E:$E,'Hours Log'!$A:$A,"&gt;="&amp;$J301,'Hours Log'!$A:$A,"&lt;"&amp;$J301+7))</f>
        <v/>
      </c>
      <c r="J301">
        <f>IF(COUNT('Hours Log'!$A$4:$A$5000)=0,"",IF(MIN('Hours Log'!$A$4:$A$5000)+7*(ROW()-10)&gt;MAX('Hours Log'!$A$4:$A$5000),"",MIN('Hours Log'!$A$4:$A$5000)+7*(ROW()-10)))</f>
        <v/>
      </c>
    </row>
    <row r="302">
      <c r="A302">
        <f>IF($J302="","",YEAR($J302-WEEKDAY($J302,2)+4)&amp;"-W"&amp;TEXT(WEEKNUM($J302,21),"00"))</f>
        <v/>
      </c>
      <c r="B302" s="41">
        <f>IF($J302="","",COUNTIFS(Roster!$D$4:$D$500,"Active",Roster!$C$4:$C$500,"&lt;="&amp;$J302))</f>
        <v/>
      </c>
      <c r="C302">
        <f>IF($J302="","",SUMIFS('Hours Log'!$C:$C,'Hours Log'!$A:$A,"&gt;="&amp;$J302,'Hours Log'!$A:$A,"&lt;"&amp;$J302+7)+SUMIFS('Hours Log'!$D:$D,'Hours Log'!$A:$A,"&gt;="&amp;$J302,'Hours Log'!$A:$A,"&lt;"&amp;$J302+7))</f>
        <v/>
      </c>
      <c r="D302">
        <f>IF($J302="","",SUMIFS('Hours Log'!$D:$D,'Hours Log'!$A:$A,"&gt;="&amp;$J302,'Hours Log'!$A:$A,"&lt;"&amp;$J302+7))</f>
        <v/>
      </c>
      <c r="E302">
        <f>IF($J302="","",IFERROR(C302/(B302*40),0))</f>
        <v/>
      </c>
      <c r="F302">
        <f>IF($J302="","",0)</f>
        <v/>
      </c>
      <c r="G302">
        <f>IF($J302="","",SUMIFS('Hours Log'!$E:$E,'Hours Log'!$A:$A,"&gt;="&amp;$J302,'Hours Log'!$A:$A,"&lt;"&amp;$J302+7))</f>
        <v/>
      </c>
      <c r="J302">
        <f>IF(COUNT('Hours Log'!$A$4:$A$5000)=0,"",IF(MIN('Hours Log'!$A$4:$A$5000)+7*(ROW()-10)&gt;MAX('Hours Log'!$A$4:$A$5000),"",MIN('Hours Log'!$A$4:$A$5000)+7*(ROW()-10)))</f>
        <v/>
      </c>
    </row>
    <row r="303">
      <c r="A303">
        <f>IF($J303="","",YEAR($J303-WEEKDAY($J303,2)+4)&amp;"-W"&amp;TEXT(WEEKNUM($J303,21),"00"))</f>
        <v/>
      </c>
      <c r="B303" s="41">
        <f>IF($J303="","",COUNTIFS(Roster!$D$4:$D$500,"Active",Roster!$C$4:$C$500,"&lt;="&amp;$J303))</f>
        <v/>
      </c>
      <c r="C303">
        <f>IF($J303="","",SUMIFS('Hours Log'!$C:$C,'Hours Log'!$A:$A,"&gt;="&amp;$J303,'Hours Log'!$A:$A,"&lt;"&amp;$J303+7)+SUMIFS('Hours Log'!$D:$D,'Hours Log'!$A:$A,"&gt;="&amp;$J303,'Hours Log'!$A:$A,"&lt;"&amp;$J303+7))</f>
        <v/>
      </c>
      <c r="D303">
        <f>IF($J303="","",SUMIFS('Hours Log'!$D:$D,'Hours Log'!$A:$A,"&gt;="&amp;$J303,'Hours Log'!$A:$A,"&lt;"&amp;$J303+7))</f>
        <v/>
      </c>
      <c r="E303">
        <f>IF($J303="","",IFERROR(C303/(B303*40),0))</f>
        <v/>
      </c>
      <c r="F303">
        <f>IF($J303="","",0)</f>
        <v/>
      </c>
      <c r="G303">
        <f>IF($J303="","",SUMIFS('Hours Log'!$E:$E,'Hours Log'!$A:$A,"&gt;="&amp;$J303,'Hours Log'!$A:$A,"&lt;"&amp;$J303+7))</f>
        <v/>
      </c>
      <c r="J303">
        <f>IF(COUNT('Hours Log'!$A$4:$A$5000)=0,"",IF(MIN('Hours Log'!$A$4:$A$5000)+7*(ROW()-10)&gt;MAX('Hours Log'!$A$4:$A$5000),"",MIN('Hours Log'!$A$4:$A$5000)+7*(ROW()-10)))</f>
        <v/>
      </c>
    </row>
    <row r="304">
      <c r="A304">
        <f>IF($J304="","",YEAR($J304-WEEKDAY($J304,2)+4)&amp;"-W"&amp;TEXT(WEEKNUM($J304,21),"00"))</f>
        <v/>
      </c>
      <c r="B304" s="41">
        <f>IF($J304="","",COUNTIFS(Roster!$D$4:$D$500,"Active",Roster!$C$4:$C$500,"&lt;="&amp;$J304))</f>
        <v/>
      </c>
      <c r="C304">
        <f>IF($J304="","",SUMIFS('Hours Log'!$C:$C,'Hours Log'!$A:$A,"&gt;="&amp;$J304,'Hours Log'!$A:$A,"&lt;"&amp;$J304+7)+SUMIFS('Hours Log'!$D:$D,'Hours Log'!$A:$A,"&gt;="&amp;$J304,'Hours Log'!$A:$A,"&lt;"&amp;$J304+7))</f>
        <v/>
      </c>
      <c r="D304">
        <f>IF($J304="","",SUMIFS('Hours Log'!$D:$D,'Hours Log'!$A:$A,"&gt;="&amp;$J304,'Hours Log'!$A:$A,"&lt;"&amp;$J304+7))</f>
        <v/>
      </c>
      <c r="E304">
        <f>IF($J304="","",IFERROR(C304/(B304*40),0))</f>
        <v/>
      </c>
      <c r="F304">
        <f>IF($J304="","",0)</f>
        <v/>
      </c>
      <c r="G304">
        <f>IF($J304="","",SUMIFS('Hours Log'!$E:$E,'Hours Log'!$A:$A,"&gt;="&amp;$J304,'Hours Log'!$A:$A,"&lt;"&amp;$J304+7))</f>
        <v/>
      </c>
      <c r="J304">
        <f>IF(COUNT('Hours Log'!$A$4:$A$5000)=0,"",IF(MIN('Hours Log'!$A$4:$A$5000)+7*(ROW()-10)&gt;MAX('Hours Log'!$A$4:$A$5000),"",MIN('Hours Log'!$A$4:$A$5000)+7*(ROW()-10)))</f>
        <v/>
      </c>
    </row>
    <row r="305">
      <c r="A305">
        <f>IF($J305="","",YEAR($J305-WEEKDAY($J305,2)+4)&amp;"-W"&amp;TEXT(WEEKNUM($J305,21),"00"))</f>
        <v/>
      </c>
      <c r="B305" s="41">
        <f>IF($J305="","",COUNTIFS(Roster!$D$4:$D$500,"Active",Roster!$C$4:$C$500,"&lt;="&amp;$J305))</f>
        <v/>
      </c>
      <c r="C305">
        <f>IF($J305="","",SUMIFS('Hours Log'!$C:$C,'Hours Log'!$A:$A,"&gt;="&amp;$J305,'Hours Log'!$A:$A,"&lt;"&amp;$J305+7)+SUMIFS('Hours Log'!$D:$D,'Hours Log'!$A:$A,"&gt;="&amp;$J305,'Hours Log'!$A:$A,"&lt;"&amp;$J305+7))</f>
        <v/>
      </c>
      <c r="D305">
        <f>IF($J305="","",SUMIFS('Hours Log'!$D:$D,'Hours Log'!$A:$A,"&gt;="&amp;$J305,'Hours Log'!$A:$A,"&lt;"&amp;$J305+7))</f>
        <v/>
      </c>
      <c r="E305">
        <f>IF($J305="","",IFERROR(C305/(B305*40),0))</f>
        <v/>
      </c>
      <c r="F305">
        <f>IF($J305="","",0)</f>
        <v/>
      </c>
      <c r="G305">
        <f>IF($J305="","",SUMIFS('Hours Log'!$E:$E,'Hours Log'!$A:$A,"&gt;="&amp;$J305,'Hours Log'!$A:$A,"&lt;"&amp;$J305+7))</f>
        <v/>
      </c>
      <c r="J305">
        <f>IF(COUNT('Hours Log'!$A$4:$A$5000)=0,"",IF(MIN('Hours Log'!$A$4:$A$5000)+7*(ROW()-10)&gt;MAX('Hours Log'!$A$4:$A$5000),"",MIN('Hours Log'!$A$4:$A$5000)+7*(ROW()-10)))</f>
        <v/>
      </c>
    </row>
    <row r="306">
      <c r="A306">
        <f>IF($J306="","",YEAR($J306-WEEKDAY($J306,2)+4)&amp;"-W"&amp;TEXT(WEEKNUM($J306,21),"00"))</f>
        <v/>
      </c>
      <c r="B306" s="41">
        <f>IF($J306="","",COUNTIFS(Roster!$D$4:$D$500,"Active",Roster!$C$4:$C$500,"&lt;="&amp;$J306))</f>
        <v/>
      </c>
      <c r="C306">
        <f>IF($J306="","",SUMIFS('Hours Log'!$C:$C,'Hours Log'!$A:$A,"&gt;="&amp;$J306,'Hours Log'!$A:$A,"&lt;"&amp;$J306+7)+SUMIFS('Hours Log'!$D:$D,'Hours Log'!$A:$A,"&gt;="&amp;$J306,'Hours Log'!$A:$A,"&lt;"&amp;$J306+7))</f>
        <v/>
      </c>
      <c r="D306">
        <f>IF($J306="","",SUMIFS('Hours Log'!$D:$D,'Hours Log'!$A:$A,"&gt;="&amp;$J306,'Hours Log'!$A:$A,"&lt;"&amp;$J306+7))</f>
        <v/>
      </c>
      <c r="E306">
        <f>IF($J306="","",IFERROR(C306/(B306*40),0))</f>
        <v/>
      </c>
      <c r="F306">
        <f>IF($J306="","",0)</f>
        <v/>
      </c>
      <c r="G306">
        <f>IF($J306="","",SUMIFS('Hours Log'!$E:$E,'Hours Log'!$A:$A,"&gt;="&amp;$J306,'Hours Log'!$A:$A,"&lt;"&amp;$J306+7))</f>
        <v/>
      </c>
      <c r="J306">
        <f>IF(COUNT('Hours Log'!$A$4:$A$5000)=0,"",IF(MIN('Hours Log'!$A$4:$A$5000)+7*(ROW()-10)&gt;MAX('Hours Log'!$A$4:$A$5000),"",MIN('Hours Log'!$A$4:$A$5000)+7*(ROW()-10)))</f>
        <v/>
      </c>
    </row>
    <row r="307">
      <c r="A307">
        <f>IF($J307="","",YEAR($J307-WEEKDAY($J307,2)+4)&amp;"-W"&amp;TEXT(WEEKNUM($J307,21),"00"))</f>
        <v/>
      </c>
      <c r="B307" s="41">
        <f>IF($J307="","",COUNTIFS(Roster!$D$4:$D$500,"Active",Roster!$C$4:$C$500,"&lt;="&amp;$J307))</f>
        <v/>
      </c>
      <c r="C307">
        <f>IF($J307="","",SUMIFS('Hours Log'!$C:$C,'Hours Log'!$A:$A,"&gt;="&amp;$J307,'Hours Log'!$A:$A,"&lt;"&amp;$J307+7)+SUMIFS('Hours Log'!$D:$D,'Hours Log'!$A:$A,"&gt;="&amp;$J307,'Hours Log'!$A:$A,"&lt;"&amp;$J307+7))</f>
        <v/>
      </c>
      <c r="D307">
        <f>IF($J307="","",SUMIFS('Hours Log'!$D:$D,'Hours Log'!$A:$A,"&gt;="&amp;$J307,'Hours Log'!$A:$A,"&lt;"&amp;$J307+7))</f>
        <v/>
      </c>
      <c r="E307">
        <f>IF($J307="","",IFERROR(C307/(B307*40),0))</f>
        <v/>
      </c>
      <c r="F307">
        <f>IF($J307="","",0)</f>
        <v/>
      </c>
      <c r="G307">
        <f>IF($J307="","",SUMIFS('Hours Log'!$E:$E,'Hours Log'!$A:$A,"&gt;="&amp;$J307,'Hours Log'!$A:$A,"&lt;"&amp;$J307+7))</f>
        <v/>
      </c>
      <c r="J307">
        <f>IF(COUNT('Hours Log'!$A$4:$A$5000)=0,"",IF(MIN('Hours Log'!$A$4:$A$5000)+7*(ROW()-10)&gt;MAX('Hours Log'!$A$4:$A$5000),"",MIN('Hours Log'!$A$4:$A$5000)+7*(ROW()-10)))</f>
        <v/>
      </c>
    </row>
    <row r="308">
      <c r="A308">
        <f>IF($J308="","",YEAR($J308-WEEKDAY($J308,2)+4)&amp;"-W"&amp;TEXT(WEEKNUM($J308,21),"00"))</f>
        <v/>
      </c>
      <c r="B308" s="41">
        <f>IF($J308="","",COUNTIFS(Roster!$D$4:$D$500,"Active",Roster!$C$4:$C$500,"&lt;="&amp;$J308))</f>
        <v/>
      </c>
      <c r="C308">
        <f>IF($J308="","",SUMIFS('Hours Log'!$C:$C,'Hours Log'!$A:$A,"&gt;="&amp;$J308,'Hours Log'!$A:$A,"&lt;"&amp;$J308+7)+SUMIFS('Hours Log'!$D:$D,'Hours Log'!$A:$A,"&gt;="&amp;$J308,'Hours Log'!$A:$A,"&lt;"&amp;$J308+7))</f>
        <v/>
      </c>
      <c r="D308">
        <f>IF($J308="","",SUMIFS('Hours Log'!$D:$D,'Hours Log'!$A:$A,"&gt;="&amp;$J308,'Hours Log'!$A:$A,"&lt;"&amp;$J308+7))</f>
        <v/>
      </c>
      <c r="E308">
        <f>IF($J308="","",IFERROR(C308/(B308*40),0))</f>
        <v/>
      </c>
      <c r="F308">
        <f>IF($J308="","",0)</f>
        <v/>
      </c>
      <c r="G308">
        <f>IF($J308="","",SUMIFS('Hours Log'!$E:$E,'Hours Log'!$A:$A,"&gt;="&amp;$J308,'Hours Log'!$A:$A,"&lt;"&amp;$J308+7))</f>
        <v/>
      </c>
      <c r="J308">
        <f>IF(COUNT('Hours Log'!$A$4:$A$5000)=0,"",IF(MIN('Hours Log'!$A$4:$A$5000)+7*(ROW()-10)&gt;MAX('Hours Log'!$A$4:$A$5000),"",MIN('Hours Log'!$A$4:$A$5000)+7*(ROW()-10)))</f>
        <v/>
      </c>
    </row>
    <row r="309">
      <c r="A309">
        <f>IF($J309="","",YEAR($J309-WEEKDAY($J309,2)+4)&amp;"-W"&amp;TEXT(WEEKNUM($J309,21),"00"))</f>
        <v/>
      </c>
      <c r="B309" s="41">
        <f>IF($J309="","",COUNTIFS(Roster!$D$4:$D$500,"Active",Roster!$C$4:$C$500,"&lt;="&amp;$J309))</f>
        <v/>
      </c>
      <c r="C309">
        <f>IF($J309="","",SUMIFS('Hours Log'!$C:$C,'Hours Log'!$A:$A,"&gt;="&amp;$J309,'Hours Log'!$A:$A,"&lt;"&amp;$J309+7)+SUMIFS('Hours Log'!$D:$D,'Hours Log'!$A:$A,"&gt;="&amp;$J309,'Hours Log'!$A:$A,"&lt;"&amp;$J309+7))</f>
        <v/>
      </c>
      <c r="D309">
        <f>IF($J309="","",SUMIFS('Hours Log'!$D:$D,'Hours Log'!$A:$A,"&gt;="&amp;$J309,'Hours Log'!$A:$A,"&lt;"&amp;$J309+7))</f>
        <v/>
      </c>
      <c r="E309">
        <f>IF($J309="","",IFERROR(C309/(B309*40),0))</f>
        <v/>
      </c>
      <c r="F309">
        <f>IF($J309="","",0)</f>
        <v/>
      </c>
      <c r="G309">
        <f>IF($J309="","",SUMIFS('Hours Log'!$E:$E,'Hours Log'!$A:$A,"&gt;="&amp;$J309,'Hours Log'!$A:$A,"&lt;"&amp;$J309+7))</f>
        <v/>
      </c>
      <c r="J309">
        <f>IF(COUNT('Hours Log'!$A$4:$A$5000)=0,"",IF(MIN('Hours Log'!$A$4:$A$5000)+7*(ROW()-10)&gt;MAX('Hours Log'!$A$4:$A$5000),"",MIN('Hours Log'!$A$4:$A$5000)+7*(ROW()-10)))</f>
        <v/>
      </c>
    </row>
    <row r="310">
      <c r="A310">
        <f>IF($J310="","",YEAR($J310-WEEKDAY($J310,2)+4)&amp;"-W"&amp;TEXT(WEEKNUM($J310,21),"00"))</f>
        <v/>
      </c>
      <c r="B310" s="41">
        <f>IF($J310="","",COUNTIFS(Roster!$D$4:$D$500,"Active",Roster!$C$4:$C$500,"&lt;="&amp;$J310))</f>
        <v/>
      </c>
      <c r="C310">
        <f>IF($J310="","",SUMIFS('Hours Log'!$C:$C,'Hours Log'!$A:$A,"&gt;="&amp;$J310,'Hours Log'!$A:$A,"&lt;"&amp;$J310+7)+SUMIFS('Hours Log'!$D:$D,'Hours Log'!$A:$A,"&gt;="&amp;$J310,'Hours Log'!$A:$A,"&lt;"&amp;$J310+7))</f>
        <v/>
      </c>
      <c r="D310">
        <f>IF($J310="","",SUMIFS('Hours Log'!$D:$D,'Hours Log'!$A:$A,"&gt;="&amp;$J310,'Hours Log'!$A:$A,"&lt;"&amp;$J310+7))</f>
        <v/>
      </c>
      <c r="E310">
        <f>IF($J310="","",IFERROR(C310/(B310*40),0))</f>
        <v/>
      </c>
      <c r="F310">
        <f>IF($J310="","",0)</f>
        <v/>
      </c>
      <c r="G310">
        <f>IF($J310="","",SUMIFS('Hours Log'!$E:$E,'Hours Log'!$A:$A,"&gt;="&amp;$J310,'Hours Log'!$A:$A,"&lt;"&amp;$J310+7))</f>
        <v/>
      </c>
      <c r="J310">
        <f>IF(COUNT('Hours Log'!$A$4:$A$5000)=0,"",IF(MIN('Hours Log'!$A$4:$A$5000)+7*(ROW()-10)&gt;MAX('Hours Log'!$A$4:$A$5000),"",MIN('Hours Log'!$A$4:$A$5000)+7*(ROW()-10)))</f>
        <v/>
      </c>
    </row>
    <row r="311">
      <c r="A311">
        <f>IF($J311="","",YEAR($J311-WEEKDAY($J311,2)+4)&amp;"-W"&amp;TEXT(WEEKNUM($J311,21),"00"))</f>
        <v/>
      </c>
      <c r="B311" s="41">
        <f>IF($J311="","",COUNTIFS(Roster!$D$4:$D$500,"Active",Roster!$C$4:$C$500,"&lt;="&amp;$J311))</f>
        <v/>
      </c>
      <c r="C311">
        <f>IF($J311="","",SUMIFS('Hours Log'!$C:$C,'Hours Log'!$A:$A,"&gt;="&amp;$J311,'Hours Log'!$A:$A,"&lt;"&amp;$J311+7)+SUMIFS('Hours Log'!$D:$D,'Hours Log'!$A:$A,"&gt;="&amp;$J311,'Hours Log'!$A:$A,"&lt;"&amp;$J311+7))</f>
        <v/>
      </c>
      <c r="D311">
        <f>IF($J311="","",SUMIFS('Hours Log'!$D:$D,'Hours Log'!$A:$A,"&gt;="&amp;$J311,'Hours Log'!$A:$A,"&lt;"&amp;$J311+7))</f>
        <v/>
      </c>
      <c r="E311">
        <f>IF($J311="","",IFERROR(C311/(B311*40),0))</f>
        <v/>
      </c>
      <c r="F311">
        <f>IF($J311="","",0)</f>
        <v/>
      </c>
      <c r="G311">
        <f>IF($J311="","",SUMIFS('Hours Log'!$E:$E,'Hours Log'!$A:$A,"&gt;="&amp;$J311,'Hours Log'!$A:$A,"&lt;"&amp;$J311+7))</f>
        <v/>
      </c>
      <c r="J311">
        <f>IF(COUNT('Hours Log'!$A$4:$A$5000)=0,"",IF(MIN('Hours Log'!$A$4:$A$5000)+7*(ROW()-10)&gt;MAX('Hours Log'!$A$4:$A$5000),"",MIN('Hours Log'!$A$4:$A$5000)+7*(ROW()-10)))</f>
        <v/>
      </c>
    </row>
    <row r="312">
      <c r="A312">
        <f>IF($J312="","",YEAR($J312-WEEKDAY($J312,2)+4)&amp;"-W"&amp;TEXT(WEEKNUM($J312,21),"00"))</f>
        <v/>
      </c>
      <c r="B312" s="41">
        <f>IF($J312="","",COUNTIFS(Roster!$D$4:$D$500,"Active",Roster!$C$4:$C$500,"&lt;="&amp;$J312))</f>
        <v/>
      </c>
      <c r="C312">
        <f>IF($J312="","",SUMIFS('Hours Log'!$C:$C,'Hours Log'!$A:$A,"&gt;="&amp;$J312,'Hours Log'!$A:$A,"&lt;"&amp;$J312+7)+SUMIFS('Hours Log'!$D:$D,'Hours Log'!$A:$A,"&gt;="&amp;$J312,'Hours Log'!$A:$A,"&lt;"&amp;$J312+7))</f>
        <v/>
      </c>
      <c r="D312">
        <f>IF($J312="","",SUMIFS('Hours Log'!$D:$D,'Hours Log'!$A:$A,"&gt;="&amp;$J312,'Hours Log'!$A:$A,"&lt;"&amp;$J312+7))</f>
        <v/>
      </c>
      <c r="E312">
        <f>IF($J312="","",IFERROR(C312/(B312*40),0))</f>
        <v/>
      </c>
      <c r="F312">
        <f>IF($J312="","",0)</f>
        <v/>
      </c>
      <c r="G312">
        <f>IF($J312="","",SUMIFS('Hours Log'!$E:$E,'Hours Log'!$A:$A,"&gt;="&amp;$J312,'Hours Log'!$A:$A,"&lt;"&amp;$J312+7))</f>
        <v/>
      </c>
      <c r="J312">
        <f>IF(COUNT('Hours Log'!$A$4:$A$5000)=0,"",IF(MIN('Hours Log'!$A$4:$A$5000)+7*(ROW()-10)&gt;MAX('Hours Log'!$A$4:$A$5000),"",MIN('Hours Log'!$A$4:$A$5000)+7*(ROW()-10)))</f>
        <v/>
      </c>
    </row>
    <row r="313">
      <c r="A313">
        <f>IF($J313="","",YEAR($J313-WEEKDAY($J313,2)+4)&amp;"-W"&amp;TEXT(WEEKNUM($J313,21),"00"))</f>
        <v/>
      </c>
      <c r="B313" s="41">
        <f>IF($J313="","",COUNTIFS(Roster!$D$4:$D$500,"Active",Roster!$C$4:$C$500,"&lt;="&amp;$J313))</f>
        <v/>
      </c>
      <c r="C313">
        <f>IF($J313="","",SUMIFS('Hours Log'!$C:$C,'Hours Log'!$A:$A,"&gt;="&amp;$J313,'Hours Log'!$A:$A,"&lt;"&amp;$J313+7)+SUMIFS('Hours Log'!$D:$D,'Hours Log'!$A:$A,"&gt;="&amp;$J313,'Hours Log'!$A:$A,"&lt;"&amp;$J313+7))</f>
        <v/>
      </c>
      <c r="D313">
        <f>IF($J313="","",SUMIFS('Hours Log'!$D:$D,'Hours Log'!$A:$A,"&gt;="&amp;$J313,'Hours Log'!$A:$A,"&lt;"&amp;$J313+7))</f>
        <v/>
      </c>
      <c r="E313">
        <f>IF($J313="","",IFERROR(C313/(B313*40),0))</f>
        <v/>
      </c>
      <c r="F313">
        <f>IF($J313="","",0)</f>
        <v/>
      </c>
      <c r="G313">
        <f>IF($J313="","",SUMIFS('Hours Log'!$E:$E,'Hours Log'!$A:$A,"&gt;="&amp;$J313,'Hours Log'!$A:$A,"&lt;"&amp;$J313+7))</f>
        <v/>
      </c>
      <c r="J313">
        <f>IF(COUNT('Hours Log'!$A$4:$A$5000)=0,"",IF(MIN('Hours Log'!$A$4:$A$5000)+7*(ROW()-10)&gt;MAX('Hours Log'!$A$4:$A$5000),"",MIN('Hours Log'!$A$4:$A$5000)+7*(ROW()-10)))</f>
        <v/>
      </c>
    </row>
    <row r="314">
      <c r="A314">
        <f>IF($J314="","",YEAR($J314-WEEKDAY($J314,2)+4)&amp;"-W"&amp;TEXT(WEEKNUM($J314,21),"00"))</f>
        <v/>
      </c>
      <c r="B314" s="41">
        <f>IF($J314="","",COUNTIFS(Roster!$D$4:$D$500,"Active",Roster!$C$4:$C$500,"&lt;="&amp;$J314))</f>
        <v/>
      </c>
      <c r="C314">
        <f>IF($J314="","",SUMIFS('Hours Log'!$C:$C,'Hours Log'!$A:$A,"&gt;="&amp;$J314,'Hours Log'!$A:$A,"&lt;"&amp;$J314+7)+SUMIFS('Hours Log'!$D:$D,'Hours Log'!$A:$A,"&gt;="&amp;$J314,'Hours Log'!$A:$A,"&lt;"&amp;$J314+7))</f>
        <v/>
      </c>
      <c r="D314">
        <f>IF($J314="","",SUMIFS('Hours Log'!$D:$D,'Hours Log'!$A:$A,"&gt;="&amp;$J314,'Hours Log'!$A:$A,"&lt;"&amp;$J314+7))</f>
        <v/>
      </c>
      <c r="E314">
        <f>IF($J314="","",IFERROR(C314/(B314*40),0))</f>
        <v/>
      </c>
      <c r="F314">
        <f>IF($J314="","",0)</f>
        <v/>
      </c>
      <c r="G314">
        <f>IF($J314="","",SUMIFS('Hours Log'!$E:$E,'Hours Log'!$A:$A,"&gt;="&amp;$J314,'Hours Log'!$A:$A,"&lt;"&amp;$J314+7))</f>
        <v/>
      </c>
      <c r="J314">
        <f>IF(COUNT('Hours Log'!$A$4:$A$5000)=0,"",IF(MIN('Hours Log'!$A$4:$A$5000)+7*(ROW()-10)&gt;MAX('Hours Log'!$A$4:$A$5000),"",MIN('Hours Log'!$A$4:$A$5000)+7*(ROW()-10)))</f>
        <v/>
      </c>
    </row>
    <row r="315">
      <c r="A315">
        <f>IF($J315="","",YEAR($J315-WEEKDAY($J315,2)+4)&amp;"-W"&amp;TEXT(WEEKNUM($J315,21),"00"))</f>
        <v/>
      </c>
      <c r="B315" s="41">
        <f>IF($J315="","",COUNTIFS(Roster!$D$4:$D$500,"Active",Roster!$C$4:$C$500,"&lt;="&amp;$J315))</f>
        <v/>
      </c>
      <c r="C315">
        <f>IF($J315="","",SUMIFS('Hours Log'!$C:$C,'Hours Log'!$A:$A,"&gt;="&amp;$J315,'Hours Log'!$A:$A,"&lt;"&amp;$J315+7)+SUMIFS('Hours Log'!$D:$D,'Hours Log'!$A:$A,"&gt;="&amp;$J315,'Hours Log'!$A:$A,"&lt;"&amp;$J315+7))</f>
        <v/>
      </c>
      <c r="D315">
        <f>IF($J315="","",SUMIFS('Hours Log'!$D:$D,'Hours Log'!$A:$A,"&gt;="&amp;$J315,'Hours Log'!$A:$A,"&lt;"&amp;$J315+7))</f>
        <v/>
      </c>
      <c r="E315">
        <f>IF($J315="","",IFERROR(C315/(B315*40),0))</f>
        <v/>
      </c>
      <c r="F315">
        <f>IF($J315="","",0)</f>
        <v/>
      </c>
      <c r="G315">
        <f>IF($J315="","",SUMIFS('Hours Log'!$E:$E,'Hours Log'!$A:$A,"&gt;="&amp;$J315,'Hours Log'!$A:$A,"&lt;"&amp;$J315+7))</f>
        <v/>
      </c>
      <c r="J315">
        <f>IF(COUNT('Hours Log'!$A$4:$A$5000)=0,"",IF(MIN('Hours Log'!$A$4:$A$5000)+7*(ROW()-10)&gt;MAX('Hours Log'!$A$4:$A$5000),"",MIN('Hours Log'!$A$4:$A$5000)+7*(ROW()-10)))</f>
        <v/>
      </c>
    </row>
    <row r="316">
      <c r="A316">
        <f>IF($J316="","",YEAR($J316-WEEKDAY($J316,2)+4)&amp;"-W"&amp;TEXT(WEEKNUM($J316,21),"00"))</f>
        <v/>
      </c>
      <c r="B316" s="41">
        <f>IF($J316="","",COUNTIFS(Roster!$D$4:$D$500,"Active",Roster!$C$4:$C$500,"&lt;="&amp;$J316))</f>
        <v/>
      </c>
      <c r="C316">
        <f>IF($J316="","",SUMIFS('Hours Log'!$C:$C,'Hours Log'!$A:$A,"&gt;="&amp;$J316,'Hours Log'!$A:$A,"&lt;"&amp;$J316+7)+SUMIFS('Hours Log'!$D:$D,'Hours Log'!$A:$A,"&gt;="&amp;$J316,'Hours Log'!$A:$A,"&lt;"&amp;$J316+7))</f>
        <v/>
      </c>
      <c r="D316">
        <f>IF($J316="","",SUMIFS('Hours Log'!$D:$D,'Hours Log'!$A:$A,"&gt;="&amp;$J316,'Hours Log'!$A:$A,"&lt;"&amp;$J316+7))</f>
        <v/>
      </c>
      <c r="E316">
        <f>IF($J316="","",IFERROR(C316/(B316*40),0))</f>
        <v/>
      </c>
      <c r="F316">
        <f>IF($J316="","",0)</f>
        <v/>
      </c>
      <c r="G316">
        <f>IF($J316="","",SUMIFS('Hours Log'!$E:$E,'Hours Log'!$A:$A,"&gt;="&amp;$J316,'Hours Log'!$A:$A,"&lt;"&amp;$J316+7))</f>
        <v/>
      </c>
      <c r="J316">
        <f>IF(COUNT('Hours Log'!$A$4:$A$5000)=0,"",IF(MIN('Hours Log'!$A$4:$A$5000)+7*(ROW()-10)&gt;MAX('Hours Log'!$A$4:$A$5000),"",MIN('Hours Log'!$A$4:$A$5000)+7*(ROW()-10)))</f>
        <v/>
      </c>
    </row>
    <row r="317">
      <c r="A317">
        <f>IF($J317="","",YEAR($J317-WEEKDAY($J317,2)+4)&amp;"-W"&amp;TEXT(WEEKNUM($J317,21),"00"))</f>
        <v/>
      </c>
      <c r="B317" s="41">
        <f>IF($J317="","",COUNTIFS(Roster!$D$4:$D$500,"Active",Roster!$C$4:$C$500,"&lt;="&amp;$J317))</f>
        <v/>
      </c>
      <c r="C317">
        <f>IF($J317="","",SUMIFS('Hours Log'!$C:$C,'Hours Log'!$A:$A,"&gt;="&amp;$J317,'Hours Log'!$A:$A,"&lt;"&amp;$J317+7)+SUMIFS('Hours Log'!$D:$D,'Hours Log'!$A:$A,"&gt;="&amp;$J317,'Hours Log'!$A:$A,"&lt;"&amp;$J317+7))</f>
        <v/>
      </c>
      <c r="D317">
        <f>IF($J317="","",SUMIFS('Hours Log'!$D:$D,'Hours Log'!$A:$A,"&gt;="&amp;$J317,'Hours Log'!$A:$A,"&lt;"&amp;$J317+7))</f>
        <v/>
      </c>
      <c r="E317">
        <f>IF($J317="","",IFERROR(C317/(B317*40),0))</f>
        <v/>
      </c>
      <c r="F317">
        <f>IF($J317="","",0)</f>
        <v/>
      </c>
      <c r="G317">
        <f>IF($J317="","",SUMIFS('Hours Log'!$E:$E,'Hours Log'!$A:$A,"&gt;="&amp;$J317,'Hours Log'!$A:$A,"&lt;"&amp;$J317+7))</f>
        <v/>
      </c>
      <c r="J317">
        <f>IF(COUNT('Hours Log'!$A$4:$A$5000)=0,"",IF(MIN('Hours Log'!$A$4:$A$5000)+7*(ROW()-10)&gt;MAX('Hours Log'!$A$4:$A$5000),"",MIN('Hours Log'!$A$4:$A$5000)+7*(ROW()-10)))</f>
        <v/>
      </c>
    </row>
    <row r="318">
      <c r="A318">
        <f>IF($J318="","",YEAR($J318-WEEKDAY($J318,2)+4)&amp;"-W"&amp;TEXT(WEEKNUM($J318,21),"00"))</f>
        <v/>
      </c>
      <c r="B318" s="41">
        <f>IF($J318="","",COUNTIFS(Roster!$D$4:$D$500,"Active",Roster!$C$4:$C$500,"&lt;="&amp;$J318))</f>
        <v/>
      </c>
      <c r="C318">
        <f>IF($J318="","",SUMIFS('Hours Log'!$C:$C,'Hours Log'!$A:$A,"&gt;="&amp;$J318,'Hours Log'!$A:$A,"&lt;"&amp;$J318+7)+SUMIFS('Hours Log'!$D:$D,'Hours Log'!$A:$A,"&gt;="&amp;$J318,'Hours Log'!$A:$A,"&lt;"&amp;$J318+7))</f>
        <v/>
      </c>
      <c r="D318">
        <f>IF($J318="","",SUMIFS('Hours Log'!$D:$D,'Hours Log'!$A:$A,"&gt;="&amp;$J318,'Hours Log'!$A:$A,"&lt;"&amp;$J318+7))</f>
        <v/>
      </c>
      <c r="E318">
        <f>IF($J318="","",IFERROR(C318/(B318*40),0))</f>
        <v/>
      </c>
      <c r="F318">
        <f>IF($J318="","",0)</f>
        <v/>
      </c>
      <c r="G318">
        <f>IF($J318="","",SUMIFS('Hours Log'!$E:$E,'Hours Log'!$A:$A,"&gt;="&amp;$J318,'Hours Log'!$A:$A,"&lt;"&amp;$J318+7))</f>
        <v/>
      </c>
      <c r="J318">
        <f>IF(COUNT('Hours Log'!$A$4:$A$5000)=0,"",IF(MIN('Hours Log'!$A$4:$A$5000)+7*(ROW()-10)&gt;MAX('Hours Log'!$A$4:$A$5000),"",MIN('Hours Log'!$A$4:$A$5000)+7*(ROW()-10)))</f>
        <v/>
      </c>
    </row>
    <row r="319">
      <c r="A319">
        <f>IF($J319="","",YEAR($J319-WEEKDAY($J319,2)+4)&amp;"-W"&amp;TEXT(WEEKNUM($J319,21),"00"))</f>
        <v/>
      </c>
      <c r="B319" s="41">
        <f>IF($J319="","",COUNTIFS(Roster!$D$4:$D$500,"Active",Roster!$C$4:$C$500,"&lt;="&amp;$J319))</f>
        <v/>
      </c>
      <c r="C319">
        <f>IF($J319="","",SUMIFS('Hours Log'!$C:$C,'Hours Log'!$A:$A,"&gt;="&amp;$J319,'Hours Log'!$A:$A,"&lt;"&amp;$J319+7)+SUMIFS('Hours Log'!$D:$D,'Hours Log'!$A:$A,"&gt;="&amp;$J319,'Hours Log'!$A:$A,"&lt;"&amp;$J319+7))</f>
        <v/>
      </c>
      <c r="D319">
        <f>IF($J319="","",SUMIFS('Hours Log'!$D:$D,'Hours Log'!$A:$A,"&gt;="&amp;$J319,'Hours Log'!$A:$A,"&lt;"&amp;$J319+7))</f>
        <v/>
      </c>
      <c r="E319">
        <f>IF($J319="","",IFERROR(C319/(B319*40),0))</f>
        <v/>
      </c>
      <c r="F319">
        <f>IF($J319="","",0)</f>
        <v/>
      </c>
      <c r="G319">
        <f>IF($J319="","",SUMIFS('Hours Log'!$E:$E,'Hours Log'!$A:$A,"&gt;="&amp;$J319,'Hours Log'!$A:$A,"&lt;"&amp;$J319+7))</f>
        <v/>
      </c>
      <c r="J319">
        <f>IF(COUNT('Hours Log'!$A$4:$A$5000)=0,"",IF(MIN('Hours Log'!$A$4:$A$5000)+7*(ROW()-10)&gt;MAX('Hours Log'!$A$4:$A$5000),"",MIN('Hours Log'!$A$4:$A$5000)+7*(ROW()-10)))</f>
        <v/>
      </c>
    </row>
    <row r="320">
      <c r="A320">
        <f>IF($J320="","",YEAR($J320-WEEKDAY($J320,2)+4)&amp;"-W"&amp;TEXT(WEEKNUM($J320,21),"00"))</f>
        <v/>
      </c>
      <c r="B320" s="41">
        <f>IF($J320="","",COUNTIFS(Roster!$D$4:$D$500,"Active",Roster!$C$4:$C$500,"&lt;="&amp;$J320))</f>
        <v/>
      </c>
      <c r="C320">
        <f>IF($J320="","",SUMIFS('Hours Log'!$C:$C,'Hours Log'!$A:$A,"&gt;="&amp;$J320,'Hours Log'!$A:$A,"&lt;"&amp;$J320+7)+SUMIFS('Hours Log'!$D:$D,'Hours Log'!$A:$A,"&gt;="&amp;$J320,'Hours Log'!$A:$A,"&lt;"&amp;$J320+7))</f>
        <v/>
      </c>
      <c r="D320">
        <f>IF($J320="","",SUMIFS('Hours Log'!$D:$D,'Hours Log'!$A:$A,"&gt;="&amp;$J320,'Hours Log'!$A:$A,"&lt;"&amp;$J320+7))</f>
        <v/>
      </c>
      <c r="E320">
        <f>IF($J320="","",IFERROR(C320/(B320*40),0))</f>
        <v/>
      </c>
      <c r="F320">
        <f>IF($J320="","",0)</f>
        <v/>
      </c>
      <c r="G320">
        <f>IF($J320="","",SUMIFS('Hours Log'!$E:$E,'Hours Log'!$A:$A,"&gt;="&amp;$J320,'Hours Log'!$A:$A,"&lt;"&amp;$J320+7))</f>
        <v/>
      </c>
      <c r="J320">
        <f>IF(COUNT('Hours Log'!$A$4:$A$5000)=0,"",IF(MIN('Hours Log'!$A$4:$A$5000)+7*(ROW()-10)&gt;MAX('Hours Log'!$A$4:$A$5000),"",MIN('Hours Log'!$A$4:$A$5000)+7*(ROW()-10)))</f>
        <v/>
      </c>
    </row>
    <row r="321">
      <c r="A321">
        <f>IF($J321="","",YEAR($J321-WEEKDAY($J321,2)+4)&amp;"-W"&amp;TEXT(WEEKNUM($J321,21),"00"))</f>
        <v/>
      </c>
      <c r="B321" s="41">
        <f>IF($J321="","",COUNTIFS(Roster!$D$4:$D$500,"Active",Roster!$C$4:$C$500,"&lt;="&amp;$J321))</f>
        <v/>
      </c>
      <c r="C321">
        <f>IF($J321="","",SUMIFS('Hours Log'!$C:$C,'Hours Log'!$A:$A,"&gt;="&amp;$J321,'Hours Log'!$A:$A,"&lt;"&amp;$J321+7)+SUMIFS('Hours Log'!$D:$D,'Hours Log'!$A:$A,"&gt;="&amp;$J321,'Hours Log'!$A:$A,"&lt;"&amp;$J321+7))</f>
        <v/>
      </c>
      <c r="D321">
        <f>IF($J321="","",SUMIFS('Hours Log'!$D:$D,'Hours Log'!$A:$A,"&gt;="&amp;$J321,'Hours Log'!$A:$A,"&lt;"&amp;$J321+7))</f>
        <v/>
      </c>
      <c r="E321">
        <f>IF($J321="","",IFERROR(C321/(B321*40),0))</f>
        <v/>
      </c>
      <c r="F321">
        <f>IF($J321="","",0)</f>
        <v/>
      </c>
      <c r="G321">
        <f>IF($J321="","",SUMIFS('Hours Log'!$E:$E,'Hours Log'!$A:$A,"&gt;="&amp;$J321,'Hours Log'!$A:$A,"&lt;"&amp;$J321+7))</f>
        <v/>
      </c>
      <c r="J321">
        <f>IF(COUNT('Hours Log'!$A$4:$A$5000)=0,"",IF(MIN('Hours Log'!$A$4:$A$5000)+7*(ROW()-10)&gt;MAX('Hours Log'!$A$4:$A$5000),"",MIN('Hours Log'!$A$4:$A$5000)+7*(ROW()-10)))</f>
        <v/>
      </c>
    </row>
    <row r="322">
      <c r="A322">
        <f>IF($J322="","",YEAR($J322-WEEKDAY($J322,2)+4)&amp;"-W"&amp;TEXT(WEEKNUM($J322,21),"00"))</f>
        <v/>
      </c>
      <c r="B322" s="41">
        <f>IF($J322="","",COUNTIFS(Roster!$D$4:$D$500,"Active",Roster!$C$4:$C$500,"&lt;="&amp;$J322))</f>
        <v/>
      </c>
      <c r="C322">
        <f>IF($J322="","",SUMIFS('Hours Log'!$C:$C,'Hours Log'!$A:$A,"&gt;="&amp;$J322,'Hours Log'!$A:$A,"&lt;"&amp;$J322+7)+SUMIFS('Hours Log'!$D:$D,'Hours Log'!$A:$A,"&gt;="&amp;$J322,'Hours Log'!$A:$A,"&lt;"&amp;$J322+7))</f>
        <v/>
      </c>
      <c r="D322">
        <f>IF($J322="","",SUMIFS('Hours Log'!$D:$D,'Hours Log'!$A:$A,"&gt;="&amp;$J322,'Hours Log'!$A:$A,"&lt;"&amp;$J322+7))</f>
        <v/>
      </c>
      <c r="E322">
        <f>IF($J322="","",IFERROR(C322/(B322*40),0))</f>
        <v/>
      </c>
      <c r="F322">
        <f>IF($J322="","",0)</f>
        <v/>
      </c>
      <c r="G322">
        <f>IF($J322="","",SUMIFS('Hours Log'!$E:$E,'Hours Log'!$A:$A,"&gt;="&amp;$J322,'Hours Log'!$A:$A,"&lt;"&amp;$J322+7))</f>
        <v/>
      </c>
      <c r="J322">
        <f>IF(COUNT('Hours Log'!$A$4:$A$5000)=0,"",IF(MIN('Hours Log'!$A$4:$A$5000)+7*(ROW()-10)&gt;MAX('Hours Log'!$A$4:$A$5000),"",MIN('Hours Log'!$A$4:$A$5000)+7*(ROW()-10)))</f>
        <v/>
      </c>
    </row>
    <row r="323">
      <c r="A323">
        <f>IF($J323="","",YEAR($J323-WEEKDAY($J323,2)+4)&amp;"-W"&amp;TEXT(WEEKNUM($J323,21),"00"))</f>
        <v/>
      </c>
      <c r="B323" s="41">
        <f>IF($J323="","",COUNTIFS(Roster!$D$4:$D$500,"Active",Roster!$C$4:$C$500,"&lt;="&amp;$J323))</f>
        <v/>
      </c>
      <c r="C323">
        <f>IF($J323="","",SUMIFS('Hours Log'!$C:$C,'Hours Log'!$A:$A,"&gt;="&amp;$J323,'Hours Log'!$A:$A,"&lt;"&amp;$J323+7)+SUMIFS('Hours Log'!$D:$D,'Hours Log'!$A:$A,"&gt;="&amp;$J323,'Hours Log'!$A:$A,"&lt;"&amp;$J323+7))</f>
        <v/>
      </c>
      <c r="D323">
        <f>IF($J323="","",SUMIFS('Hours Log'!$D:$D,'Hours Log'!$A:$A,"&gt;="&amp;$J323,'Hours Log'!$A:$A,"&lt;"&amp;$J323+7))</f>
        <v/>
      </c>
      <c r="E323">
        <f>IF($J323="","",IFERROR(C323/(B323*40),0))</f>
        <v/>
      </c>
      <c r="F323">
        <f>IF($J323="","",0)</f>
        <v/>
      </c>
      <c r="G323">
        <f>IF($J323="","",SUMIFS('Hours Log'!$E:$E,'Hours Log'!$A:$A,"&gt;="&amp;$J323,'Hours Log'!$A:$A,"&lt;"&amp;$J323+7))</f>
        <v/>
      </c>
      <c r="J323">
        <f>IF(COUNT('Hours Log'!$A$4:$A$5000)=0,"",IF(MIN('Hours Log'!$A$4:$A$5000)+7*(ROW()-10)&gt;MAX('Hours Log'!$A$4:$A$5000),"",MIN('Hours Log'!$A$4:$A$5000)+7*(ROW()-10)))</f>
        <v/>
      </c>
    </row>
    <row r="324">
      <c r="A324">
        <f>IF($J324="","",YEAR($J324-WEEKDAY($J324,2)+4)&amp;"-W"&amp;TEXT(WEEKNUM($J324,21),"00"))</f>
        <v/>
      </c>
      <c r="B324" s="41">
        <f>IF($J324="","",COUNTIFS(Roster!$D$4:$D$500,"Active",Roster!$C$4:$C$500,"&lt;="&amp;$J324))</f>
        <v/>
      </c>
      <c r="C324">
        <f>IF($J324="","",SUMIFS('Hours Log'!$C:$C,'Hours Log'!$A:$A,"&gt;="&amp;$J324,'Hours Log'!$A:$A,"&lt;"&amp;$J324+7)+SUMIFS('Hours Log'!$D:$D,'Hours Log'!$A:$A,"&gt;="&amp;$J324,'Hours Log'!$A:$A,"&lt;"&amp;$J324+7))</f>
        <v/>
      </c>
      <c r="D324">
        <f>IF($J324="","",SUMIFS('Hours Log'!$D:$D,'Hours Log'!$A:$A,"&gt;="&amp;$J324,'Hours Log'!$A:$A,"&lt;"&amp;$J324+7))</f>
        <v/>
      </c>
      <c r="E324">
        <f>IF($J324="","",IFERROR(C324/(B324*40),0))</f>
        <v/>
      </c>
      <c r="F324">
        <f>IF($J324="","",0)</f>
        <v/>
      </c>
      <c r="G324">
        <f>IF($J324="","",SUMIFS('Hours Log'!$E:$E,'Hours Log'!$A:$A,"&gt;="&amp;$J324,'Hours Log'!$A:$A,"&lt;"&amp;$J324+7))</f>
        <v/>
      </c>
      <c r="J324">
        <f>IF(COUNT('Hours Log'!$A$4:$A$5000)=0,"",IF(MIN('Hours Log'!$A$4:$A$5000)+7*(ROW()-10)&gt;MAX('Hours Log'!$A$4:$A$5000),"",MIN('Hours Log'!$A$4:$A$5000)+7*(ROW()-10)))</f>
        <v/>
      </c>
    </row>
    <row r="325">
      <c r="A325">
        <f>IF($J325="","",YEAR($J325-WEEKDAY($J325,2)+4)&amp;"-W"&amp;TEXT(WEEKNUM($J325,21),"00"))</f>
        <v/>
      </c>
      <c r="B325" s="41">
        <f>IF($J325="","",COUNTIFS(Roster!$D$4:$D$500,"Active",Roster!$C$4:$C$500,"&lt;="&amp;$J325))</f>
        <v/>
      </c>
      <c r="C325">
        <f>IF($J325="","",SUMIFS('Hours Log'!$C:$C,'Hours Log'!$A:$A,"&gt;="&amp;$J325,'Hours Log'!$A:$A,"&lt;"&amp;$J325+7)+SUMIFS('Hours Log'!$D:$D,'Hours Log'!$A:$A,"&gt;="&amp;$J325,'Hours Log'!$A:$A,"&lt;"&amp;$J325+7))</f>
        <v/>
      </c>
      <c r="D325">
        <f>IF($J325="","",SUMIFS('Hours Log'!$D:$D,'Hours Log'!$A:$A,"&gt;="&amp;$J325,'Hours Log'!$A:$A,"&lt;"&amp;$J325+7))</f>
        <v/>
      </c>
      <c r="E325">
        <f>IF($J325="","",IFERROR(C325/(B325*40),0))</f>
        <v/>
      </c>
      <c r="F325">
        <f>IF($J325="","",0)</f>
        <v/>
      </c>
      <c r="G325">
        <f>IF($J325="","",SUMIFS('Hours Log'!$E:$E,'Hours Log'!$A:$A,"&gt;="&amp;$J325,'Hours Log'!$A:$A,"&lt;"&amp;$J325+7))</f>
        <v/>
      </c>
      <c r="J325">
        <f>IF(COUNT('Hours Log'!$A$4:$A$5000)=0,"",IF(MIN('Hours Log'!$A$4:$A$5000)+7*(ROW()-10)&gt;MAX('Hours Log'!$A$4:$A$5000),"",MIN('Hours Log'!$A$4:$A$5000)+7*(ROW()-10)))</f>
        <v/>
      </c>
    </row>
    <row r="326">
      <c r="A326">
        <f>IF($J326="","",YEAR($J326-WEEKDAY($J326,2)+4)&amp;"-W"&amp;TEXT(WEEKNUM($J326,21),"00"))</f>
        <v/>
      </c>
      <c r="B326" s="41">
        <f>IF($J326="","",COUNTIFS(Roster!$D$4:$D$500,"Active",Roster!$C$4:$C$500,"&lt;="&amp;$J326))</f>
        <v/>
      </c>
      <c r="C326">
        <f>IF($J326="","",SUMIFS('Hours Log'!$C:$C,'Hours Log'!$A:$A,"&gt;="&amp;$J326,'Hours Log'!$A:$A,"&lt;"&amp;$J326+7)+SUMIFS('Hours Log'!$D:$D,'Hours Log'!$A:$A,"&gt;="&amp;$J326,'Hours Log'!$A:$A,"&lt;"&amp;$J326+7))</f>
        <v/>
      </c>
      <c r="D326">
        <f>IF($J326="","",SUMIFS('Hours Log'!$D:$D,'Hours Log'!$A:$A,"&gt;="&amp;$J326,'Hours Log'!$A:$A,"&lt;"&amp;$J326+7))</f>
        <v/>
      </c>
      <c r="E326">
        <f>IF($J326="","",IFERROR(C326/(B326*40),0))</f>
        <v/>
      </c>
      <c r="F326">
        <f>IF($J326="","",0)</f>
        <v/>
      </c>
      <c r="G326">
        <f>IF($J326="","",SUMIFS('Hours Log'!$E:$E,'Hours Log'!$A:$A,"&gt;="&amp;$J326,'Hours Log'!$A:$A,"&lt;"&amp;$J326+7))</f>
        <v/>
      </c>
      <c r="J326">
        <f>IF(COUNT('Hours Log'!$A$4:$A$5000)=0,"",IF(MIN('Hours Log'!$A$4:$A$5000)+7*(ROW()-10)&gt;MAX('Hours Log'!$A$4:$A$5000),"",MIN('Hours Log'!$A$4:$A$5000)+7*(ROW()-10)))</f>
        <v/>
      </c>
    </row>
    <row r="327">
      <c r="A327">
        <f>IF($J327="","",YEAR($J327-WEEKDAY($J327,2)+4)&amp;"-W"&amp;TEXT(WEEKNUM($J327,21),"00"))</f>
        <v/>
      </c>
      <c r="B327" s="41">
        <f>IF($J327="","",COUNTIFS(Roster!$D$4:$D$500,"Active",Roster!$C$4:$C$500,"&lt;="&amp;$J327))</f>
        <v/>
      </c>
      <c r="C327">
        <f>IF($J327="","",SUMIFS('Hours Log'!$C:$C,'Hours Log'!$A:$A,"&gt;="&amp;$J327,'Hours Log'!$A:$A,"&lt;"&amp;$J327+7)+SUMIFS('Hours Log'!$D:$D,'Hours Log'!$A:$A,"&gt;="&amp;$J327,'Hours Log'!$A:$A,"&lt;"&amp;$J327+7))</f>
        <v/>
      </c>
      <c r="D327">
        <f>IF($J327="","",SUMIFS('Hours Log'!$D:$D,'Hours Log'!$A:$A,"&gt;="&amp;$J327,'Hours Log'!$A:$A,"&lt;"&amp;$J327+7))</f>
        <v/>
      </c>
      <c r="E327">
        <f>IF($J327="","",IFERROR(C327/(B327*40),0))</f>
        <v/>
      </c>
      <c r="F327">
        <f>IF($J327="","",0)</f>
        <v/>
      </c>
      <c r="G327">
        <f>IF($J327="","",SUMIFS('Hours Log'!$E:$E,'Hours Log'!$A:$A,"&gt;="&amp;$J327,'Hours Log'!$A:$A,"&lt;"&amp;$J327+7))</f>
        <v/>
      </c>
      <c r="J327">
        <f>IF(COUNT('Hours Log'!$A$4:$A$5000)=0,"",IF(MIN('Hours Log'!$A$4:$A$5000)+7*(ROW()-10)&gt;MAX('Hours Log'!$A$4:$A$5000),"",MIN('Hours Log'!$A$4:$A$5000)+7*(ROW()-10)))</f>
        <v/>
      </c>
    </row>
    <row r="328">
      <c r="A328">
        <f>IF($J328="","",YEAR($J328-WEEKDAY($J328,2)+4)&amp;"-W"&amp;TEXT(WEEKNUM($J328,21),"00"))</f>
        <v/>
      </c>
      <c r="B328" s="41">
        <f>IF($J328="","",COUNTIFS(Roster!$D$4:$D$500,"Active",Roster!$C$4:$C$500,"&lt;="&amp;$J328))</f>
        <v/>
      </c>
      <c r="C328">
        <f>IF($J328="","",SUMIFS('Hours Log'!$C:$C,'Hours Log'!$A:$A,"&gt;="&amp;$J328,'Hours Log'!$A:$A,"&lt;"&amp;$J328+7)+SUMIFS('Hours Log'!$D:$D,'Hours Log'!$A:$A,"&gt;="&amp;$J328,'Hours Log'!$A:$A,"&lt;"&amp;$J328+7))</f>
        <v/>
      </c>
      <c r="D328">
        <f>IF($J328="","",SUMIFS('Hours Log'!$D:$D,'Hours Log'!$A:$A,"&gt;="&amp;$J328,'Hours Log'!$A:$A,"&lt;"&amp;$J328+7))</f>
        <v/>
      </c>
      <c r="E328">
        <f>IF($J328="","",IFERROR(C328/(B328*40),0))</f>
        <v/>
      </c>
      <c r="F328">
        <f>IF($J328="","",0)</f>
        <v/>
      </c>
      <c r="G328">
        <f>IF($J328="","",SUMIFS('Hours Log'!$E:$E,'Hours Log'!$A:$A,"&gt;="&amp;$J328,'Hours Log'!$A:$A,"&lt;"&amp;$J328+7))</f>
        <v/>
      </c>
      <c r="J328">
        <f>IF(COUNT('Hours Log'!$A$4:$A$5000)=0,"",IF(MIN('Hours Log'!$A$4:$A$5000)+7*(ROW()-10)&gt;MAX('Hours Log'!$A$4:$A$5000),"",MIN('Hours Log'!$A$4:$A$5000)+7*(ROW()-10)))</f>
        <v/>
      </c>
    </row>
    <row r="329">
      <c r="A329">
        <f>IF($J329="","",YEAR($J329-WEEKDAY($J329,2)+4)&amp;"-W"&amp;TEXT(WEEKNUM($J329,21),"00"))</f>
        <v/>
      </c>
      <c r="B329" s="41">
        <f>IF($J329="","",COUNTIFS(Roster!$D$4:$D$500,"Active",Roster!$C$4:$C$500,"&lt;="&amp;$J329))</f>
        <v/>
      </c>
      <c r="C329">
        <f>IF($J329="","",SUMIFS('Hours Log'!$C:$C,'Hours Log'!$A:$A,"&gt;="&amp;$J329,'Hours Log'!$A:$A,"&lt;"&amp;$J329+7)+SUMIFS('Hours Log'!$D:$D,'Hours Log'!$A:$A,"&gt;="&amp;$J329,'Hours Log'!$A:$A,"&lt;"&amp;$J329+7))</f>
        <v/>
      </c>
      <c r="D329">
        <f>IF($J329="","",SUMIFS('Hours Log'!$D:$D,'Hours Log'!$A:$A,"&gt;="&amp;$J329,'Hours Log'!$A:$A,"&lt;"&amp;$J329+7))</f>
        <v/>
      </c>
      <c r="E329">
        <f>IF($J329="","",IFERROR(C329/(B329*40),0))</f>
        <v/>
      </c>
      <c r="F329">
        <f>IF($J329="","",0)</f>
        <v/>
      </c>
      <c r="G329">
        <f>IF($J329="","",SUMIFS('Hours Log'!$E:$E,'Hours Log'!$A:$A,"&gt;="&amp;$J329,'Hours Log'!$A:$A,"&lt;"&amp;$J329+7))</f>
        <v/>
      </c>
      <c r="J329">
        <f>IF(COUNT('Hours Log'!$A$4:$A$5000)=0,"",IF(MIN('Hours Log'!$A$4:$A$5000)+7*(ROW()-10)&gt;MAX('Hours Log'!$A$4:$A$5000),"",MIN('Hours Log'!$A$4:$A$5000)+7*(ROW()-10)))</f>
        <v/>
      </c>
    </row>
    <row r="330">
      <c r="A330">
        <f>IF($J330="","",YEAR($J330-WEEKDAY($J330,2)+4)&amp;"-W"&amp;TEXT(WEEKNUM($J330,21),"00"))</f>
        <v/>
      </c>
      <c r="B330" s="41">
        <f>IF($J330="","",COUNTIFS(Roster!$D$4:$D$500,"Active",Roster!$C$4:$C$500,"&lt;="&amp;$J330))</f>
        <v/>
      </c>
      <c r="C330">
        <f>IF($J330="","",SUMIFS('Hours Log'!$C:$C,'Hours Log'!$A:$A,"&gt;="&amp;$J330,'Hours Log'!$A:$A,"&lt;"&amp;$J330+7)+SUMIFS('Hours Log'!$D:$D,'Hours Log'!$A:$A,"&gt;="&amp;$J330,'Hours Log'!$A:$A,"&lt;"&amp;$J330+7))</f>
        <v/>
      </c>
      <c r="D330">
        <f>IF($J330="","",SUMIFS('Hours Log'!$D:$D,'Hours Log'!$A:$A,"&gt;="&amp;$J330,'Hours Log'!$A:$A,"&lt;"&amp;$J330+7))</f>
        <v/>
      </c>
      <c r="E330">
        <f>IF($J330="","",IFERROR(C330/(B330*40),0))</f>
        <v/>
      </c>
      <c r="F330">
        <f>IF($J330="","",0)</f>
        <v/>
      </c>
      <c r="G330">
        <f>IF($J330="","",SUMIFS('Hours Log'!$E:$E,'Hours Log'!$A:$A,"&gt;="&amp;$J330,'Hours Log'!$A:$A,"&lt;"&amp;$J330+7))</f>
        <v/>
      </c>
      <c r="J330">
        <f>IF(COUNT('Hours Log'!$A$4:$A$5000)=0,"",IF(MIN('Hours Log'!$A$4:$A$5000)+7*(ROW()-10)&gt;MAX('Hours Log'!$A$4:$A$5000),"",MIN('Hours Log'!$A$4:$A$5000)+7*(ROW()-10)))</f>
        <v/>
      </c>
    </row>
    <row r="331">
      <c r="A331">
        <f>IF($J331="","",YEAR($J331-WEEKDAY($J331,2)+4)&amp;"-W"&amp;TEXT(WEEKNUM($J331,21),"00"))</f>
        <v/>
      </c>
      <c r="B331" s="41">
        <f>IF($J331="","",COUNTIFS(Roster!$D$4:$D$500,"Active",Roster!$C$4:$C$500,"&lt;="&amp;$J331))</f>
        <v/>
      </c>
      <c r="C331">
        <f>IF($J331="","",SUMIFS('Hours Log'!$C:$C,'Hours Log'!$A:$A,"&gt;="&amp;$J331,'Hours Log'!$A:$A,"&lt;"&amp;$J331+7)+SUMIFS('Hours Log'!$D:$D,'Hours Log'!$A:$A,"&gt;="&amp;$J331,'Hours Log'!$A:$A,"&lt;"&amp;$J331+7))</f>
        <v/>
      </c>
      <c r="D331">
        <f>IF($J331="","",SUMIFS('Hours Log'!$D:$D,'Hours Log'!$A:$A,"&gt;="&amp;$J331,'Hours Log'!$A:$A,"&lt;"&amp;$J331+7))</f>
        <v/>
      </c>
      <c r="E331">
        <f>IF($J331="","",IFERROR(C331/(B331*40),0))</f>
        <v/>
      </c>
      <c r="F331">
        <f>IF($J331="","",0)</f>
        <v/>
      </c>
      <c r="G331">
        <f>IF($J331="","",SUMIFS('Hours Log'!$E:$E,'Hours Log'!$A:$A,"&gt;="&amp;$J331,'Hours Log'!$A:$A,"&lt;"&amp;$J331+7))</f>
        <v/>
      </c>
      <c r="J331">
        <f>IF(COUNT('Hours Log'!$A$4:$A$5000)=0,"",IF(MIN('Hours Log'!$A$4:$A$5000)+7*(ROW()-10)&gt;MAX('Hours Log'!$A$4:$A$5000),"",MIN('Hours Log'!$A$4:$A$5000)+7*(ROW()-10)))</f>
        <v/>
      </c>
    </row>
    <row r="332">
      <c r="A332">
        <f>IF($J332="","",YEAR($J332-WEEKDAY($J332,2)+4)&amp;"-W"&amp;TEXT(WEEKNUM($J332,21),"00"))</f>
        <v/>
      </c>
      <c r="B332" s="41">
        <f>IF($J332="","",COUNTIFS(Roster!$D$4:$D$500,"Active",Roster!$C$4:$C$500,"&lt;="&amp;$J332))</f>
        <v/>
      </c>
      <c r="C332">
        <f>IF($J332="","",SUMIFS('Hours Log'!$C:$C,'Hours Log'!$A:$A,"&gt;="&amp;$J332,'Hours Log'!$A:$A,"&lt;"&amp;$J332+7)+SUMIFS('Hours Log'!$D:$D,'Hours Log'!$A:$A,"&gt;="&amp;$J332,'Hours Log'!$A:$A,"&lt;"&amp;$J332+7))</f>
        <v/>
      </c>
      <c r="D332">
        <f>IF($J332="","",SUMIFS('Hours Log'!$D:$D,'Hours Log'!$A:$A,"&gt;="&amp;$J332,'Hours Log'!$A:$A,"&lt;"&amp;$J332+7))</f>
        <v/>
      </c>
      <c r="E332">
        <f>IF($J332="","",IFERROR(C332/(B332*40),0))</f>
        <v/>
      </c>
      <c r="F332">
        <f>IF($J332="","",0)</f>
        <v/>
      </c>
      <c r="G332">
        <f>IF($J332="","",SUMIFS('Hours Log'!$E:$E,'Hours Log'!$A:$A,"&gt;="&amp;$J332,'Hours Log'!$A:$A,"&lt;"&amp;$J332+7))</f>
        <v/>
      </c>
      <c r="J332">
        <f>IF(COUNT('Hours Log'!$A$4:$A$5000)=0,"",IF(MIN('Hours Log'!$A$4:$A$5000)+7*(ROW()-10)&gt;MAX('Hours Log'!$A$4:$A$5000),"",MIN('Hours Log'!$A$4:$A$5000)+7*(ROW()-10)))</f>
        <v/>
      </c>
    </row>
    <row r="333">
      <c r="A333">
        <f>IF($J333="","",YEAR($J333-WEEKDAY($J333,2)+4)&amp;"-W"&amp;TEXT(WEEKNUM($J333,21),"00"))</f>
        <v/>
      </c>
      <c r="B333" s="41">
        <f>IF($J333="","",COUNTIFS(Roster!$D$4:$D$500,"Active",Roster!$C$4:$C$500,"&lt;="&amp;$J333))</f>
        <v/>
      </c>
      <c r="C333">
        <f>IF($J333="","",SUMIFS('Hours Log'!$C:$C,'Hours Log'!$A:$A,"&gt;="&amp;$J333,'Hours Log'!$A:$A,"&lt;"&amp;$J333+7)+SUMIFS('Hours Log'!$D:$D,'Hours Log'!$A:$A,"&gt;="&amp;$J333,'Hours Log'!$A:$A,"&lt;"&amp;$J333+7))</f>
        <v/>
      </c>
      <c r="D333">
        <f>IF($J333="","",SUMIFS('Hours Log'!$D:$D,'Hours Log'!$A:$A,"&gt;="&amp;$J333,'Hours Log'!$A:$A,"&lt;"&amp;$J333+7))</f>
        <v/>
      </c>
      <c r="E333">
        <f>IF($J333="","",IFERROR(C333/(B333*40),0))</f>
        <v/>
      </c>
      <c r="F333">
        <f>IF($J333="","",0)</f>
        <v/>
      </c>
      <c r="G333">
        <f>IF($J333="","",SUMIFS('Hours Log'!$E:$E,'Hours Log'!$A:$A,"&gt;="&amp;$J333,'Hours Log'!$A:$A,"&lt;"&amp;$J333+7))</f>
        <v/>
      </c>
      <c r="J333">
        <f>IF(COUNT('Hours Log'!$A$4:$A$5000)=0,"",IF(MIN('Hours Log'!$A$4:$A$5000)+7*(ROW()-10)&gt;MAX('Hours Log'!$A$4:$A$5000),"",MIN('Hours Log'!$A$4:$A$5000)+7*(ROW()-10)))</f>
        <v/>
      </c>
    </row>
    <row r="334">
      <c r="A334">
        <f>IF($J334="","",YEAR($J334-WEEKDAY($J334,2)+4)&amp;"-W"&amp;TEXT(WEEKNUM($J334,21),"00"))</f>
        <v/>
      </c>
      <c r="B334" s="41">
        <f>IF($J334="","",COUNTIFS(Roster!$D$4:$D$500,"Active",Roster!$C$4:$C$500,"&lt;="&amp;$J334))</f>
        <v/>
      </c>
      <c r="C334">
        <f>IF($J334="","",SUMIFS('Hours Log'!$C:$C,'Hours Log'!$A:$A,"&gt;="&amp;$J334,'Hours Log'!$A:$A,"&lt;"&amp;$J334+7)+SUMIFS('Hours Log'!$D:$D,'Hours Log'!$A:$A,"&gt;="&amp;$J334,'Hours Log'!$A:$A,"&lt;"&amp;$J334+7))</f>
        <v/>
      </c>
      <c r="D334">
        <f>IF($J334="","",SUMIFS('Hours Log'!$D:$D,'Hours Log'!$A:$A,"&gt;="&amp;$J334,'Hours Log'!$A:$A,"&lt;"&amp;$J334+7))</f>
        <v/>
      </c>
      <c r="E334">
        <f>IF($J334="","",IFERROR(C334/(B334*40),0))</f>
        <v/>
      </c>
      <c r="F334">
        <f>IF($J334="","",0)</f>
        <v/>
      </c>
      <c r="G334">
        <f>IF($J334="","",SUMIFS('Hours Log'!$E:$E,'Hours Log'!$A:$A,"&gt;="&amp;$J334,'Hours Log'!$A:$A,"&lt;"&amp;$J334+7))</f>
        <v/>
      </c>
      <c r="J334">
        <f>IF(COUNT('Hours Log'!$A$4:$A$5000)=0,"",IF(MIN('Hours Log'!$A$4:$A$5000)+7*(ROW()-10)&gt;MAX('Hours Log'!$A$4:$A$5000),"",MIN('Hours Log'!$A$4:$A$5000)+7*(ROW()-10)))</f>
        <v/>
      </c>
    </row>
    <row r="335">
      <c r="A335">
        <f>IF($J335="","",YEAR($J335-WEEKDAY($J335,2)+4)&amp;"-W"&amp;TEXT(WEEKNUM($J335,21),"00"))</f>
        <v/>
      </c>
      <c r="B335" s="41">
        <f>IF($J335="","",COUNTIFS(Roster!$D$4:$D$500,"Active",Roster!$C$4:$C$500,"&lt;="&amp;$J335))</f>
        <v/>
      </c>
      <c r="C335">
        <f>IF($J335="","",SUMIFS('Hours Log'!$C:$C,'Hours Log'!$A:$A,"&gt;="&amp;$J335,'Hours Log'!$A:$A,"&lt;"&amp;$J335+7)+SUMIFS('Hours Log'!$D:$D,'Hours Log'!$A:$A,"&gt;="&amp;$J335,'Hours Log'!$A:$A,"&lt;"&amp;$J335+7))</f>
        <v/>
      </c>
      <c r="D335">
        <f>IF($J335="","",SUMIFS('Hours Log'!$D:$D,'Hours Log'!$A:$A,"&gt;="&amp;$J335,'Hours Log'!$A:$A,"&lt;"&amp;$J335+7))</f>
        <v/>
      </c>
      <c r="E335">
        <f>IF($J335="","",IFERROR(C335/(B335*40),0))</f>
        <v/>
      </c>
      <c r="F335">
        <f>IF($J335="","",0)</f>
        <v/>
      </c>
      <c r="G335">
        <f>IF($J335="","",SUMIFS('Hours Log'!$E:$E,'Hours Log'!$A:$A,"&gt;="&amp;$J335,'Hours Log'!$A:$A,"&lt;"&amp;$J335+7))</f>
        <v/>
      </c>
      <c r="J335">
        <f>IF(COUNT('Hours Log'!$A$4:$A$5000)=0,"",IF(MIN('Hours Log'!$A$4:$A$5000)+7*(ROW()-10)&gt;MAX('Hours Log'!$A$4:$A$5000),"",MIN('Hours Log'!$A$4:$A$5000)+7*(ROW()-10)))</f>
        <v/>
      </c>
    </row>
    <row r="336">
      <c r="A336">
        <f>IF($J336="","",YEAR($J336-WEEKDAY($J336,2)+4)&amp;"-W"&amp;TEXT(WEEKNUM($J336,21),"00"))</f>
        <v/>
      </c>
      <c r="B336" s="41">
        <f>IF($J336="","",COUNTIFS(Roster!$D$4:$D$500,"Active",Roster!$C$4:$C$500,"&lt;="&amp;$J336))</f>
        <v/>
      </c>
      <c r="C336">
        <f>IF($J336="","",SUMIFS('Hours Log'!$C:$C,'Hours Log'!$A:$A,"&gt;="&amp;$J336,'Hours Log'!$A:$A,"&lt;"&amp;$J336+7)+SUMIFS('Hours Log'!$D:$D,'Hours Log'!$A:$A,"&gt;="&amp;$J336,'Hours Log'!$A:$A,"&lt;"&amp;$J336+7))</f>
        <v/>
      </c>
      <c r="D336">
        <f>IF($J336="","",SUMIFS('Hours Log'!$D:$D,'Hours Log'!$A:$A,"&gt;="&amp;$J336,'Hours Log'!$A:$A,"&lt;"&amp;$J336+7))</f>
        <v/>
      </c>
      <c r="E336">
        <f>IF($J336="","",IFERROR(C336/(B336*40),0))</f>
        <v/>
      </c>
      <c r="F336">
        <f>IF($J336="","",0)</f>
        <v/>
      </c>
      <c r="G336">
        <f>IF($J336="","",SUMIFS('Hours Log'!$E:$E,'Hours Log'!$A:$A,"&gt;="&amp;$J336,'Hours Log'!$A:$A,"&lt;"&amp;$J336+7))</f>
        <v/>
      </c>
      <c r="J336">
        <f>IF(COUNT('Hours Log'!$A$4:$A$5000)=0,"",IF(MIN('Hours Log'!$A$4:$A$5000)+7*(ROW()-10)&gt;MAX('Hours Log'!$A$4:$A$5000),"",MIN('Hours Log'!$A$4:$A$5000)+7*(ROW()-10)))</f>
        <v/>
      </c>
    </row>
    <row r="337">
      <c r="A337">
        <f>IF($J337="","",YEAR($J337-WEEKDAY($J337,2)+4)&amp;"-W"&amp;TEXT(WEEKNUM($J337,21),"00"))</f>
        <v/>
      </c>
      <c r="B337" s="41">
        <f>IF($J337="","",COUNTIFS(Roster!$D$4:$D$500,"Active",Roster!$C$4:$C$500,"&lt;="&amp;$J337))</f>
        <v/>
      </c>
      <c r="C337">
        <f>IF($J337="","",SUMIFS('Hours Log'!$C:$C,'Hours Log'!$A:$A,"&gt;="&amp;$J337,'Hours Log'!$A:$A,"&lt;"&amp;$J337+7)+SUMIFS('Hours Log'!$D:$D,'Hours Log'!$A:$A,"&gt;="&amp;$J337,'Hours Log'!$A:$A,"&lt;"&amp;$J337+7))</f>
        <v/>
      </c>
      <c r="D337">
        <f>IF($J337="","",SUMIFS('Hours Log'!$D:$D,'Hours Log'!$A:$A,"&gt;="&amp;$J337,'Hours Log'!$A:$A,"&lt;"&amp;$J337+7))</f>
        <v/>
      </c>
      <c r="E337">
        <f>IF($J337="","",IFERROR(C337/(B337*40),0))</f>
        <v/>
      </c>
      <c r="F337">
        <f>IF($J337="","",0)</f>
        <v/>
      </c>
      <c r="G337">
        <f>IF($J337="","",SUMIFS('Hours Log'!$E:$E,'Hours Log'!$A:$A,"&gt;="&amp;$J337,'Hours Log'!$A:$A,"&lt;"&amp;$J337+7))</f>
        <v/>
      </c>
      <c r="J337">
        <f>IF(COUNT('Hours Log'!$A$4:$A$5000)=0,"",IF(MIN('Hours Log'!$A$4:$A$5000)+7*(ROW()-10)&gt;MAX('Hours Log'!$A$4:$A$5000),"",MIN('Hours Log'!$A$4:$A$5000)+7*(ROW()-10)))</f>
        <v/>
      </c>
    </row>
    <row r="338">
      <c r="A338">
        <f>IF($J338="","",YEAR($J338-WEEKDAY($J338,2)+4)&amp;"-W"&amp;TEXT(WEEKNUM($J338,21),"00"))</f>
        <v/>
      </c>
      <c r="B338" s="41">
        <f>IF($J338="","",COUNTIFS(Roster!$D$4:$D$500,"Active",Roster!$C$4:$C$500,"&lt;="&amp;$J338))</f>
        <v/>
      </c>
      <c r="C338">
        <f>IF($J338="","",SUMIFS('Hours Log'!$C:$C,'Hours Log'!$A:$A,"&gt;="&amp;$J338,'Hours Log'!$A:$A,"&lt;"&amp;$J338+7)+SUMIFS('Hours Log'!$D:$D,'Hours Log'!$A:$A,"&gt;="&amp;$J338,'Hours Log'!$A:$A,"&lt;"&amp;$J338+7))</f>
        <v/>
      </c>
      <c r="D338">
        <f>IF($J338="","",SUMIFS('Hours Log'!$D:$D,'Hours Log'!$A:$A,"&gt;="&amp;$J338,'Hours Log'!$A:$A,"&lt;"&amp;$J338+7))</f>
        <v/>
      </c>
      <c r="E338">
        <f>IF($J338="","",IFERROR(C338/(B338*40),0))</f>
        <v/>
      </c>
      <c r="F338">
        <f>IF($J338="","",0)</f>
        <v/>
      </c>
      <c r="G338">
        <f>IF($J338="","",SUMIFS('Hours Log'!$E:$E,'Hours Log'!$A:$A,"&gt;="&amp;$J338,'Hours Log'!$A:$A,"&lt;"&amp;$J338+7))</f>
        <v/>
      </c>
      <c r="J338">
        <f>IF(COUNT('Hours Log'!$A$4:$A$5000)=0,"",IF(MIN('Hours Log'!$A$4:$A$5000)+7*(ROW()-10)&gt;MAX('Hours Log'!$A$4:$A$5000),"",MIN('Hours Log'!$A$4:$A$5000)+7*(ROW()-10)))</f>
        <v/>
      </c>
    </row>
    <row r="339">
      <c r="A339">
        <f>IF($J339="","",YEAR($J339-WEEKDAY($J339,2)+4)&amp;"-W"&amp;TEXT(WEEKNUM($J339,21),"00"))</f>
        <v/>
      </c>
      <c r="B339" s="41">
        <f>IF($J339="","",COUNTIFS(Roster!$D$4:$D$500,"Active",Roster!$C$4:$C$500,"&lt;="&amp;$J339))</f>
        <v/>
      </c>
      <c r="C339">
        <f>IF($J339="","",SUMIFS('Hours Log'!$C:$C,'Hours Log'!$A:$A,"&gt;="&amp;$J339,'Hours Log'!$A:$A,"&lt;"&amp;$J339+7)+SUMIFS('Hours Log'!$D:$D,'Hours Log'!$A:$A,"&gt;="&amp;$J339,'Hours Log'!$A:$A,"&lt;"&amp;$J339+7))</f>
        <v/>
      </c>
      <c r="D339">
        <f>IF($J339="","",SUMIFS('Hours Log'!$D:$D,'Hours Log'!$A:$A,"&gt;="&amp;$J339,'Hours Log'!$A:$A,"&lt;"&amp;$J339+7))</f>
        <v/>
      </c>
      <c r="E339">
        <f>IF($J339="","",IFERROR(C339/(B339*40),0))</f>
        <v/>
      </c>
      <c r="F339">
        <f>IF($J339="","",0)</f>
        <v/>
      </c>
      <c r="G339">
        <f>IF($J339="","",SUMIFS('Hours Log'!$E:$E,'Hours Log'!$A:$A,"&gt;="&amp;$J339,'Hours Log'!$A:$A,"&lt;"&amp;$J339+7))</f>
        <v/>
      </c>
      <c r="J339">
        <f>IF(COUNT('Hours Log'!$A$4:$A$5000)=0,"",IF(MIN('Hours Log'!$A$4:$A$5000)+7*(ROW()-10)&gt;MAX('Hours Log'!$A$4:$A$5000),"",MIN('Hours Log'!$A$4:$A$5000)+7*(ROW()-10)))</f>
        <v/>
      </c>
    </row>
    <row r="340">
      <c r="A340">
        <f>IF($J340="","",YEAR($J340-WEEKDAY($J340,2)+4)&amp;"-W"&amp;TEXT(WEEKNUM($J340,21),"00"))</f>
        <v/>
      </c>
      <c r="B340" s="41">
        <f>IF($J340="","",COUNTIFS(Roster!$D$4:$D$500,"Active",Roster!$C$4:$C$500,"&lt;="&amp;$J340))</f>
        <v/>
      </c>
      <c r="C340">
        <f>IF($J340="","",SUMIFS('Hours Log'!$C:$C,'Hours Log'!$A:$A,"&gt;="&amp;$J340,'Hours Log'!$A:$A,"&lt;"&amp;$J340+7)+SUMIFS('Hours Log'!$D:$D,'Hours Log'!$A:$A,"&gt;="&amp;$J340,'Hours Log'!$A:$A,"&lt;"&amp;$J340+7))</f>
        <v/>
      </c>
      <c r="D340">
        <f>IF($J340="","",SUMIFS('Hours Log'!$D:$D,'Hours Log'!$A:$A,"&gt;="&amp;$J340,'Hours Log'!$A:$A,"&lt;"&amp;$J340+7))</f>
        <v/>
      </c>
      <c r="E340">
        <f>IF($J340="","",IFERROR(C340/(B340*40),0))</f>
        <v/>
      </c>
      <c r="F340">
        <f>IF($J340="","",0)</f>
        <v/>
      </c>
      <c r="G340">
        <f>IF($J340="","",SUMIFS('Hours Log'!$E:$E,'Hours Log'!$A:$A,"&gt;="&amp;$J340,'Hours Log'!$A:$A,"&lt;"&amp;$J340+7))</f>
        <v/>
      </c>
      <c r="J340">
        <f>IF(COUNT('Hours Log'!$A$4:$A$5000)=0,"",IF(MIN('Hours Log'!$A$4:$A$5000)+7*(ROW()-10)&gt;MAX('Hours Log'!$A$4:$A$5000),"",MIN('Hours Log'!$A$4:$A$5000)+7*(ROW()-10)))</f>
        <v/>
      </c>
    </row>
    <row r="341">
      <c r="A341">
        <f>IF($J341="","",YEAR($J341-WEEKDAY($J341,2)+4)&amp;"-W"&amp;TEXT(WEEKNUM($J341,21),"00"))</f>
        <v/>
      </c>
      <c r="B341" s="41">
        <f>IF($J341="","",COUNTIFS(Roster!$D$4:$D$500,"Active",Roster!$C$4:$C$500,"&lt;="&amp;$J341))</f>
        <v/>
      </c>
      <c r="C341">
        <f>IF($J341="","",SUMIFS('Hours Log'!$C:$C,'Hours Log'!$A:$A,"&gt;="&amp;$J341,'Hours Log'!$A:$A,"&lt;"&amp;$J341+7)+SUMIFS('Hours Log'!$D:$D,'Hours Log'!$A:$A,"&gt;="&amp;$J341,'Hours Log'!$A:$A,"&lt;"&amp;$J341+7))</f>
        <v/>
      </c>
      <c r="D341">
        <f>IF($J341="","",SUMIFS('Hours Log'!$D:$D,'Hours Log'!$A:$A,"&gt;="&amp;$J341,'Hours Log'!$A:$A,"&lt;"&amp;$J341+7))</f>
        <v/>
      </c>
      <c r="E341">
        <f>IF($J341="","",IFERROR(C341/(B341*40),0))</f>
        <v/>
      </c>
      <c r="F341">
        <f>IF($J341="","",0)</f>
        <v/>
      </c>
      <c r="G341">
        <f>IF($J341="","",SUMIFS('Hours Log'!$E:$E,'Hours Log'!$A:$A,"&gt;="&amp;$J341,'Hours Log'!$A:$A,"&lt;"&amp;$J341+7))</f>
        <v/>
      </c>
      <c r="J341">
        <f>IF(COUNT('Hours Log'!$A$4:$A$5000)=0,"",IF(MIN('Hours Log'!$A$4:$A$5000)+7*(ROW()-10)&gt;MAX('Hours Log'!$A$4:$A$5000),"",MIN('Hours Log'!$A$4:$A$5000)+7*(ROW()-10)))</f>
        <v/>
      </c>
    </row>
    <row r="342">
      <c r="A342">
        <f>IF($J342="","",YEAR($J342-WEEKDAY($J342,2)+4)&amp;"-W"&amp;TEXT(WEEKNUM($J342,21),"00"))</f>
        <v/>
      </c>
      <c r="B342" s="41">
        <f>IF($J342="","",COUNTIFS(Roster!$D$4:$D$500,"Active",Roster!$C$4:$C$500,"&lt;="&amp;$J342))</f>
        <v/>
      </c>
      <c r="C342">
        <f>IF($J342="","",SUMIFS('Hours Log'!$C:$C,'Hours Log'!$A:$A,"&gt;="&amp;$J342,'Hours Log'!$A:$A,"&lt;"&amp;$J342+7)+SUMIFS('Hours Log'!$D:$D,'Hours Log'!$A:$A,"&gt;="&amp;$J342,'Hours Log'!$A:$A,"&lt;"&amp;$J342+7))</f>
        <v/>
      </c>
      <c r="D342">
        <f>IF($J342="","",SUMIFS('Hours Log'!$D:$D,'Hours Log'!$A:$A,"&gt;="&amp;$J342,'Hours Log'!$A:$A,"&lt;"&amp;$J342+7))</f>
        <v/>
      </c>
      <c r="E342">
        <f>IF($J342="","",IFERROR(C342/(B342*40),0))</f>
        <v/>
      </c>
      <c r="F342">
        <f>IF($J342="","",0)</f>
        <v/>
      </c>
      <c r="G342">
        <f>IF($J342="","",SUMIFS('Hours Log'!$E:$E,'Hours Log'!$A:$A,"&gt;="&amp;$J342,'Hours Log'!$A:$A,"&lt;"&amp;$J342+7))</f>
        <v/>
      </c>
      <c r="J342">
        <f>IF(COUNT('Hours Log'!$A$4:$A$5000)=0,"",IF(MIN('Hours Log'!$A$4:$A$5000)+7*(ROW()-10)&gt;MAX('Hours Log'!$A$4:$A$5000),"",MIN('Hours Log'!$A$4:$A$5000)+7*(ROW()-10)))</f>
        <v/>
      </c>
    </row>
    <row r="343">
      <c r="A343">
        <f>IF($J343="","",YEAR($J343-WEEKDAY($J343,2)+4)&amp;"-W"&amp;TEXT(WEEKNUM($J343,21),"00"))</f>
        <v/>
      </c>
      <c r="B343" s="41">
        <f>IF($J343="","",COUNTIFS(Roster!$D$4:$D$500,"Active",Roster!$C$4:$C$500,"&lt;="&amp;$J343))</f>
        <v/>
      </c>
      <c r="C343">
        <f>IF($J343="","",SUMIFS('Hours Log'!$C:$C,'Hours Log'!$A:$A,"&gt;="&amp;$J343,'Hours Log'!$A:$A,"&lt;"&amp;$J343+7)+SUMIFS('Hours Log'!$D:$D,'Hours Log'!$A:$A,"&gt;="&amp;$J343,'Hours Log'!$A:$A,"&lt;"&amp;$J343+7))</f>
        <v/>
      </c>
      <c r="D343">
        <f>IF($J343="","",SUMIFS('Hours Log'!$D:$D,'Hours Log'!$A:$A,"&gt;="&amp;$J343,'Hours Log'!$A:$A,"&lt;"&amp;$J343+7))</f>
        <v/>
      </c>
      <c r="E343">
        <f>IF($J343="","",IFERROR(C343/(B343*40),0))</f>
        <v/>
      </c>
      <c r="F343">
        <f>IF($J343="","",0)</f>
        <v/>
      </c>
      <c r="G343">
        <f>IF($J343="","",SUMIFS('Hours Log'!$E:$E,'Hours Log'!$A:$A,"&gt;="&amp;$J343,'Hours Log'!$A:$A,"&lt;"&amp;$J343+7))</f>
        <v/>
      </c>
      <c r="J343">
        <f>IF(COUNT('Hours Log'!$A$4:$A$5000)=0,"",IF(MIN('Hours Log'!$A$4:$A$5000)+7*(ROW()-10)&gt;MAX('Hours Log'!$A$4:$A$5000),"",MIN('Hours Log'!$A$4:$A$5000)+7*(ROW()-10)))</f>
        <v/>
      </c>
    </row>
    <row r="344">
      <c r="A344">
        <f>IF($J344="","",YEAR($J344-WEEKDAY($J344,2)+4)&amp;"-W"&amp;TEXT(WEEKNUM($J344,21),"00"))</f>
        <v/>
      </c>
      <c r="B344" s="41">
        <f>IF($J344="","",COUNTIFS(Roster!$D$4:$D$500,"Active",Roster!$C$4:$C$500,"&lt;="&amp;$J344))</f>
        <v/>
      </c>
      <c r="C344">
        <f>IF($J344="","",SUMIFS('Hours Log'!$C:$C,'Hours Log'!$A:$A,"&gt;="&amp;$J344,'Hours Log'!$A:$A,"&lt;"&amp;$J344+7)+SUMIFS('Hours Log'!$D:$D,'Hours Log'!$A:$A,"&gt;="&amp;$J344,'Hours Log'!$A:$A,"&lt;"&amp;$J344+7))</f>
        <v/>
      </c>
      <c r="D344">
        <f>IF($J344="","",SUMIFS('Hours Log'!$D:$D,'Hours Log'!$A:$A,"&gt;="&amp;$J344,'Hours Log'!$A:$A,"&lt;"&amp;$J344+7))</f>
        <v/>
      </c>
      <c r="E344">
        <f>IF($J344="","",IFERROR(C344/(B344*40),0))</f>
        <v/>
      </c>
      <c r="F344">
        <f>IF($J344="","",0)</f>
        <v/>
      </c>
      <c r="G344">
        <f>IF($J344="","",SUMIFS('Hours Log'!$E:$E,'Hours Log'!$A:$A,"&gt;="&amp;$J344,'Hours Log'!$A:$A,"&lt;"&amp;$J344+7))</f>
        <v/>
      </c>
      <c r="J344">
        <f>IF(COUNT('Hours Log'!$A$4:$A$5000)=0,"",IF(MIN('Hours Log'!$A$4:$A$5000)+7*(ROW()-10)&gt;MAX('Hours Log'!$A$4:$A$5000),"",MIN('Hours Log'!$A$4:$A$5000)+7*(ROW()-10)))</f>
        <v/>
      </c>
    </row>
    <row r="345">
      <c r="A345">
        <f>IF($J345="","",YEAR($J345-WEEKDAY($J345,2)+4)&amp;"-W"&amp;TEXT(WEEKNUM($J345,21),"00"))</f>
        <v/>
      </c>
      <c r="B345" s="41">
        <f>IF($J345="","",COUNTIFS(Roster!$D$4:$D$500,"Active",Roster!$C$4:$C$500,"&lt;="&amp;$J345))</f>
        <v/>
      </c>
      <c r="C345">
        <f>IF($J345="","",SUMIFS('Hours Log'!$C:$C,'Hours Log'!$A:$A,"&gt;="&amp;$J345,'Hours Log'!$A:$A,"&lt;"&amp;$J345+7)+SUMIFS('Hours Log'!$D:$D,'Hours Log'!$A:$A,"&gt;="&amp;$J345,'Hours Log'!$A:$A,"&lt;"&amp;$J345+7))</f>
        <v/>
      </c>
      <c r="D345">
        <f>IF($J345="","",SUMIFS('Hours Log'!$D:$D,'Hours Log'!$A:$A,"&gt;="&amp;$J345,'Hours Log'!$A:$A,"&lt;"&amp;$J345+7))</f>
        <v/>
      </c>
      <c r="E345">
        <f>IF($J345="","",IFERROR(C345/(B345*40),0))</f>
        <v/>
      </c>
      <c r="F345">
        <f>IF($J345="","",0)</f>
        <v/>
      </c>
      <c r="G345">
        <f>IF($J345="","",SUMIFS('Hours Log'!$E:$E,'Hours Log'!$A:$A,"&gt;="&amp;$J345,'Hours Log'!$A:$A,"&lt;"&amp;$J345+7))</f>
        <v/>
      </c>
      <c r="J345">
        <f>IF(COUNT('Hours Log'!$A$4:$A$5000)=0,"",IF(MIN('Hours Log'!$A$4:$A$5000)+7*(ROW()-10)&gt;MAX('Hours Log'!$A$4:$A$5000),"",MIN('Hours Log'!$A$4:$A$5000)+7*(ROW()-10)))</f>
        <v/>
      </c>
    </row>
    <row r="346">
      <c r="A346">
        <f>IF($J346="","",YEAR($J346-WEEKDAY($J346,2)+4)&amp;"-W"&amp;TEXT(WEEKNUM($J346,21),"00"))</f>
        <v/>
      </c>
      <c r="B346" s="41">
        <f>IF($J346="","",COUNTIFS(Roster!$D$4:$D$500,"Active",Roster!$C$4:$C$500,"&lt;="&amp;$J346))</f>
        <v/>
      </c>
      <c r="C346">
        <f>IF($J346="","",SUMIFS('Hours Log'!$C:$C,'Hours Log'!$A:$A,"&gt;="&amp;$J346,'Hours Log'!$A:$A,"&lt;"&amp;$J346+7)+SUMIFS('Hours Log'!$D:$D,'Hours Log'!$A:$A,"&gt;="&amp;$J346,'Hours Log'!$A:$A,"&lt;"&amp;$J346+7))</f>
        <v/>
      </c>
      <c r="D346">
        <f>IF($J346="","",SUMIFS('Hours Log'!$D:$D,'Hours Log'!$A:$A,"&gt;="&amp;$J346,'Hours Log'!$A:$A,"&lt;"&amp;$J346+7))</f>
        <v/>
      </c>
      <c r="E346">
        <f>IF($J346="","",IFERROR(C346/(B346*40),0))</f>
        <v/>
      </c>
      <c r="F346">
        <f>IF($J346="","",0)</f>
        <v/>
      </c>
      <c r="G346">
        <f>IF($J346="","",SUMIFS('Hours Log'!$E:$E,'Hours Log'!$A:$A,"&gt;="&amp;$J346,'Hours Log'!$A:$A,"&lt;"&amp;$J346+7))</f>
        <v/>
      </c>
      <c r="J346">
        <f>IF(COUNT('Hours Log'!$A$4:$A$5000)=0,"",IF(MIN('Hours Log'!$A$4:$A$5000)+7*(ROW()-10)&gt;MAX('Hours Log'!$A$4:$A$5000),"",MIN('Hours Log'!$A$4:$A$5000)+7*(ROW()-10)))</f>
        <v/>
      </c>
    </row>
    <row r="347">
      <c r="A347">
        <f>IF($J347="","",YEAR($J347-WEEKDAY($J347,2)+4)&amp;"-W"&amp;TEXT(WEEKNUM($J347,21),"00"))</f>
        <v/>
      </c>
      <c r="B347" s="41">
        <f>IF($J347="","",COUNTIFS(Roster!$D$4:$D$500,"Active",Roster!$C$4:$C$500,"&lt;="&amp;$J347))</f>
        <v/>
      </c>
      <c r="C347">
        <f>IF($J347="","",SUMIFS('Hours Log'!$C:$C,'Hours Log'!$A:$A,"&gt;="&amp;$J347,'Hours Log'!$A:$A,"&lt;"&amp;$J347+7)+SUMIFS('Hours Log'!$D:$D,'Hours Log'!$A:$A,"&gt;="&amp;$J347,'Hours Log'!$A:$A,"&lt;"&amp;$J347+7))</f>
        <v/>
      </c>
      <c r="D347">
        <f>IF($J347="","",SUMIFS('Hours Log'!$D:$D,'Hours Log'!$A:$A,"&gt;="&amp;$J347,'Hours Log'!$A:$A,"&lt;"&amp;$J347+7))</f>
        <v/>
      </c>
      <c r="E347">
        <f>IF($J347="","",IFERROR(C347/(B347*40),0))</f>
        <v/>
      </c>
      <c r="F347">
        <f>IF($J347="","",0)</f>
        <v/>
      </c>
      <c r="G347">
        <f>IF($J347="","",SUMIFS('Hours Log'!$E:$E,'Hours Log'!$A:$A,"&gt;="&amp;$J347,'Hours Log'!$A:$A,"&lt;"&amp;$J347+7))</f>
        <v/>
      </c>
      <c r="J347">
        <f>IF(COUNT('Hours Log'!$A$4:$A$5000)=0,"",IF(MIN('Hours Log'!$A$4:$A$5000)+7*(ROW()-10)&gt;MAX('Hours Log'!$A$4:$A$5000),"",MIN('Hours Log'!$A$4:$A$5000)+7*(ROW()-10)))</f>
        <v/>
      </c>
    </row>
    <row r="348">
      <c r="A348">
        <f>IF($J348="","",YEAR($J348-WEEKDAY($J348,2)+4)&amp;"-W"&amp;TEXT(WEEKNUM($J348,21),"00"))</f>
        <v/>
      </c>
      <c r="B348" s="41">
        <f>IF($J348="","",COUNTIFS(Roster!$D$4:$D$500,"Active",Roster!$C$4:$C$500,"&lt;="&amp;$J348))</f>
        <v/>
      </c>
      <c r="C348">
        <f>IF($J348="","",SUMIFS('Hours Log'!$C:$C,'Hours Log'!$A:$A,"&gt;="&amp;$J348,'Hours Log'!$A:$A,"&lt;"&amp;$J348+7)+SUMIFS('Hours Log'!$D:$D,'Hours Log'!$A:$A,"&gt;="&amp;$J348,'Hours Log'!$A:$A,"&lt;"&amp;$J348+7))</f>
        <v/>
      </c>
      <c r="D348">
        <f>IF($J348="","",SUMIFS('Hours Log'!$D:$D,'Hours Log'!$A:$A,"&gt;="&amp;$J348,'Hours Log'!$A:$A,"&lt;"&amp;$J348+7))</f>
        <v/>
      </c>
      <c r="E348">
        <f>IF($J348="","",IFERROR(C348/(B348*40),0))</f>
        <v/>
      </c>
      <c r="F348">
        <f>IF($J348="","",0)</f>
        <v/>
      </c>
      <c r="G348">
        <f>IF($J348="","",SUMIFS('Hours Log'!$E:$E,'Hours Log'!$A:$A,"&gt;="&amp;$J348,'Hours Log'!$A:$A,"&lt;"&amp;$J348+7))</f>
        <v/>
      </c>
      <c r="J348">
        <f>IF(COUNT('Hours Log'!$A$4:$A$5000)=0,"",IF(MIN('Hours Log'!$A$4:$A$5000)+7*(ROW()-10)&gt;MAX('Hours Log'!$A$4:$A$5000),"",MIN('Hours Log'!$A$4:$A$5000)+7*(ROW()-10)))</f>
        <v/>
      </c>
    </row>
    <row r="349">
      <c r="A349">
        <f>IF($J349="","",YEAR($J349-WEEKDAY($J349,2)+4)&amp;"-W"&amp;TEXT(WEEKNUM($J349,21),"00"))</f>
        <v/>
      </c>
      <c r="B349" s="41">
        <f>IF($J349="","",COUNTIFS(Roster!$D$4:$D$500,"Active",Roster!$C$4:$C$500,"&lt;="&amp;$J349))</f>
        <v/>
      </c>
      <c r="C349">
        <f>IF($J349="","",SUMIFS('Hours Log'!$C:$C,'Hours Log'!$A:$A,"&gt;="&amp;$J349,'Hours Log'!$A:$A,"&lt;"&amp;$J349+7)+SUMIFS('Hours Log'!$D:$D,'Hours Log'!$A:$A,"&gt;="&amp;$J349,'Hours Log'!$A:$A,"&lt;"&amp;$J349+7))</f>
        <v/>
      </c>
      <c r="D349">
        <f>IF($J349="","",SUMIFS('Hours Log'!$D:$D,'Hours Log'!$A:$A,"&gt;="&amp;$J349,'Hours Log'!$A:$A,"&lt;"&amp;$J349+7))</f>
        <v/>
      </c>
      <c r="E349">
        <f>IF($J349="","",IFERROR(C349/(B349*40),0))</f>
        <v/>
      </c>
      <c r="F349">
        <f>IF($J349="","",0)</f>
        <v/>
      </c>
      <c r="G349">
        <f>IF($J349="","",SUMIFS('Hours Log'!$E:$E,'Hours Log'!$A:$A,"&gt;="&amp;$J349,'Hours Log'!$A:$A,"&lt;"&amp;$J349+7))</f>
        <v/>
      </c>
      <c r="J349">
        <f>IF(COUNT('Hours Log'!$A$4:$A$5000)=0,"",IF(MIN('Hours Log'!$A$4:$A$5000)+7*(ROW()-10)&gt;MAX('Hours Log'!$A$4:$A$5000),"",MIN('Hours Log'!$A$4:$A$5000)+7*(ROW()-10)))</f>
        <v/>
      </c>
    </row>
    <row r="350">
      <c r="A350">
        <f>IF($J350="","",YEAR($J350-WEEKDAY($J350,2)+4)&amp;"-W"&amp;TEXT(WEEKNUM($J350,21),"00"))</f>
        <v/>
      </c>
      <c r="B350" s="41">
        <f>IF($J350="","",COUNTIFS(Roster!$D$4:$D$500,"Active",Roster!$C$4:$C$500,"&lt;="&amp;$J350))</f>
        <v/>
      </c>
      <c r="C350">
        <f>IF($J350="","",SUMIFS('Hours Log'!$C:$C,'Hours Log'!$A:$A,"&gt;="&amp;$J350,'Hours Log'!$A:$A,"&lt;"&amp;$J350+7)+SUMIFS('Hours Log'!$D:$D,'Hours Log'!$A:$A,"&gt;="&amp;$J350,'Hours Log'!$A:$A,"&lt;"&amp;$J350+7))</f>
        <v/>
      </c>
      <c r="D350">
        <f>IF($J350="","",SUMIFS('Hours Log'!$D:$D,'Hours Log'!$A:$A,"&gt;="&amp;$J350,'Hours Log'!$A:$A,"&lt;"&amp;$J350+7))</f>
        <v/>
      </c>
      <c r="E350">
        <f>IF($J350="","",IFERROR(C350/(B350*40),0))</f>
        <v/>
      </c>
      <c r="F350">
        <f>IF($J350="","",0)</f>
        <v/>
      </c>
      <c r="G350">
        <f>IF($J350="","",SUMIFS('Hours Log'!$E:$E,'Hours Log'!$A:$A,"&gt;="&amp;$J350,'Hours Log'!$A:$A,"&lt;"&amp;$J350+7))</f>
        <v/>
      </c>
      <c r="J350">
        <f>IF(COUNT('Hours Log'!$A$4:$A$5000)=0,"",IF(MIN('Hours Log'!$A$4:$A$5000)+7*(ROW()-10)&gt;MAX('Hours Log'!$A$4:$A$5000),"",MIN('Hours Log'!$A$4:$A$5000)+7*(ROW()-10)))</f>
        <v/>
      </c>
    </row>
    <row r="351">
      <c r="A351">
        <f>IF($J351="","",YEAR($J351-WEEKDAY($J351,2)+4)&amp;"-W"&amp;TEXT(WEEKNUM($J351,21),"00"))</f>
        <v/>
      </c>
      <c r="B351" s="41">
        <f>IF($J351="","",COUNTIFS(Roster!$D$4:$D$500,"Active",Roster!$C$4:$C$500,"&lt;="&amp;$J351))</f>
        <v/>
      </c>
      <c r="C351">
        <f>IF($J351="","",SUMIFS('Hours Log'!$C:$C,'Hours Log'!$A:$A,"&gt;="&amp;$J351,'Hours Log'!$A:$A,"&lt;"&amp;$J351+7)+SUMIFS('Hours Log'!$D:$D,'Hours Log'!$A:$A,"&gt;="&amp;$J351,'Hours Log'!$A:$A,"&lt;"&amp;$J351+7))</f>
        <v/>
      </c>
      <c r="D351">
        <f>IF($J351="","",SUMIFS('Hours Log'!$D:$D,'Hours Log'!$A:$A,"&gt;="&amp;$J351,'Hours Log'!$A:$A,"&lt;"&amp;$J351+7))</f>
        <v/>
      </c>
      <c r="E351">
        <f>IF($J351="","",IFERROR(C351/(B351*40),0))</f>
        <v/>
      </c>
      <c r="F351">
        <f>IF($J351="","",0)</f>
        <v/>
      </c>
      <c r="G351">
        <f>IF($J351="","",SUMIFS('Hours Log'!$E:$E,'Hours Log'!$A:$A,"&gt;="&amp;$J351,'Hours Log'!$A:$A,"&lt;"&amp;$J351+7))</f>
        <v/>
      </c>
      <c r="J351">
        <f>IF(COUNT('Hours Log'!$A$4:$A$5000)=0,"",IF(MIN('Hours Log'!$A$4:$A$5000)+7*(ROW()-10)&gt;MAX('Hours Log'!$A$4:$A$5000),"",MIN('Hours Log'!$A$4:$A$5000)+7*(ROW()-10)))</f>
        <v/>
      </c>
    </row>
    <row r="352">
      <c r="A352">
        <f>IF($J352="","",YEAR($J352-WEEKDAY($J352,2)+4)&amp;"-W"&amp;TEXT(WEEKNUM($J352,21),"00"))</f>
        <v/>
      </c>
      <c r="B352" s="41">
        <f>IF($J352="","",COUNTIFS(Roster!$D$4:$D$500,"Active",Roster!$C$4:$C$500,"&lt;="&amp;$J352))</f>
        <v/>
      </c>
      <c r="C352">
        <f>IF($J352="","",SUMIFS('Hours Log'!$C:$C,'Hours Log'!$A:$A,"&gt;="&amp;$J352,'Hours Log'!$A:$A,"&lt;"&amp;$J352+7)+SUMIFS('Hours Log'!$D:$D,'Hours Log'!$A:$A,"&gt;="&amp;$J352,'Hours Log'!$A:$A,"&lt;"&amp;$J352+7))</f>
        <v/>
      </c>
      <c r="D352">
        <f>IF($J352="","",SUMIFS('Hours Log'!$D:$D,'Hours Log'!$A:$A,"&gt;="&amp;$J352,'Hours Log'!$A:$A,"&lt;"&amp;$J352+7))</f>
        <v/>
      </c>
      <c r="E352">
        <f>IF($J352="","",IFERROR(C352/(B352*40),0))</f>
        <v/>
      </c>
      <c r="F352">
        <f>IF($J352="","",0)</f>
        <v/>
      </c>
      <c r="G352">
        <f>IF($J352="","",SUMIFS('Hours Log'!$E:$E,'Hours Log'!$A:$A,"&gt;="&amp;$J352,'Hours Log'!$A:$A,"&lt;"&amp;$J352+7))</f>
        <v/>
      </c>
      <c r="J352">
        <f>IF(COUNT('Hours Log'!$A$4:$A$5000)=0,"",IF(MIN('Hours Log'!$A$4:$A$5000)+7*(ROW()-10)&gt;MAX('Hours Log'!$A$4:$A$5000),"",MIN('Hours Log'!$A$4:$A$5000)+7*(ROW()-10)))</f>
        <v/>
      </c>
    </row>
    <row r="353">
      <c r="A353">
        <f>IF($J353="","",YEAR($J353-WEEKDAY($J353,2)+4)&amp;"-W"&amp;TEXT(WEEKNUM($J353,21),"00"))</f>
        <v/>
      </c>
      <c r="B353" s="41">
        <f>IF($J353="","",COUNTIFS(Roster!$D$4:$D$500,"Active",Roster!$C$4:$C$500,"&lt;="&amp;$J353))</f>
        <v/>
      </c>
      <c r="C353">
        <f>IF($J353="","",SUMIFS('Hours Log'!$C:$C,'Hours Log'!$A:$A,"&gt;="&amp;$J353,'Hours Log'!$A:$A,"&lt;"&amp;$J353+7)+SUMIFS('Hours Log'!$D:$D,'Hours Log'!$A:$A,"&gt;="&amp;$J353,'Hours Log'!$A:$A,"&lt;"&amp;$J353+7))</f>
        <v/>
      </c>
      <c r="D353">
        <f>IF($J353="","",SUMIFS('Hours Log'!$D:$D,'Hours Log'!$A:$A,"&gt;="&amp;$J353,'Hours Log'!$A:$A,"&lt;"&amp;$J353+7))</f>
        <v/>
      </c>
      <c r="E353">
        <f>IF($J353="","",IFERROR(C353/(B353*40),0))</f>
        <v/>
      </c>
      <c r="F353">
        <f>IF($J353="","",0)</f>
        <v/>
      </c>
      <c r="G353">
        <f>IF($J353="","",SUMIFS('Hours Log'!$E:$E,'Hours Log'!$A:$A,"&gt;="&amp;$J353,'Hours Log'!$A:$A,"&lt;"&amp;$J353+7))</f>
        <v/>
      </c>
      <c r="J353">
        <f>IF(COUNT('Hours Log'!$A$4:$A$5000)=0,"",IF(MIN('Hours Log'!$A$4:$A$5000)+7*(ROW()-10)&gt;MAX('Hours Log'!$A$4:$A$5000),"",MIN('Hours Log'!$A$4:$A$5000)+7*(ROW()-10)))</f>
        <v/>
      </c>
    </row>
    <row r="354">
      <c r="A354">
        <f>IF($J354="","",YEAR($J354-WEEKDAY($J354,2)+4)&amp;"-W"&amp;TEXT(WEEKNUM($J354,21),"00"))</f>
        <v/>
      </c>
      <c r="B354" s="41">
        <f>IF($J354="","",COUNTIFS(Roster!$D$4:$D$500,"Active",Roster!$C$4:$C$500,"&lt;="&amp;$J354))</f>
        <v/>
      </c>
      <c r="C354">
        <f>IF($J354="","",SUMIFS('Hours Log'!$C:$C,'Hours Log'!$A:$A,"&gt;="&amp;$J354,'Hours Log'!$A:$A,"&lt;"&amp;$J354+7)+SUMIFS('Hours Log'!$D:$D,'Hours Log'!$A:$A,"&gt;="&amp;$J354,'Hours Log'!$A:$A,"&lt;"&amp;$J354+7))</f>
        <v/>
      </c>
      <c r="D354">
        <f>IF($J354="","",SUMIFS('Hours Log'!$D:$D,'Hours Log'!$A:$A,"&gt;="&amp;$J354,'Hours Log'!$A:$A,"&lt;"&amp;$J354+7))</f>
        <v/>
      </c>
      <c r="E354">
        <f>IF($J354="","",IFERROR(C354/(B354*40),0))</f>
        <v/>
      </c>
      <c r="F354">
        <f>IF($J354="","",0)</f>
        <v/>
      </c>
      <c r="G354">
        <f>IF($J354="","",SUMIFS('Hours Log'!$E:$E,'Hours Log'!$A:$A,"&gt;="&amp;$J354,'Hours Log'!$A:$A,"&lt;"&amp;$J354+7))</f>
        <v/>
      </c>
      <c r="J354">
        <f>IF(COUNT('Hours Log'!$A$4:$A$5000)=0,"",IF(MIN('Hours Log'!$A$4:$A$5000)+7*(ROW()-10)&gt;MAX('Hours Log'!$A$4:$A$5000),"",MIN('Hours Log'!$A$4:$A$5000)+7*(ROW()-10)))</f>
        <v/>
      </c>
    </row>
    <row r="355">
      <c r="A355">
        <f>IF($J355="","",YEAR($J355-WEEKDAY($J355,2)+4)&amp;"-W"&amp;TEXT(WEEKNUM($J355,21),"00"))</f>
        <v/>
      </c>
      <c r="B355" s="41">
        <f>IF($J355="","",COUNTIFS(Roster!$D$4:$D$500,"Active",Roster!$C$4:$C$500,"&lt;="&amp;$J355))</f>
        <v/>
      </c>
      <c r="C355">
        <f>IF($J355="","",SUMIFS('Hours Log'!$C:$C,'Hours Log'!$A:$A,"&gt;="&amp;$J355,'Hours Log'!$A:$A,"&lt;"&amp;$J355+7)+SUMIFS('Hours Log'!$D:$D,'Hours Log'!$A:$A,"&gt;="&amp;$J355,'Hours Log'!$A:$A,"&lt;"&amp;$J355+7))</f>
        <v/>
      </c>
      <c r="D355">
        <f>IF($J355="","",SUMIFS('Hours Log'!$D:$D,'Hours Log'!$A:$A,"&gt;="&amp;$J355,'Hours Log'!$A:$A,"&lt;"&amp;$J355+7))</f>
        <v/>
      </c>
      <c r="E355">
        <f>IF($J355="","",IFERROR(C355/(B355*40),0))</f>
        <v/>
      </c>
      <c r="F355">
        <f>IF($J355="","",0)</f>
        <v/>
      </c>
      <c r="G355">
        <f>IF($J355="","",SUMIFS('Hours Log'!$E:$E,'Hours Log'!$A:$A,"&gt;="&amp;$J355,'Hours Log'!$A:$A,"&lt;"&amp;$J355+7))</f>
        <v/>
      </c>
      <c r="J355">
        <f>IF(COUNT('Hours Log'!$A$4:$A$5000)=0,"",IF(MIN('Hours Log'!$A$4:$A$5000)+7*(ROW()-10)&gt;MAX('Hours Log'!$A$4:$A$5000),"",MIN('Hours Log'!$A$4:$A$5000)+7*(ROW()-10)))</f>
        <v/>
      </c>
    </row>
    <row r="356">
      <c r="A356">
        <f>IF($J356="","",YEAR($J356-WEEKDAY($J356,2)+4)&amp;"-W"&amp;TEXT(WEEKNUM($J356,21),"00"))</f>
        <v/>
      </c>
      <c r="B356" s="41">
        <f>IF($J356="","",COUNTIFS(Roster!$D$4:$D$500,"Active",Roster!$C$4:$C$500,"&lt;="&amp;$J356))</f>
        <v/>
      </c>
      <c r="C356">
        <f>IF($J356="","",SUMIFS('Hours Log'!$C:$C,'Hours Log'!$A:$A,"&gt;="&amp;$J356,'Hours Log'!$A:$A,"&lt;"&amp;$J356+7)+SUMIFS('Hours Log'!$D:$D,'Hours Log'!$A:$A,"&gt;="&amp;$J356,'Hours Log'!$A:$A,"&lt;"&amp;$J356+7))</f>
        <v/>
      </c>
      <c r="D356">
        <f>IF($J356="","",SUMIFS('Hours Log'!$D:$D,'Hours Log'!$A:$A,"&gt;="&amp;$J356,'Hours Log'!$A:$A,"&lt;"&amp;$J356+7))</f>
        <v/>
      </c>
      <c r="E356">
        <f>IF($J356="","",IFERROR(C356/(B356*40),0))</f>
        <v/>
      </c>
      <c r="F356">
        <f>IF($J356="","",0)</f>
        <v/>
      </c>
      <c r="G356">
        <f>IF($J356="","",SUMIFS('Hours Log'!$E:$E,'Hours Log'!$A:$A,"&gt;="&amp;$J356,'Hours Log'!$A:$A,"&lt;"&amp;$J356+7))</f>
        <v/>
      </c>
      <c r="J356">
        <f>IF(COUNT('Hours Log'!$A$4:$A$5000)=0,"",IF(MIN('Hours Log'!$A$4:$A$5000)+7*(ROW()-10)&gt;MAX('Hours Log'!$A$4:$A$5000),"",MIN('Hours Log'!$A$4:$A$5000)+7*(ROW()-10)))</f>
        <v/>
      </c>
    </row>
    <row r="357">
      <c r="A357">
        <f>IF($J357="","",YEAR($J357-WEEKDAY($J357,2)+4)&amp;"-W"&amp;TEXT(WEEKNUM($J357,21),"00"))</f>
        <v/>
      </c>
      <c r="B357" s="41">
        <f>IF($J357="","",COUNTIFS(Roster!$D$4:$D$500,"Active",Roster!$C$4:$C$500,"&lt;="&amp;$J357))</f>
        <v/>
      </c>
      <c r="C357">
        <f>IF($J357="","",SUMIFS('Hours Log'!$C:$C,'Hours Log'!$A:$A,"&gt;="&amp;$J357,'Hours Log'!$A:$A,"&lt;"&amp;$J357+7)+SUMIFS('Hours Log'!$D:$D,'Hours Log'!$A:$A,"&gt;="&amp;$J357,'Hours Log'!$A:$A,"&lt;"&amp;$J357+7))</f>
        <v/>
      </c>
      <c r="D357">
        <f>IF($J357="","",SUMIFS('Hours Log'!$D:$D,'Hours Log'!$A:$A,"&gt;="&amp;$J357,'Hours Log'!$A:$A,"&lt;"&amp;$J357+7))</f>
        <v/>
      </c>
      <c r="E357">
        <f>IF($J357="","",IFERROR(C357/(B357*40),0))</f>
        <v/>
      </c>
      <c r="F357">
        <f>IF($J357="","",0)</f>
        <v/>
      </c>
      <c r="G357">
        <f>IF($J357="","",SUMIFS('Hours Log'!$E:$E,'Hours Log'!$A:$A,"&gt;="&amp;$J357,'Hours Log'!$A:$A,"&lt;"&amp;$J357+7))</f>
        <v/>
      </c>
      <c r="J357">
        <f>IF(COUNT('Hours Log'!$A$4:$A$5000)=0,"",IF(MIN('Hours Log'!$A$4:$A$5000)+7*(ROW()-10)&gt;MAX('Hours Log'!$A$4:$A$5000),"",MIN('Hours Log'!$A$4:$A$5000)+7*(ROW()-10)))</f>
        <v/>
      </c>
    </row>
    <row r="358">
      <c r="A358">
        <f>IF($J358="","",YEAR($J358-WEEKDAY($J358,2)+4)&amp;"-W"&amp;TEXT(WEEKNUM($J358,21),"00"))</f>
        <v/>
      </c>
      <c r="B358" s="41">
        <f>IF($J358="","",COUNTIFS(Roster!$D$4:$D$500,"Active",Roster!$C$4:$C$500,"&lt;="&amp;$J358))</f>
        <v/>
      </c>
      <c r="C358">
        <f>IF($J358="","",SUMIFS('Hours Log'!$C:$C,'Hours Log'!$A:$A,"&gt;="&amp;$J358,'Hours Log'!$A:$A,"&lt;"&amp;$J358+7)+SUMIFS('Hours Log'!$D:$D,'Hours Log'!$A:$A,"&gt;="&amp;$J358,'Hours Log'!$A:$A,"&lt;"&amp;$J358+7))</f>
        <v/>
      </c>
      <c r="D358">
        <f>IF($J358="","",SUMIFS('Hours Log'!$D:$D,'Hours Log'!$A:$A,"&gt;="&amp;$J358,'Hours Log'!$A:$A,"&lt;"&amp;$J358+7))</f>
        <v/>
      </c>
      <c r="E358">
        <f>IF($J358="","",IFERROR(C358/(B358*40),0))</f>
        <v/>
      </c>
      <c r="F358">
        <f>IF($J358="","",0)</f>
        <v/>
      </c>
      <c r="G358">
        <f>IF($J358="","",SUMIFS('Hours Log'!$E:$E,'Hours Log'!$A:$A,"&gt;="&amp;$J358,'Hours Log'!$A:$A,"&lt;"&amp;$J358+7))</f>
        <v/>
      </c>
      <c r="J358">
        <f>IF(COUNT('Hours Log'!$A$4:$A$5000)=0,"",IF(MIN('Hours Log'!$A$4:$A$5000)+7*(ROW()-10)&gt;MAX('Hours Log'!$A$4:$A$5000),"",MIN('Hours Log'!$A$4:$A$5000)+7*(ROW()-10)))</f>
        <v/>
      </c>
    </row>
    <row r="359">
      <c r="A359">
        <f>IF($J359="","",YEAR($J359-WEEKDAY($J359,2)+4)&amp;"-W"&amp;TEXT(WEEKNUM($J359,21),"00"))</f>
        <v/>
      </c>
      <c r="B359" s="41">
        <f>IF($J359="","",COUNTIFS(Roster!$D$4:$D$500,"Active",Roster!$C$4:$C$500,"&lt;="&amp;$J359))</f>
        <v/>
      </c>
      <c r="C359">
        <f>IF($J359="","",SUMIFS('Hours Log'!$C:$C,'Hours Log'!$A:$A,"&gt;="&amp;$J359,'Hours Log'!$A:$A,"&lt;"&amp;$J359+7)+SUMIFS('Hours Log'!$D:$D,'Hours Log'!$A:$A,"&gt;="&amp;$J359,'Hours Log'!$A:$A,"&lt;"&amp;$J359+7))</f>
        <v/>
      </c>
      <c r="D359">
        <f>IF($J359="","",SUMIFS('Hours Log'!$D:$D,'Hours Log'!$A:$A,"&gt;="&amp;$J359,'Hours Log'!$A:$A,"&lt;"&amp;$J359+7))</f>
        <v/>
      </c>
      <c r="E359">
        <f>IF($J359="","",IFERROR(C359/(B359*40),0))</f>
        <v/>
      </c>
      <c r="F359">
        <f>IF($J359="","",0)</f>
        <v/>
      </c>
      <c r="G359">
        <f>IF($J359="","",SUMIFS('Hours Log'!$E:$E,'Hours Log'!$A:$A,"&gt;="&amp;$J359,'Hours Log'!$A:$A,"&lt;"&amp;$J359+7))</f>
        <v/>
      </c>
      <c r="J359">
        <f>IF(COUNT('Hours Log'!$A$4:$A$5000)=0,"",IF(MIN('Hours Log'!$A$4:$A$5000)+7*(ROW()-10)&gt;MAX('Hours Log'!$A$4:$A$5000),"",MIN('Hours Log'!$A$4:$A$5000)+7*(ROW()-10)))</f>
        <v/>
      </c>
    </row>
    <row r="360">
      <c r="A360">
        <f>IF($J360="","",YEAR($J360-WEEKDAY($J360,2)+4)&amp;"-W"&amp;TEXT(WEEKNUM($J360,21),"00"))</f>
        <v/>
      </c>
      <c r="B360" s="41">
        <f>IF($J360="","",COUNTIFS(Roster!$D$4:$D$500,"Active",Roster!$C$4:$C$500,"&lt;="&amp;$J360))</f>
        <v/>
      </c>
      <c r="C360">
        <f>IF($J360="","",SUMIFS('Hours Log'!$C:$C,'Hours Log'!$A:$A,"&gt;="&amp;$J360,'Hours Log'!$A:$A,"&lt;"&amp;$J360+7)+SUMIFS('Hours Log'!$D:$D,'Hours Log'!$A:$A,"&gt;="&amp;$J360,'Hours Log'!$A:$A,"&lt;"&amp;$J360+7))</f>
        <v/>
      </c>
      <c r="D360">
        <f>IF($J360="","",SUMIFS('Hours Log'!$D:$D,'Hours Log'!$A:$A,"&gt;="&amp;$J360,'Hours Log'!$A:$A,"&lt;"&amp;$J360+7))</f>
        <v/>
      </c>
      <c r="E360">
        <f>IF($J360="","",IFERROR(C360/(B360*40),0))</f>
        <v/>
      </c>
      <c r="F360">
        <f>IF($J360="","",0)</f>
        <v/>
      </c>
      <c r="G360">
        <f>IF($J360="","",SUMIFS('Hours Log'!$E:$E,'Hours Log'!$A:$A,"&gt;="&amp;$J360,'Hours Log'!$A:$A,"&lt;"&amp;$J360+7))</f>
        <v/>
      </c>
      <c r="J360">
        <f>IF(COUNT('Hours Log'!$A$4:$A$5000)=0,"",IF(MIN('Hours Log'!$A$4:$A$5000)+7*(ROW()-10)&gt;MAX('Hours Log'!$A$4:$A$5000),"",MIN('Hours Log'!$A$4:$A$5000)+7*(ROW()-10)))</f>
        <v/>
      </c>
    </row>
    <row r="361">
      <c r="A361">
        <f>IF($J361="","",YEAR($J361-WEEKDAY($J361,2)+4)&amp;"-W"&amp;TEXT(WEEKNUM($J361,21),"00"))</f>
        <v/>
      </c>
      <c r="B361" s="41">
        <f>IF($J361="","",COUNTIFS(Roster!$D$4:$D$500,"Active",Roster!$C$4:$C$500,"&lt;="&amp;$J361))</f>
        <v/>
      </c>
      <c r="C361">
        <f>IF($J361="","",SUMIFS('Hours Log'!$C:$C,'Hours Log'!$A:$A,"&gt;="&amp;$J361,'Hours Log'!$A:$A,"&lt;"&amp;$J361+7)+SUMIFS('Hours Log'!$D:$D,'Hours Log'!$A:$A,"&gt;="&amp;$J361,'Hours Log'!$A:$A,"&lt;"&amp;$J361+7))</f>
        <v/>
      </c>
      <c r="D361">
        <f>IF($J361="","",SUMIFS('Hours Log'!$D:$D,'Hours Log'!$A:$A,"&gt;="&amp;$J361,'Hours Log'!$A:$A,"&lt;"&amp;$J361+7))</f>
        <v/>
      </c>
      <c r="E361">
        <f>IF($J361="","",IFERROR(C361/(B361*40),0))</f>
        <v/>
      </c>
      <c r="F361">
        <f>IF($J361="","",0)</f>
        <v/>
      </c>
      <c r="G361">
        <f>IF($J361="","",SUMIFS('Hours Log'!$E:$E,'Hours Log'!$A:$A,"&gt;="&amp;$J361,'Hours Log'!$A:$A,"&lt;"&amp;$J361+7))</f>
        <v/>
      </c>
      <c r="J361">
        <f>IF(COUNT('Hours Log'!$A$4:$A$5000)=0,"",IF(MIN('Hours Log'!$A$4:$A$5000)+7*(ROW()-10)&gt;MAX('Hours Log'!$A$4:$A$5000),"",MIN('Hours Log'!$A$4:$A$5000)+7*(ROW()-10)))</f>
        <v/>
      </c>
    </row>
    <row r="362">
      <c r="A362">
        <f>IF($J362="","",YEAR($J362-WEEKDAY($J362,2)+4)&amp;"-W"&amp;TEXT(WEEKNUM($J362,21),"00"))</f>
        <v/>
      </c>
      <c r="B362" s="41">
        <f>IF($J362="","",COUNTIFS(Roster!$D$4:$D$500,"Active",Roster!$C$4:$C$500,"&lt;="&amp;$J362))</f>
        <v/>
      </c>
      <c r="C362">
        <f>IF($J362="","",SUMIFS('Hours Log'!$C:$C,'Hours Log'!$A:$A,"&gt;="&amp;$J362,'Hours Log'!$A:$A,"&lt;"&amp;$J362+7)+SUMIFS('Hours Log'!$D:$D,'Hours Log'!$A:$A,"&gt;="&amp;$J362,'Hours Log'!$A:$A,"&lt;"&amp;$J362+7))</f>
        <v/>
      </c>
      <c r="D362">
        <f>IF($J362="","",SUMIFS('Hours Log'!$D:$D,'Hours Log'!$A:$A,"&gt;="&amp;$J362,'Hours Log'!$A:$A,"&lt;"&amp;$J362+7))</f>
        <v/>
      </c>
      <c r="E362">
        <f>IF($J362="","",IFERROR(C362/(B362*40),0))</f>
        <v/>
      </c>
      <c r="F362">
        <f>IF($J362="","",0)</f>
        <v/>
      </c>
      <c r="G362">
        <f>IF($J362="","",SUMIFS('Hours Log'!$E:$E,'Hours Log'!$A:$A,"&gt;="&amp;$J362,'Hours Log'!$A:$A,"&lt;"&amp;$J362+7))</f>
        <v/>
      </c>
      <c r="J362">
        <f>IF(COUNT('Hours Log'!$A$4:$A$5000)=0,"",IF(MIN('Hours Log'!$A$4:$A$5000)+7*(ROW()-10)&gt;MAX('Hours Log'!$A$4:$A$5000),"",MIN('Hours Log'!$A$4:$A$5000)+7*(ROW()-10)))</f>
        <v/>
      </c>
    </row>
    <row r="363">
      <c r="A363">
        <f>IF($J363="","",YEAR($J363-WEEKDAY($J363,2)+4)&amp;"-W"&amp;TEXT(WEEKNUM($J363,21),"00"))</f>
        <v/>
      </c>
      <c r="B363" s="41">
        <f>IF($J363="","",COUNTIFS(Roster!$D$4:$D$500,"Active",Roster!$C$4:$C$500,"&lt;="&amp;$J363))</f>
        <v/>
      </c>
      <c r="C363">
        <f>IF($J363="","",SUMIFS('Hours Log'!$C:$C,'Hours Log'!$A:$A,"&gt;="&amp;$J363,'Hours Log'!$A:$A,"&lt;"&amp;$J363+7)+SUMIFS('Hours Log'!$D:$D,'Hours Log'!$A:$A,"&gt;="&amp;$J363,'Hours Log'!$A:$A,"&lt;"&amp;$J363+7))</f>
        <v/>
      </c>
      <c r="D363">
        <f>IF($J363="","",SUMIFS('Hours Log'!$D:$D,'Hours Log'!$A:$A,"&gt;="&amp;$J363,'Hours Log'!$A:$A,"&lt;"&amp;$J363+7))</f>
        <v/>
      </c>
      <c r="E363">
        <f>IF($J363="","",IFERROR(C363/(B363*40),0))</f>
        <v/>
      </c>
      <c r="F363">
        <f>IF($J363="","",0)</f>
        <v/>
      </c>
      <c r="G363">
        <f>IF($J363="","",SUMIFS('Hours Log'!$E:$E,'Hours Log'!$A:$A,"&gt;="&amp;$J363,'Hours Log'!$A:$A,"&lt;"&amp;$J363+7))</f>
        <v/>
      </c>
      <c r="J363">
        <f>IF(COUNT('Hours Log'!$A$4:$A$5000)=0,"",IF(MIN('Hours Log'!$A$4:$A$5000)+7*(ROW()-10)&gt;MAX('Hours Log'!$A$4:$A$5000),"",MIN('Hours Log'!$A$4:$A$5000)+7*(ROW()-10)))</f>
        <v/>
      </c>
    </row>
    <row r="364">
      <c r="A364">
        <f>IF($J364="","",YEAR($J364-WEEKDAY($J364,2)+4)&amp;"-W"&amp;TEXT(WEEKNUM($J364,21),"00"))</f>
        <v/>
      </c>
      <c r="B364" s="41">
        <f>IF($J364="","",COUNTIFS(Roster!$D$4:$D$500,"Active",Roster!$C$4:$C$500,"&lt;="&amp;$J364))</f>
        <v/>
      </c>
      <c r="C364">
        <f>IF($J364="","",SUMIFS('Hours Log'!$C:$C,'Hours Log'!$A:$A,"&gt;="&amp;$J364,'Hours Log'!$A:$A,"&lt;"&amp;$J364+7)+SUMIFS('Hours Log'!$D:$D,'Hours Log'!$A:$A,"&gt;="&amp;$J364,'Hours Log'!$A:$A,"&lt;"&amp;$J364+7))</f>
        <v/>
      </c>
      <c r="D364">
        <f>IF($J364="","",SUMIFS('Hours Log'!$D:$D,'Hours Log'!$A:$A,"&gt;="&amp;$J364,'Hours Log'!$A:$A,"&lt;"&amp;$J364+7))</f>
        <v/>
      </c>
      <c r="E364">
        <f>IF($J364="","",IFERROR(C364/(B364*40),0))</f>
        <v/>
      </c>
      <c r="F364">
        <f>IF($J364="","",0)</f>
        <v/>
      </c>
      <c r="G364">
        <f>IF($J364="","",SUMIFS('Hours Log'!$E:$E,'Hours Log'!$A:$A,"&gt;="&amp;$J364,'Hours Log'!$A:$A,"&lt;"&amp;$J364+7))</f>
        <v/>
      </c>
      <c r="J364">
        <f>IF(COUNT('Hours Log'!$A$4:$A$5000)=0,"",IF(MIN('Hours Log'!$A$4:$A$5000)+7*(ROW()-10)&gt;MAX('Hours Log'!$A$4:$A$5000),"",MIN('Hours Log'!$A$4:$A$5000)+7*(ROW()-10)))</f>
        <v/>
      </c>
    </row>
    <row r="365">
      <c r="A365">
        <f>IF($J365="","",YEAR($J365-WEEKDAY($J365,2)+4)&amp;"-W"&amp;TEXT(WEEKNUM($J365,21),"00"))</f>
        <v/>
      </c>
      <c r="B365" s="41">
        <f>IF($J365="","",COUNTIFS(Roster!$D$4:$D$500,"Active",Roster!$C$4:$C$500,"&lt;="&amp;$J365))</f>
        <v/>
      </c>
      <c r="C365">
        <f>IF($J365="","",SUMIFS('Hours Log'!$C:$C,'Hours Log'!$A:$A,"&gt;="&amp;$J365,'Hours Log'!$A:$A,"&lt;"&amp;$J365+7)+SUMIFS('Hours Log'!$D:$D,'Hours Log'!$A:$A,"&gt;="&amp;$J365,'Hours Log'!$A:$A,"&lt;"&amp;$J365+7))</f>
        <v/>
      </c>
      <c r="D365">
        <f>IF($J365="","",SUMIFS('Hours Log'!$D:$D,'Hours Log'!$A:$A,"&gt;="&amp;$J365,'Hours Log'!$A:$A,"&lt;"&amp;$J365+7))</f>
        <v/>
      </c>
      <c r="E365">
        <f>IF($J365="","",IFERROR(C365/(B365*40),0))</f>
        <v/>
      </c>
      <c r="F365">
        <f>IF($J365="","",0)</f>
        <v/>
      </c>
      <c r="G365">
        <f>IF($J365="","",SUMIFS('Hours Log'!$E:$E,'Hours Log'!$A:$A,"&gt;="&amp;$J365,'Hours Log'!$A:$A,"&lt;"&amp;$J365+7))</f>
        <v/>
      </c>
      <c r="J365">
        <f>IF(COUNT('Hours Log'!$A$4:$A$5000)=0,"",IF(MIN('Hours Log'!$A$4:$A$5000)+7*(ROW()-10)&gt;MAX('Hours Log'!$A$4:$A$5000),"",MIN('Hours Log'!$A$4:$A$5000)+7*(ROW()-10)))</f>
        <v/>
      </c>
    </row>
    <row r="366">
      <c r="A366">
        <f>IF($J366="","",YEAR($J366-WEEKDAY($J366,2)+4)&amp;"-W"&amp;TEXT(WEEKNUM($J366,21),"00"))</f>
        <v/>
      </c>
      <c r="B366" s="41">
        <f>IF($J366="","",COUNTIFS(Roster!$D$4:$D$500,"Active",Roster!$C$4:$C$500,"&lt;="&amp;$J366))</f>
        <v/>
      </c>
      <c r="C366">
        <f>IF($J366="","",SUMIFS('Hours Log'!$C:$C,'Hours Log'!$A:$A,"&gt;="&amp;$J366,'Hours Log'!$A:$A,"&lt;"&amp;$J366+7)+SUMIFS('Hours Log'!$D:$D,'Hours Log'!$A:$A,"&gt;="&amp;$J366,'Hours Log'!$A:$A,"&lt;"&amp;$J366+7))</f>
        <v/>
      </c>
      <c r="D366">
        <f>IF($J366="","",SUMIFS('Hours Log'!$D:$D,'Hours Log'!$A:$A,"&gt;="&amp;$J366,'Hours Log'!$A:$A,"&lt;"&amp;$J366+7))</f>
        <v/>
      </c>
      <c r="E366">
        <f>IF($J366="","",IFERROR(C366/(B366*40),0))</f>
        <v/>
      </c>
      <c r="F366">
        <f>IF($J366="","",0)</f>
        <v/>
      </c>
      <c r="G366">
        <f>IF($J366="","",SUMIFS('Hours Log'!$E:$E,'Hours Log'!$A:$A,"&gt;="&amp;$J366,'Hours Log'!$A:$A,"&lt;"&amp;$J366+7))</f>
        <v/>
      </c>
      <c r="J366">
        <f>IF(COUNT('Hours Log'!$A$4:$A$5000)=0,"",IF(MIN('Hours Log'!$A$4:$A$5000)+7*(ROW()-10)&gt;MAX('Hours Log'!$A$4:$A$5000),"",MIN('Hours Log'!$A$4:$A$5000)+7*(ROW()-10)))</f>
        <v/>
      </c>
    </row>
    <row r="367">
      <c r="A367">
        <f>IF($J367="","",YEAR($J367-WEEKDAY($J367,2)+4)&amp;"-W"&amp;TEXT(WEEKNUM($J367,21),"00"))</f>
        <v/>
      </c>
      <c r="B367" s="41">
        <f>IF($J367="","",COUNTIFS(Roster!$D$4:$D$500,"Active",Roster!$C$4:$C$500,"&lt;="&amp;$J367))</f>
        <v/>
      </c>
      <c r="C367">
        <f>IF($J367="","",SUMIFS('Hours Log'!$C:$C,'Hours Log'!$A:$A,"&gt;="&amp;$J367,'Hours Log'!$A:$A,"&lt;"&amp;$J367+7)+SUMIFS('Hours Log'!$D:$D,'Hours Log'!$A:$A,"&gt;="&amp;$J367,'Hours Log'!$A:$A,"&lt;"&amp;$J367+7))</f>
        <v/>
      </c>
      <c r="D367">
        <f>IF($J367="","",SUMIFS('Hours Log'!$D:$D,'Hours Log'!$A:$A,"&gt;="&amp;$J367,'Hours Log'!$A:$A,"&lt;"&amp;$J367+7))</f>
        <v/>
      </c>
      <c r="E367">
        <f>IF($J367="","",IFERROR(C367/(B367*40),0))</f>
        <v/>
      </c>
      <c r="F367">
        <f>IF($J367="","",0)</f>
        <v/>
      </c>
      <c r="G367">
        <f>IF($J367="","",SUMIFS('Hours Log'!$E:$E,'Hours Log'!$A:$A,"&gt;="&amp;$J367,'Hours Log'!$A:$A,"&lt;"&amp;$J367+7))</f>
        <v/>
      </c>
      <c r="J367">
        <f>IF(COUNT('Hours Log'!$A$4:$A$5000)=0,"",IF(MIN('Hours Log'!$A$4:$A$5000)+7*(ROW()-10)&gt;MAX('Hours Log'!$A$4:$A$5000),"",MIN('Hours Log'!$A$4:$A$5000)+7*(ROW()-10)))</f>
        <v/>
      </c>
    </row>
    <row r="368">
      <c r="A368">
        <f>IF($J368="","",YEAR($J368-WEEKDAY($J368,2)+4)&amp;"-W"&amp;TEXT(WEEKNUM($J368,21),"00"))</f>
        <v/>
      </c>
      <c r="B368" s="41">
        <f>IF($J368="","",COUNTIFS(Roster!$D$4:$D$500,"Active",Roster!$C$4:$C$500,"&lt;="&amp;$J368))</f>
        <v/>
      </c>
      <c r="C368">
        <f>IF($J368="","",SUMIFS('Hours Log'!$C:$C,'Hours Log'!$A:$A,"&gt;="&amp;$J368,'Hours Log'!$A:$A,"&lt;"&amp;$J368+7)+SUMIFS('Hours Log'!$D:$D,'Hours Log'!$A:$A,"&gt;="&amp;$J368,'Hours Log'!$A:$A,"&lt;"&amp;$J368+7))</f>
        <v/>
      </c>
      <c r="D368">
        <f>IF($J368="","",SUMIFS('Hours Log'!$D:$D,'Hours Log'!$A:$A,"&gt;="&amp;$J368,'Hours Log'!$A:$A,"&lt;"&amp;$J368+7))</f>
        <v/>
      </c>
      <c r="E368">
        <f>IF($J368="","",IFERROR(C368/(B368*40),0))</f>
        <v/>
      </c>
      <c r="F368">
        <f>IF($J368="","",0)</f>
        <v/>
      </c>
      <c r="G368">
        <f>IF($J368="","",SUMIFS('Hours Log'!$E:$E,'Hours Log'!$A:$A,"&gt;="&amp;$J368,'Hours Log'!$A:$A,"&lt;"&amp;$J368+7))</f>
        <v/>
      </c>
      <c r="J368">
        <f>IF(COUNT('Hours Log'!$A$4:$A$5000)=0,"",IF(MIN('Hours Log'!$A$4:$A$5000)+7*(ROW()-10)&gt;MAX('Hours Log'!$A$4:$A$5000),"",MIN('Hours Log'!$A$4:$A$5000)+7*(ROW()-10)))</f>
        <v/>
      </c>
    </row>
    <row r="369">
      <c r="A369">
        <f>IF($J369="","",YEAR($J369-WEEKDAY($J369,2)+4)&amp;"-W"&amp;TEXT(WEEKNUM($J369,21),"00"))</f>
        <v/>
      </c>
      <c r="B369" s="41">
        <f>IF($J369="","",COUNTIFS(Roster!$D$4:$D$500,"Active",Roster!$C$4:$C$500,"&lt;="&amp;$J369))</f>
        <v/>
      </c>
      <c r="C369">
        <f>IF($J369="","",SUMIFS('Hours Log'!$C:$C,'Hours Log'!$A:$A,"&gt;="&amp;$J369,'Hours Log'!$A:$A,"&lt;"&amp;$J369+7)+SUMIFS('Hours Log'!$D:$D,'Hours Log'!$A:$A,"&gt;="&amp;$J369,'Hours Log'!$A:$A,"&lt;"&amp;$J369+7))</f>
        <v/>
      </c>
      <c r="D369">
        <f>IF($J369="","",SUMIFS('Hours Log'!$D:$D,'Hours Log'!$A:$A,"&gt;="&amp;$J369,'Hours Log'!$A:$A,"&lt;"&amp;$J369+7))</f>
        <v/>
      </c>
      <c r="E369">
        <f>IF($J369="","",IFERROR(C369/(B369*40),0))</f>
        <v/>
      </c>
      <c r="F369">
        <f>IF($J369="","",0)</f>
        <v/>
      </c>
      <c r="G369">
        <f>IF($J369="","",SUMIFS('Hours Log'!$E:$E,'Hours Log'!$A:$A,"&gt;="&amp;$J369,'Hours Log'!$A:$A,"&lt;"&amp;$J369+7))</f>
        <v/>
      </c>
      <c r="J369">
        <f>IF(COUNT('Hours Log'!$A$4:$A$5000)=0,"",IF(MIN('Hours Log'!$A$4:$A$5000)+7*(ROW()-10)&gt;MAX('Hours Log'!$A$4:$A$5000),"",MIN('Hours Log'!$A$4:$A$5000)+7*(ROW()-10)))</f>
        <v/>
      </c>
    </row>
    <row r="370">
      <c r="A370">
        <f>IF($J370="","",YEAR($J370-WEEKDAY($J370,2)+4)&amp;"-W"&amp;TEXT(WEEKNUM($J370,21),"00"))</f>
        <v/>
      </c>
      <c r="B370" s="41">
        <f>IF($J370="","",COUNTIFS(Roster!$D$4:$D$500,"Active",Roster!$C$4:$C$500,"&lt;="&amp;$J370))</f>
        <v/>
      </c>
      <c r="C370">
        <f>IF($J370="","",SUMIFS('Hours Log'!$C:$C,'Hours Log'!$A:$A,"&gt;="&amp;$J370,'Hours Log'!$A:$A,"&lt;"&amp;$J370+7)+SUMIFS('Hours Log'!$D:$D,'Hours Log'!$A:$A,"&gt;="&amp;$J370,'Hours Log'!$A:$A,"&lt;"&amp;$J370+7))</f>
        <v/>
      </c>
      <c r="D370">
        <f>IF($J370="","",SUMIFS('Hours Log'!$D:$D,'Hours Log'!$A:$A,"&gt;="&amp;$J370,'Hours Log'!$A:$A,"&lt;"&amp;$J370+7))</f>
        <v/>
      </c>
      <c r="E370">
        <f>IF($J370="","",IFERROR(C370/(B370*40),0))</f>
        <v/>
      </c>
      <c r="F370">
        <f>IF($J370="","",0)</f>
        <v/>
      </c>
      <c r="G370">
        <f>IF($J370="","",SUMIFS('Hours Log'!$E:$E,'Hours Log'!$A:$A,"&gt;="&amp;$J370,'Hours Log'!$A:$A,"&lt;"&amp;$J370+7))</f>
        <v/>
      </c>
      <c r="J370">
        <f>IF(COUNT('Hours Log'!$A$4:$A$5000)=0,"",IF(MIN('Hours Log'!$A$4:$A$5000)+7*(ROW()-10)&gt;MAX('Hours Log'!$A$4:$A$5000),"",MIN('Hours Log'!$A$4:$A$5000)+7*(ROW()-10)))</f>
        <v/>
      </c>
    </row>
    <row r="371">
      <c r="A371">
        <f>IF($J371="","",YEAR($J371-WEEKDAY($J371,2)+4)&amp;"-W"&amp;TEXT(WEEKNUM($J371,21),"00"))</f>
        <v/>
      </c>
      <c r="B371" s="41">
        <f>IF($J371="","",COUNTIFS(Roster!$D$4:$D$500,"Active",Roster!$C$4:$C$500,"&lt;="&amp;$J371))</f>
        <v/>
      </c>
      <c r="C371">
        <f>IF($J371="","",SUMIFS('Hours Log'!$C:$C,'Hours Log'!$A:$A,"&gt;="&amp;$J371,'Hours Log'!$A:$A,"&lt;"&amp;$J371+7)+SUMIFS('Hours Log'!$D:$D,'Hours Log'!$A:$A,"&gt;="&amp;$J371,'Hours Log'!$A:$A,"&lt;"&amp;$J371+7))</f>
        <v/>
      </c>
      <c r="D371">
        <f>IF($J371="","",SUMIFS('Hours Log'!$D:$D,'Hours Log'!$A:$A,"&gt;="&amp;$J371,'Hours Log'!$A:$A,"&lt;"&amp;$J371+7))</f>
        <v/>
      </c>
      <c r="E371">
        <f>IF($J371="","",IFERROR(C371/(B371*40),0))</f>
        <v/>
      </c>
      <c r="F371">
        <f>IF($J371="","",0)</f>
        <v/>
      </c>
      <c r="G371">
        <f>IF($J371="","",SUMIFS('Hours Log'!$E:$E,'Hours Log'!$A:$A,"&gt;="&amp;$J371,'Hours Log'!$A:$A,"&lt;"&amp;$J371+7))</f>
        <v/>
      </c>
      <c r="J371">
        <f>IF(COUNT('Hours Log'!$A$4:$A$5000)=0,"",IF(MIN('Hours Log'!$A$4:$A$5000)+7*(ROW()-10)&gt;MAX('Hours Log'!$A$4:$A$5000),"",MIN('Hours Log'!$A$4:$A$5000)+7*(ROW()-10)))</f>
        <v/>
      </c>
    </row>
    <row r="372">
      <c r="A372">
        <f>IF($J372="","",YEAR($J372-WEEKDAY($J372,2)+4)&amp;"-W"&amp;TEXT(WEEKNUM($J372,21),"00"))</f>
        <v/>
      </c>
      <c r="B372" s="41">
        <f>IF($J372="","",COUNTIFS(Roster!$D$4:$D$500,"Active",Roster!$C$4:$C$500,"&lt;="&amp;$J372))</f>
        <v/>
      </c>
      <c r="C372">
        <f>IF($J372="","",SUMIFS('Hours Log'!$C:$C,'Hours Log'!$A:$A,"&gt;="&amp;$J372,'Hours Log'!$A:$A,"&lt;"&amp;$J372+7)+SUMIFS('Hours Log'!$D:$D,'Hours Log'!$A:$A,"&gt;="&amp;$J372,'Hours Log'!$A:$A,"&lt;"&amp;$J372+7))</f>
        <v/>
      </c>
      <c r="D372">
        <f>IF($J372="","",SUMIFS('Hours Log'!$D:$D,'Hours Log'!$A:$A,"&gt;="&amp;$J372,'Hours Log'!$A:$A,"&lt;"&amp;$J372+7))</f>
        <v/>
      </c>
      <c r="E372">
        <f>IF($J372="","",IFERROR(C372/(B372*40),0))</f>
        <v/>
      </c>
      <c r="F372">
        <f>IF($J372="","",0)</f>
        <v/>
      </c>
      <c r="G372">
        <f>IF($J372="","",SUMIFS('Hours Log'!$E:$E,'Hours Log'!$A:$A,"&gt;="&amp;$J372,'Hours Log'!$A:$A,"&lt;"&amp;$J372+7))</f>
        <v/>
      </c>
      <c r="J372">
        <f>IF(COUNT('Hours Log'!$A$4:$A$5000)=0,"",IF(MIN('Hours Log'!$A$4:$A$5000)+7*(ROW()-10)&gt;MAX('Hours Log'!$A$4:$A$5000),"",MIN('Hours Log'!$A$4:$A$5000)+7*(ROW()-10)))</f>
        <v/>
      </c>
    </row>
    <row r="373">
      <c r="A373">
        <f>IF($J373="","",YEAR($J373-WEEKDAY($J373,2)+4)&amp;"-W"&amp;TEXT(WEEKNUM($J373,21),"00"))</f>
        <v/>
      </c>
      <c r="B373" s="41">
        <f>IF($J373="","",COUNTIFS(Roster!$D$4:$D$500,"Active",Roster!$C$4:$C$500,"&lt;="&amp;$J373))</f>
        <v/>
      </c>
      <c r="C373">
        <f>IF($J373="","",SUMIFS('Hours Log'!$C:$C,'Hours Log'!$A:$A,"&gt;="&amp;$J373,'Hours Log'!$A:$A,"&lt;"&amp;$J373+7)+SUMIFS('Hours Log'!$D:$D,'Hours Log'!$A:$A,"&gt;="&amp;$J373,'Hours Log'!$A:$A,"&lt;"&amp;$J373+7))</f>
        <v/>
      </c>
      <c r="D373">
        <f>IF($J373="","",SUMIFS('Hours Log'!$D:$D,'Hours Log'!$A:$A,"&gt;="&amp;$J373,'Hours Log'!$A:$A,"&lt;"&amp;$J373+7))</f>
        <v/>
      </c>
      <c r="E373">
        <f>IF($J373="","",IFERROR(C373/(B373*40),0))</f>
        <v/>
      </c>
      <c r="F373">
        <f>IF($J373="","",0)</f>
        <v/>
      </c>
      <c r="G373">
        <f>IF($J373="","",SUMIFS('Hours Log'!$E:$E,'Hours Log'!$A:$A,"&gt;="&amp;$J373,'Hours Log'!$A:$A,"&lt;"&amp;$J373+7))</f>
        <v/>
      </c>
      <c r="J373">
        <f>IF(COUNT('Hours Log'!$A$4:$A$5000)=0,"",IF(MIN('Hours Log'!$A$4:$A$5000)+7*(ROW()-10)&gt;MAX('Hours Log'!$A$4:$A$5000),"",MIN('Hours Log'!$A$4:$A$5000)+7*(ROW()-10)))</f>
        <v/>
      </c>
    </row>
    <row r="374">
      <c r="A374">
        <f>IF($J374="","",YEAR($J374-WEEKDAY($J374,2)+4)&amp;"-W"&amp;TEXT(WEEKNUM($J374,21),"00"))</f>
        <v/>
      </c>
      <c r="B374" s="41">
        <f>IF($J374="","",COUNTIFS(Roster!$D$4:$D$500,"Active",Roster!$C$4:$C$500,"&lt;="&amp;$J374))</f>
        <v/>
      </c>
      <c r="C374">
        <f>IF($J374="","",SUMIFS('Hours Log'!$C:$C,'Hours Log'!$A:$A,"&gt;="&amp;$J374,'Hours Log'!$A:$A,"&lt;"&amp;$J374+7)+SUMIFS('Hours Log'!$D:$D,'Hours Log'!$A:$A,"&gt;="&amp;$J374,'Hours Log'!$A:$A,"&lt;"&amp;$J374+7))</f>
        <v/>
      </c>
      <c r="D374">
        <f>IF($J374="","",SUMIFS('Hours Log'!$D:$D,'Hours Log'!$A:$A,"&gt;="&amp;$J374,'Hours Log'!$A:$A,"&lt;"&amp;$J374+7))</f>
        <v/>
      </c>
      <c r="E374">
        <f>IF($J374="","",IFERROR(C374/(B374*40),0))</f>
        <v/>
      </c>
      <c r="F374">
        <f>IF($J374="","",0)</f>
        <v/>
      </c>
      <c r="G374">
        <f>IF($J374="","",SUMIFS('Hours Log'!$E:$E,'Hours Log'!$A:$A,"&gt;="&amp;$J374,'Hours Log'!$A:$A,"&lt;"&amp;$J374+7))</f>
        <v/>
      </c>
      <c r="J374">
        <f>IF(COUNT('Hours Log'!$A$4:$A$5000)=0,"",IF(MIN('Hours Log'!$A$4:$A$5000)+7*(ROW()-10)&gt;MAX('Hours Log'!$A$4:$A$5000),"",MIN('Hours Log'!$A$4:$A$5000)+7*(ROW()-10)))</f>
        <v/>
      </c>
    </row>
    <row r="375">
      <c r="A375">
        <f>IF($J375="","",YEAR($J375-WEEKDAY($J375,2)+4)&amp;"-W"&amp;TEXT(WEEKNUM($J375,21),"00"))</f>
        <v/>
      </c>
      <c r="B375" s="41">
        <f>IF($J375="","",COUNTIFS(Roster!$D$4:$D$500,"Active",Roster!$C$4:$C$500,"&lt;="&amp;$J375))</f>
        <v/>
      </c>
      <c r="C375">
        <f>IF($J375="","",SUMIFS('Hours Log'!$C:$C,'Hours Log'!$A:$A,"&gt;="&amp;$J375,'Hours Log'!$A:$A,"&lt;"&amp;$J375+7)+SUMIFS('Hours Log'!$D:$D,'Hours Log'!$A:$A,"&gt;="&amp;$J375,'Hours Log'!$A:$A,"&lt;"&amp;$J375+7))</f>
        <v/>
      </c>
      <c r="D375">
        <f>IF($J375="","",SUMIFS('Hours Log'!$D:$D,'Hours Log'!$A:$A,"&gt;="&amp;$J375,'Hours Log'!$A:$A,"&lt;"&amp;$J375+7))</f>
        <v/>
      </c>
      <c r="E375">
        <f>IF($J375="","",IFERROR(C375/(B375*40),0))</f>
        <v/>
      </c>
      <c r="F375">
        <f>IF($J375="","",0)</f>
        <v/>
      </c>
      <c r="G375">
        <f>IF($J375="","",SUMIFS('Hours Log'!$E:$E,'Hours Log'!$A:$A,"&gt;="&amp;$J375,'Hours Log'!$A:$A,"&lt;"&amp;$J375+7))</f>
        <v/>
      </c>
      <c r="J375">
        <f>IF(COUNT('Hours Log'!$A$4:$A$5000)=0,"",IF(MIN('Hours Log'!$A$4:$A$5000)+7*(ROW()-10)&gt;MAX('Hours Log'!$A$4:$A$5000),"",MIN('Hours Log'!$A$4:$A$5000)+7*(ROW()-10)))</f>
        <v/>
      </c>
    </row>
    <row r="376">
      <c r="A376">
        <f>IF($J376="","",YEAR($J376-WEEKDAY($J376,2)+4)&amp;"-W"&amp;TEXT(WEEKNUM($J376,21),"00"))</f>
        <v/>
      </c>
      <c r="B376" s="41">
        <f>IF($J376="","",COUNTIFS(Roster!$D$4:$D$500,"Active",Roster!$C$4:$C$500,"&lt;="&amp;$J376))</f>
        <v/>
      </c>
      <c r="C376">
        <f>IF($J376="","",SUMIFS('Hours Log'!$C:$C,'Hours Log'!$A:$A,"&gt;="&amp;$J376,'Hours Log'!$A:$A,"&lt;"&amp;$J376+7)+SUMIFS('Hours Log'!$D:$D,'Hours Log'!$A:$A,"&gt;="&amp;$J376,'Hours Log'!$A:$A,"&lt;"&amp;$J376+7))</f>
        <v/>
      </c>
      <c r="D376">
        <f>IF($J376="","",SUMIFS('Hours Log'!$D:$D,'Hours Log'!$A:$A,"&gt;="&amp;$J376,'Hours Log'!$A:$A,"&lt;"&amp;$J376+7))</f>
        <v/>
      </c>
      <c r="E376">
        <f>IF($J376="","",IFERROR(C376/(B376*40),0))</f>
        <v/>
      </c>
      <c r="F376">
        <f>IF($J376="","",0)</f>
        <v/>
      </c>
      <c r="G376">
        <f>IF($J376="","",SUMIFS('Hours Log'!$E:$E,'Hours Log'!$A:$A,"&gt;="&amp;$J376,'Hours Log'!$A:$A,"&lt;"&amp;$J376+7))</f>
        <v/>
      </c>
      <c r="J376">
        <f>IF(COUNT('Hours Log'!$A$4:$A$5000)=0,"",IF(MIN('Hours Log'!$A$4:$A$5000)+7*(ROW()-10)&gt;MAX('Hours Log'!$A$4:$A$5000),"",MIN('Hours Log'!$A$4:$A$5000)+7*(ROW()-10)))</f>
        <v/>
      </c>
    </row>
    <row r="377">
      <c r="A377">
        <f>IF($J377="","",YEAR($J377-WEEKDAY($J377,2)+4)&amp;"-W"&amp;TEXT(WEEKNUM($J377,21),"00"))</f>
        <v/>
      </c>
      <c r="B377" s="41">
        <f>IF($J377="","",COUNTIFS(Roster!$D$4:$D$500,"Active",Roster!$C$4:$C$500,"&lt;="&amp;$J377))</f>
        <v/>
      </c>
      <c r="C377">
        <f>IF($J377="","",SUMIFS('Hours Log'!$C:$C,'Hours Log'!$A:$A,"&gt;="&amp;$J377,'Hours Log'!$A:$A,"&lt;"&amp;$J377+7)+SUMIFS('Hours Log'!$D:$D,'Hours Log'!$A:$A,"&gt;="&amp;$J377,'Hours Log'!$A:$A,"&lt;"&amp;$J377+7))</f>
        <v/>
      </c>
      <c r="D377">
        <f>IF($J377="","",SUMIFS('Hours Log'!$D:$D,'Hours Log'!$A:$A,"&gt;="&amp;$J377,'Hours Log'!$A:$A,"&lt;"&amp;$J377+7))</f>
        <v/>
      </c>
      <c r="E377">
        <f>IF($J377="","",IFERROR(C377/(B377*40),0))</f>
        <v/>
      </c>
      <c r="F377">
        <f>IF($J377="","",0)</f>
        <v/>
      </c>
      <c r="G377">
        <f>IF($J377="","",SUMIFS('Hours Log'!$E:$E,'Hours Log'!$A:$A,"&gt;="&amp;$J377,'Hours Log'!$A:$A,"&lt;"&amp;$J377+7))</f>
        <v/>
      </c>
      <c r="J377">
        <f>IF(COUNT('Hours Log'!$A$4:$A$5000)=0,"",IF(MIN('Hours Log'!$A$4:$A$5000)+7*(ROW()-10)&gt;MAX('Hours Log'!$A$4:$A$5000),"",MIN('Hours Log'!$A$4:$A$5000)+7*(ROW()-10)))</f>
        <v/>
      </c>
    </row>
    <row r="378">
      <c r="A378">
        <f>IF($J378="","",YEAR($J378-WEEKDAY($J378,2)+4)&amp;"-W"&amp;TEXT(WEEKNUM($J378,21),"00"))</f>
        <v/>
      </c>
      <c r="B378" s="41">
        <f>IF($J378="","",COUNTIFS(Roster!$D$4:$D$500,"Active",Roster!$C$4:$C$500,"&lt;="&amp;$J378))</f>
        <v/>
      </c>
      <c r="C378">
        <f>IF($J378="","",SUMIFS('Hours Log'!$C:$C,'Hours Log'!$A:$A,"&gt;="&amp;$J378,'Hours Log'!$A:$A,"&lt;"&amp;$J378+7)+SUMIFS('Hours Log'!$D:$D,'Hours Log'!$A:$A,"&gt;="&amp;$J378,'Hours Log'!$A:$A,"&lt;"&amp;$J378+7))</f>
        <v/>
      </c>
      <c r="D378">
        <f>IF($J378="","",SUMIFS('Hours Log'!$D:$D,'Hours Log'!$A:$A,"&gt;="&amp;$J378,'Hours Log'!$A:$A,"&lt;"&amp;$J378+7))</f>
        <v/>
      </c>
      <c r="E378">
        <f>IF($J378="","",IFERROR(C378/(B378*40),0))</f>
        <v/>
      </c>
      <c r="F378">
        <f>IF($J378="","",0)</f>
        <v/>
      </c>
      <c r="G378">
        <f>IF($J378="","",SUMIFS('Hours Log'!$E:$E,'Hours Log'!$A:$A,"&gt;="&amp;$J378,'Hours Log'!$A:$A,"&lt;"&amp;$J378+7))</f>
        <v/>
      </c>
      <c r="J378">
        <f>IF(COUNT('Hours Log'!$A$4:$A$5000)=0,"",IF(MIN('Hours Log'!$A$4:$A$5000)+7*(ROW()-10)&gt;MAX('Hours Log'!$A$4:$A$5000),"",MIN('Hours Log'!$A$4:$A$5000)+7*(ROW()-10)))</f>
        <v/>
      </c>
    </row>
    <row r="379">
      <c r="A379">
        <f>IF($J379="","",YEAR($J379-WEEKDAY($J379,2)+4)&amp;"-W"&amp;TEXT(WEEKNUM($J379,21),"00"))</f>
        <v/>
      </c>
      <c r="B379" s="41">
        <f>IF($J379="","",COUNTIFS(Roster!$D$4:$D$500,"Active",Roster!$C$4:$C$500,"&lt;="&amp;$J379))</f>
        <v/>
      </c>
      <c r="C379">
        <f>IF($J379="","",SUMIFS('Hours Log'!$C:$C,'Hours Log'!$A:$A,"&gt;="&amp;$J379,'Hours Log'!$A:$A,"&lt;"&amp;$J379+7)+SUMIFS('Hours Log'!$D:$D,'Hours Log'!$A:$A,"&gt;="&amp;$J379,'Hours Log'!$A:$A,"&lt;"&amp;$J379+7))</f>
        <v/>
      </c>
      <c r="D379">
        <f>IF($J379="","",SUMIFS('Hours Log'!$D:$D,'Hours Log'!$A:$A,"&gt;="&amp;$J379,'Hours Log'!$A:$A,"&lt;"&amp;$J379+7))</f>
        <v/>
      </c>
      <c r="E379">
        <f>IF($J379="","",IFERROR(C379/(B379*40),0))</f>
        <v/>
      </c>
      <c r="F379">
        <f>IF($J379="","",0)</f>
        <v/>
      </c>
      <c r="G379">
        <f>IF($J379="","",SUMIFS('Hours Log'!$E:$E,'Hours Log'!$A:$A,"&gt;="&amp;$J379,'Hours Log'!$A:$A,"&lt;"&amp;$J379+7))</f>
        <v/>
      </c>
      <c r="J379">
        <f>IF(COUNT('Hours Log'!$A$4:$A$5000)=0,"",IF(MIN('Hours Log'!$A$4:$A$5000)+7*(ROW()-10)&gt;MAX('Hours Log'!$A$4:$A$5000),"",MIN('Hours Log'!$A$4:$A$5000)+7*(ROW()-10)))</f>
        <v/>
      </c>
    </row>
    <row r="380">
      <c r="A380">
        <f>IF($J380="","",YEAR($J380-WEEKDAY($J380,2)+4)&amp;"-W"&amp;TEXT(WEEKNUM($J380,21),"00"))</f>
        <v/>
      </c>
      <c r="B380" s="41">
        <f>IF($J380="","",COUNTIFS(Roster!$D$4:$D$500,"Active",Roster!$C$4:$C$500,"&lt;="&amp;$J380))</f>
        <v/>
      </c>
      <c r="C380">
        <f>IF($J380="","",SUMIFS('Hours Log'!$C:$C,'Hours Log'!$A:$A,"&gt;="&amp;$J380,'Hours Log'!$A:$A,"&lt;"&amp;$J380+7)+SUMIFS('Hours Log'!$D:$D,'Hours Log'!$A:$A,"&gt;="&amp;$J380,'Hours Log'!$A:$A,"&lt;"&amp;$J380+7))</f>
        <v/>
      </c>
      <c r="D380">
        <f>IF($J380="","",SUMIFS('Hours Log'!$D:$D,'Hours Log'!$A:$A,"&gt;="&amp;$J380,'Hours Log'!$A:$A,"&lt;"&amp;$J380+7))</f>
        <v/>
      </c>
      <c r="E380">
        <f>IF($J380="","",IFERROR(C380/(B380*40),0))</f>
        <v/>
      </c>
      <c r="F380">
        <f>IF($J380="","",0)</f>
        <v/>
      </c>
      <c r="G380">
        <f>IF($J380="","",SUMIFS('Hours Log'!$E:$E,'Hours Log'!$A:$A,"&gt;="&amp;$J380,'Hours Log'!$A:$A,"&lt;"&amp;$J380+7))</f>
        <v/>
      </c>
      <c r="J380">
        <f>IF(COUNT('Hours Log'!$A$4:$A$5000)=0,"",IF(MIN('Hours Log'!$A$4:$A$5000)+7*(ROW()-10)&gt;MAX('Hours Log'!$A$4:$A$5000),"",MIN('Hours Log'!$A$4:$A$5000)+7*(ROW()-10)))</f>
        <v/>
      </c>
    </row>
    <row r="381">
      <c r="A381">
        <f>IF($J381="","",YEAR($J381-WEEKDAY($J381,2)+4)&amp;"-W"&amp;TEXT(WEEKNUM($J381,21),"00"))</f>
        <v/>
      </c>
      <c r="B381" s="41">
        <f>IF($J381="","",COUNTIFS(Roster!$D$4:$D$500,"Active",Roster!$C$4:$C$500,"&lt;="&amp;$J381))</f>
        <v/>
      </c>
      <c r="C381">
        <f>IF($J381="","",SUMIFS('Hours Log'!$C:$C,'Hours Log'!$A:$A,"&gt;="&amp;$J381,'Hours Log'!$A:$A,"&lt;"&amp;$J381+7)+SUMIFS('Hours Log'!$D:$D,'Hours Log'!$A:$A,"&gt;="&amp;$J381,'Hours Log'!$A:$A,"&lt;"&amp;$J381+7))</f>
        <v/>
      </c>
      <c r="D381">
        <f>IF($J381="","",SUMIFS('Hours Log'!$D:$D,'Hours Log'!$A:$A,"&gt;="&amp;$J381,'Hours Log'!$A:$A,"&lt;"&amp;$J381+7))</f>
        <v/>
      </c>
      <c r="E381">
        <f>IF($J381="","",IFERROR(C381/(B381*40),0))</f>
        <v/>
      </c>
      <c r="F381">
        <f>IF($J381="","",0)</f>
        <v/>
      </c>
      <c r="G381">
        <f>IF($J381="","",SUMIFS('Hours Log'!$E:$E,'Hours Log'!$A:$A,"&gt;="&amp;$J381,'Hours Log'!$A:$A,"&lt;"&amp;$J381+7))</f>
        <v/>
      </c>
      <c r="J381">
        <f>IF(COUNT('Hours Log'!$A$4:$A$5000)=0,"",IF(MIN('Hours Log'!$A$4:$A$5000)+7*(ROW()-10)&gt;MAX('Hours Log'!$A$4:$A$5000),"",MIN('Hours Log'!$A$4:$A$5000)+7*(ROW()-10)))</f>
        <v/>
      </c>
    </row>
    <row r="382">
      <c r="A382">
        <f>IF($J382="","",YEAR($J382-WEEKDAY($J382,2)+4)&amp;"-W"&amp;TEXT(WEEKNUM($J382,21),"00"))</f>
        <v/>
      </c>
      <c r="B382" s="41">
        <f>IF($J382="","",COUNTIFS(Roster!$D$4:$D$500,"Active",Roster!$C$4:$C$500,"&lt;="&amp;$J382))</f>
        <v/>
      </c>
      <c r="C382">
        <f>IF($J382="","",SUMIFS('Hours Log'!$C:$C,'Hours Log'!$A:$A,"&gt;="&amp;$J382,'Hours Log'!$A:$A,"&lt;"&amp;$J382+7)+SUMIFS('Hours Log'!$D:$D,'Hours Log'!$A:$A,"&gt;="&amp;$J382,'Hours Log'!$A:$A,"&lt;"&amp;$J382+7))</f>
        <v/>
      </c>
      <c r="D382">
        <f>IF($J382="","",SUMIFS('Hours Log'!$D:$D,'Hours Log'!$A:$A,"&gt;="&amp;$J382,'Hours Log'!$A:$A,"&lt;"&amp;$J382+7))</f>
        <v/>
      </c>
      <c r="E382">
        <f>IF($J382="","",IFERROR(C382/(B382*40),0))</f>
        <v/>
      </c>
      <c r="F382">
        <f>IF($J382="","",0)</f>
        <v/>
      </c>
      <c r="G382">
        <f>IF($J382="","",SUMIFS('Hours Log'!$E:$E,'Hours Log'!$A:$A,"&gt;="&amp;$J382,'Hours Log'!$A:$A,"&lt;"&amp;$J382+7))</f>
        <v/>
      </c>
      <c r="J382">
        <f>IF(COUNT('Hours Log'!$A$4:$A$5000)=0,"",IF(MIN('Hours Log'!$A$4:$A$5000)+7*(ROW()-10)&gt;MAX('Hours Log'!$A$4:$A$5000),"",MIN('Hours Log'!$A$4:$A$5000)+7*(ROW()-10)))</f>
        <v/>
      </c>
    </row>
    <row r="383">
      <c r="A383">
        <f>IF($J383="","",YEAR($J383-WEEKDAY($J383,2)+4)&amp;"-W"&amp;TEXT(WEEKNUM($J383,21),"00"))</f>
        <v/>
      </c>
      <c r="B383" s="41">
        <f>IF($J383="","",COUNTIFS(Roster!$D$4:$D$500,"Active",Roster!$C$4:$C$500,"&lt;="&amp;$J383))</f>
        <v/>
      </c>
      <c r="C383">
        <f>IF($J383="","",SUMIFS('Hours Log'!$C:$C,'Hours Log'!$A:$A,"&gt;="&amp;$J383,'Hours Log'!$A:$A,"&lt;"&amp;$J383+7)+SUMIFS('Hours Log'!$D:$D,'Hours Log'!$A:$A,"&gt;="&amp;$J383,'Hours Log'!$A:$A,"&lt;"&amp;$J383+7))</f>
        <v/>
      </c>
      <c r="D383">
        <f>IF($J383="","",SUMIFS('Hours Log'!$D:$D,'Hours Log'!$A:$A,"&gt;="&amp;$J383,'Hours Log'!$A:$A,"&lt;"&amp;$J383+7))</f>
        <v/>
      </c>
      <c r="E383">
        <f>IF($J383="","",IFERROR(C383/(B383*40),0))</f>
        <v/>
      </c>
      <c r="F383">
        <f>IF($J383="","",0)</f>
        <v/>
      </c>
      <c r="G383">
        <f>IF($J383="","",SUMIFS('Hours Log'!$E:$E,'Hours Log'!$A:$A,"&gt;="&amp;$J383,'Hours Log'!$A:$A,"&lt;"&amp;$J383+7))</f>
        <v/>
      </c>
      <c r="J383">
        <f>IF(COUNT('Hours Log'!$A$4:$A$5000)=0,"",IF(MIN('Hours Log'!$A$4:$A$5000)+7*(ROW()-10)&gt;MAX('Hours Log'!$A$4:$A$5000),"",MIN('Hours Log'!$A$4:$A$5000)+7*(ROW()-10)))</f>
        <v/>
      </c>
    </row>
    <row r="384">
      <c r="A384">
        <f>IF($J384="","",YEAR($J384-WEEKDAY($J384,2)+4)&amp;"-W"&amp;TEXT(WEEKNUM($J384,21),"00"))</f>
        <v/>
      </c>
      <c r="B384" s="41">
        <f>IF($J384="","",COUNTIFS(Roster!$D$4:$D$500,"Active",Roster!$C$4:$C$500,"&lt;="&amp;$J384))</f>
        <v/>
      </c>
      <c r="C384">
        <f>IF($J384="","",SUMIFS('Hours Log'!$C:$C,'Hours Log'!$A:$A,"&gt;="&amp;$J384,'Hours Log'!$A:$A,"&lt;"&amp;$J384+7)+SUMIFS('Hours Log'!$D:$D,'Hours Log'!$A:$A,"&gt;="&amp;$J384,'Hours Log'!$A:$A,"&lt;"&amp;$J384+7))</f>
        <v/>
      </c>
      <c r="D384">
        <f>IF($J384="","",SUMIFS('Hours Log'!$D:$D,'Hours Log'!$A:$A,"&gt;="&amp;$J384,'Hours Log'!$A:$A,"&lt;"&amp;$J384+7))</f>
        <v/>
      </c>
      <c r="E384">
        <f>IF($J384="","",IFERROR(C384/(B384*40),0))</f>
        <v/>
      </c>
      <c r="F384">
        <f>IF($J384="","",0)</f>
        <v/>
      </c>
      <c r="G384">
        <f>IF($J384="","",SUMIFS('Hours Log'!$E:$E,'Hours Log'!$A:$A,"&gt;="&amp;$J384,'Hours Log'!$A:$A,"&lt;"&amp;$J384+7))</f>
        <v/>
      </c>
      <c r="J384">
        <f>IF(COUNT('Hours Log'!$A$4:$A$5000)=0,"",IF(MIN('Hours Log'!$A$4:$A$5000)+7*(ROW()-10)&gt;MAX('Hours Log'!$A$4:$A$5000),"",MIN('Hours Log'!$A$4:$A$5000)+7*(ROW()-10)))</f>
        <v/>
      </c>
    </row>
    <row r="385">
      <c r="A385">
        <f>IF($J385="","",YEAR($J385-WEEKDAY($J385,2)+4)&amp;"-W"&amp;TEXT(WEEKNUM($J385,21),"00"))</f>
        <v/>
      </c>
      <c r="B385" s="41">
        <f>IF($J385="","",COUNTIFS(Roster!$D$4:$D$500,"Active",Roster!$C$4:$C$500,"&lt;="&amp;$J385))</f>
        <v/>
      </c>
      <c r="C385">
        <f>IF($J385="","",SUMIFS('Hours Log'!$C:$C,'Hours Log'!$A:$A,"&gt;="&amp;$J385,'Hours Log'!$A:$A,"&lt;"&amp;$J385+7)+SUMIFS('Hours Log'!$D:$D,'Hours Log'!$A:$A,"&gt;="&amp;$J385,'Hours Log'!$A:$A,"&lt;"&amp;$J385+7))</f>
        <v/>
      </c>
      <c r="D385">
        <f>IF($J385="","",SUMIFS('Hours Log'!$D:$D,'Hours Log'!$A:$A,"&gt;="&amp;$J385,'Hours Log'!$A:$A,"&lt;"&amp;$J385+7))</f>
        <v/>
      </c>
      <c r="E385">
        <f>IF($J385="","",IFERROR(C385/(B385*40),0))</f>
        <v/>
      </c>
      <c r="F385">
        <f>IF($J385="","",0)</f>
        <v/>
      </c>
      <c r="G385">
        <f>IF($J385="","",SUMIFS('Hours Log'!$E:$E,'Hours Log'!$A:$A,"&gt;="&amp;$J385,'Hours Log'!$A:$A,"&lt;"&amp;$J385+7))</f>
        <v/>
      </c>
      <c r="J385">
        <f>IF(COUNT('Hours Log'!$A$4:$A$5000)=0,"",IF(MIN('Hours Log'!$A$4:$A$5000)+7*(ROW()-10)&gt;MAX('Hours Log'!$A$4:$A$5000),"",MIN('Hours Log'!$A$4:$A$5000)+7*(ROW()-10)))</f>
        <v/>
      </c>
    </row>
    <row r="386">
      <c r="A386">
        <f>IF($J386="","",YEAR($J386-WEEKDAY($J386,2)+4)&amp;"-W"&amp;TEXT(WEEKNUM($J386,21),"00"))</f>
        <v/>
      </c>
      <c r="B386" s="41">
        <f>IF($J386="","",COUNTIFS(Roster!$D$4:$D$500,"Active",Roster!$C$4:$C$500,"&lt;="&amp;$J386))</f>
        <v/>
      </c>
      <c r="C386">
        <f>IF($J386="","",SUMIFS('Hours Log'!$C:$C,'Hours Log'!$A:$A,"&gt;="&amp;$J386,'Hours Log'!$A:$A,"&lt;"&amp;$J386+7)+SUMIFS('Hours Log'!$D:$D,'Hours Log'!$A:$A,"&gt;="&amp;$J386,'Hours Log'!$A:$A,"&lt;"&amp;$J386+7))</f>
        <v/>
      </c>
      <c r="D386">
        <f>IF($J386="","",SUMIFS('Hours Log'!$D:$D,'Hours Log'!$A:$A,"&gt;="&amp;$J386,'Hours Log'!$A:$A,"&lt;"&amp;$J386+7))</f>
        <v/>
      </c>
      <c r="E386">
        <f>IF($J386="","",IFERROR(C386/(B386*40),0))</f>
        <v/>
      </c>
      <c r="F386">
        <f>IF($J386="","",0)</f>
        <v/>
      </c>
      <c r="G386">
        <f>IF($J386="","",SUMIFS('Hours Log'!$E:$E,'Hours Log'!$A:$A,"&gt;="&amp;$J386,'Hours Log'!$A:$A,"&lt;"&amp;$J386+7))</f>
        <v/>
      </c>
      <c r="J386">
        <f>IF(COUNT('Hours Log'!$A$4:$A$5000)=0,"",IF(MIN('Hours Log'!$A$4:$A$5000)+7*(ROW()-10)&gt;MAX('Hours Log'!$A$4:$A$5000),"",MIN('Hours Log'!$A$4:$A$5000)+7*(ROW()-10)))</f>
        <v/>
      </c>
    </row>
    <row r="387">
      <c r="A387">
        <f>IF($J387="","",YEAR($J387-WEEKDAY($J387,2)+4)&amp;"-W"&amp;TEXT(WEEKNUM($J387,21),"00"))</f>
        <v/>
      </c>
      <c r="B387" s="41">
        <f>IF($J387="","",COUNTIFS(Roster!$D$4:$D$500,"Active",Roster!$C$4:$C$500,"&lt;="&amp;$J387))</f>
        <v/>
      </c>
      <c r="C387">
        <f>IF($J387="","",SUMIFS('Hours Log'!$C:$C,'Hours Log'!$A:$A,"&gt;="&amp;$J387,'Hours Log'!$A:$A,"&lt;"&amp;$J387+7)+SUMIFS('Hours Log'!$D:$D,'Hours Log'!$A:$A,"&gt;="&amp;$J387,'Hours Log'!$A:$A,"&lt;"&amp;$J387+7))</f>
        <v/>
      </c>
      <c r="D387">
        <f>IF($J387="","",SUMIFS('Hours Log'!$D:$D,'Hours Log'!$A:$A,"&gt;="&amp;$J387,'Hours Log'!$A:$A,"&lt;"&amp;$J387+7))</f>
        <v/>
      </c>
      <c r="E387">
        <f>IF($J387="","",IFERROR(C387/(B387*40),0))</f>
        <v/>
      </c>
      <c r="F387">
        <f>IF($J387="","",0)</f>
        <v/>
      </c>
      <c r="G387">
        <f>IF($J387="","",SUMIFS('Hours Log'!$E:$E,'Hours Log'!$A:$A,"&gt;="&amp;$J387,'Hours Log'!$A:$A,"&lt;"&amp;$J387+7))</f>
        <v/>
      </c>
      <c r="J387">
        <f>IF(COUNT('Hours Log'!$A$4:$A$5000)=0,"",IF(MIN('Hours Log'!$A$4:$A$5000)+7*(ROW()-10)&gt;MAX('Hours Log'!$A$4:$A$5000),"",MIN('Hours Log'!$A$4:$A$5000)+7*(ROW()-10)))</f>
        <v/>
      </c>
    </row>
    <row r="388">
      <c r="A388">
        <f>IF($J388="","",YEAR($J388-WEEKDAY($J388,2)+4)&amp;"-W"&amp;TEXT(WEEKNUM($J388,21),"00"))</f>
        <v/>
      </c>
      <c r="B388" s="41">
        <f>IF($J388="","",COUNTIFS(Roster!$D$4:$D$500,"Active",Roster!$C$4:$C$500,"&lt;="&amp;$J388))</f>
        <v/>
      </c>
      <c r="C388">
        <f>IF($J388="","",SUMIFS('Hours Log'!$C:$C,'Hours Log'!$A:$A,"&gt;="&amp;$J388,'Hours Log'!$A:$A,"&lt;"&amp;$J388+7)+SUMIFS('Hours Log'!$D:$D,'Hours Log'!$A:$A,"&gt;="&amp;$J388,'Hours Log'!$A:$A,"&lt;"&amp;$J388+7))</f>
        <v/>
      </c>
      <c r="D388">
        <f>IF($J388="","",SUMIFS('Hours Log'!$D:$D,'Hours Log'!$A:$A,"&gt;="&amp;$J388,'Hours Log'!$A:$A,"&lt;"&amp;$J388+7))</f>
        <v/>
      </c>
      <c r="E388">
        <f>IF($J388="","",IFERROR(C388/(B388*40),0))</f>
        <v/>
      </c>
      <c r="F388">
        <f>IF($J388="","",0)</f>
        <v/>
      </c>
      <c r="G388">
        <f>IF($J388="","",SUMIFS('Hours Log'!$E:$E,'Hours Log'!$A:$A,"&gt;="&amp;$J388,'Hours Log'!$A:$A,"&lt;"&amp;$J388+7))</f>
        <v/>
      </c>
      <c r="J388">
        <f>IF(COUNT('Hours Log'!$A$4:$A$5000)=0,"",IF(MIN('Hours Log'!$A$4:$A$5000)+7*(ROW()-10)&gt;MAX('Hours Log'!$A$4:$A$5000),"",MIN('Hours Log'!$A$4:$A$5000)+7*(ROW()-10)))</f>
        <v/>
      </c>
    </row>
    <row r="389">
      <c r="A389">
        <f>IF($J389="","",YEAR($J389-WEEKDAY($J389,2)+4)&amp;"-W"&amp;TEXT(WEEKNUM($J389,21),"00"))</f>
        <v/>
      </c>
      <c r="B389" s="41">
        <f>IF($J389="","",COUNTIFS(Roster!$D$4:$D$500,"Active",Roster!$C$4:$C$500,"&lt;="&amp;$J389))</f>
        <v/>
      </c>
      <c r="C389">
        <f>IF($J389="","",SUMIFS('Hours Log'!$C:$C,'Hours Log'!$A:$A,"&gt;="&amp;$J389,'Hours Log'!$A:$A,"&lt;"&amp;$J389+7)+SUMIFS('Hours Log'!$D:$D,'Hours Log'!$A:$A,"&gt;="&amp;$J389,'Hours Log'!$A:$A,"&lt;"&amp;$J389+7))</f>
        <v/>
      </c>
      <c r="D389">
        <f>IF($J389="","",SUMIFS('Hours Log'!$D:$D,'Hours Log'!$A:$A,"&gt;="&amp;$J389,'Hours Log'!$A:$A,"&lt;"&amp;$J389+7))</f>
        <v/>
      </c>
      <c r="E389">
        <f>IF($J389="","",IFERROR(C389/(B389*40),0))</f>
        <v/>
      </c>
      <c r="F389">
        <f>IF($J389="","",0)</f>
        <v/>
      </c>
      <c r="G389">
        <f>IF($J389="","",SUMIFS('Hours Log'!$E:$E,'Hours Log'!$A:$A,"&gt;="&amp;$J389,'Hours Log'!$A:$A,"&lt;"&amp;$J389+7))</f>
        <v/>
      </c>
      <c r="J389">
        <f>IF(COUNT('Hours Log'!$A$4:$A$5000)=0,"",IF(MIN('Hours Log'!$A$4:$A$5000)+7*(ROW()-10)&gt;MAX('Hours Log'!$A$4:$A$5000),"",MIN('Hours Log'!$A$4:$A$5000)+7*(ROW()-10)))</f>
        <v/>
      </c>
    </row>
    <row r="390">
      <c r="A390">
        <f>IF($J390="","",YEAR($J390-WEEKDAY($J390,2)+4)&amp;"-W"&amp;TEXT(WEEKNUM($J390,21),"00"))</f>
        <v/>
      </c>
      <c r="B390" s="41">
        <f>IF($J390="","",COUNTIFS(Roster!$D$4:$D$500,"Active",Roster!$C$4:$C$500,"&lt;="&amp;$J390))</f>
        <v/>
      </c>
      <c r="C390">
        <f>IF($J390="","",SUMIFS('Hours Log'!$C:$C,'Hours Log'!$A:$A,"&gt;="&amp;$J390,'Hours Log'!$A:$A,"&lt;"&amp;$J390+7)+SUMIFS('Hours Log'!$D:$D,'Hours Log'!$A:$A,"&gt;="&amp;$J390,'Hours Log'!$A:$A,"&lt;"&amp;$J390+7))</f>
        <v/>
      </c>
      <c r="D390">
        <f>IF($J390="","",SUMIFS('Hours Log'!$D:$D,'Hours Log'!$A:$A,"&gt;="&amp;$J390,'Hours Log'!$A:$A,"&lt;"&amp;$J390+7))</f>
        <v/>
      </c>
      <c r="E390">
        <f>IF($J390="","",IFERROR(C390/(B390*40),0))</f>
        <v/>
      </c>
      <c r="F390">
        <f>IF($J390="","",0)</f>
        <v/>
      </c>
      <c r="G390">
        <f>IF($J390="","",SUMIFS('Hours Log'!$E:$E,'Hours Log'!$A:$A,"&gt;="&amp;$J390,'Hours Log'!$A:$A,"&lt;"&amp;$J390+7))</f>
        <v/>
      </c>
      <c r="J390">
        <f>IF(COUNT('Hours Log'!$A$4:$A$5000)=0,"",IF(MIN('Hours Log'!$A$4:$A$5000)+7*(ROW()-10)&gt;MAX('Hours Log'!$A$4:$A$5000),"",MIN('Hours Log'!$A$4:$A$5000)+7*(ROW()-10)))</f>
        <v/>
      </c>
    </row>
    <row r="391">
      <c r="A391">
        <f>IF($J391="","",YEAR($J391-WEEKDAY($J391,2)+4)&amp;"-W"&amp;TEXT(WEEKNUM($J391,21),"00"))</f>
        <v/>
      </c>
      <c r="B391" s="41">
        <f>IF($J391="","",COUNTIFS(Roster!$D$4:$D$500,"Active",Roster!$C$4:$C$500,"&lt;="&amp;$J391))</f>
        <v/>
      </c>
      <c r="C391">
        <f>IF($J391="","",SUMIFS('Hours Log'!$C:$C,'Hours Log'!$A:$A,"&gt;="&amp;$J391,'Hours Log'!$A:$A,"&lt;"&amp;$J391+7)+SUMIFS('Hours Log'!$D:$D,'Hours Log'!$A:$A,"&gt;="&amp;$J391,'Hours Log'!$A:$A,"&lt;"&amp;$J391+7))</f>
        <v/>
      </c>
      <c r="D391">
        <f>IF($J391="","",SUMIFS('Hours Log'!$D:$D,'Hours Log'!$A:$A,"&gt;="&amp;$J391,'Hours Log'!$A:$A,"&lt;"&amp;$J391+7))</f>
        <v/>
      </c>
      <c r="E391">
        <f>IF($J391="","",IFERROR(C391/(B391*40),0))</f>
        <v/>
      </c>
      <c r="F391">
        <f>IF($J391="","",0)</f>
        <v/>
      </c>
      <c r="G391">
        <f>IF($J391="","",SUMIFS('Hours Log'!$E:$E,'Hours Log'!$A:$A,"&gt;="&amp;$J391,'Hours Log'!$A:$A,"&lt;"&amp;$J391+7))</f>
        <v/>
      </c>
      <c r="J391">
        <f>IF(COUNT('Hours Log'!$A$4:$A$5000)=0,"",IF(MIN('Hours Log'!$A$4:$A$5000)+7*(ROW()-10)&gt;MAX('Hours Log'!$A$4:$A$5000),"",MIN('Hours Log'!$A$4:$A$5000)+7*(ROW()-10)))</f>
        <v/>
      </c>
    </row>
    <row r="392">
      <c r="A392">
        <f>IF($J392="","",YEAR($J392-WEEKDAY($J392,2)+4)&amp;"-W"&amp;TEXT(WEEKNUM($J392,21),"00"))</f>
        <v/>
      </c>
      <c r="B392" s="41">
        <f>IF($J392="","",COUNTIFS(Roster!$D$4:$D$500,"Active",Roster!$C$4:$C$500,"&lt;="&amp;$J392))</f>
        <v/>
      </c>
      <c r="C392">
        <f>IF($J392="","",SUMIFS('Hours Log'!$C:$C,'Hours Log'!$A:$A,"&gt;="&amp;$J392,'Hours Log'!$A:$A,"&lt;"&amp;$J392+7)+SUMIFS('Hours Log'!$D:$D,'Hours Log'!$A:$A,"&gt;="&amp;$J392,'Hours Log'!$A:$A,"&lt;"&amp;$J392+7))</f>
        <v/>
      </c>
      <c r="D392">
        <f>IF($J392="","",SUMIFS('Hours Log'!$D:$D,'Hours Log'!$A:$A,"&gt;="&amp;$J392,'Hours Log'!$A:$A,"&lt;"&amp;$J392+7))</f>
        <v/>
      </c>
      <c r="E392">
        <f>IF($J392="","",IFERROR(C392/(B392*40),0))</f>
        <v/>
      </c>
      <c r="F392">
        <f>IF($J392="","",0)</f>
        <v/>
      </c>
      <c r="G392">
        <f>IF($J392="","",SUMIFS('Hours Log'!$E:$E,'Hours Log'!$A:$A,"&gt;="&amp;$J392,'Hours Log'!$A:$A,"&lt;"&amp;$J392+7))</f>
        <v/>
      </c>
      <c r="J392">
        <f>IF(COUNT('Hours Log'!$A$4:$A$5000)=0,"",IF(MIN('Hours Log'!$A$4:$A$5000)+7*(ROW()-10)&gt;MAX('Hours Log'!$A$4:$A$5000),"",MIN('Hours Log'!$A$4:$A$5000)+7*(ROW()-10)))</f>
        <v/>
      </c>
    </row>
    <row r="393">
      <c r="A393">
        <f>IF($J393="","",YEAR($J393-WEEKDAY($J393,2)+4)&amp;"-W"&amp;TEXT(WEEKNUM($J393,21),"00"))</f>
        <v/>
      </c>
      <c r="B393" s="41">
        <f>IF($J393="","",COUNTIFS(Roster!$D$4:$D$500,"Active",Roster!$C$4:$C$500,"&lt;="&amp;$J393))</f>
        <v/>
      </c>
      <c r="C393">
        <f>IF($J393="","",SUMIFS('Hours Log'!$C:$C,'Hours Log'!$A:$A,"&gt;="&amp;$J393,'Hours Log'!$A:$A,"&lt;"&amp;$J393+7)+SUMIFS('Hours Log'!$D:$D,'Hours Log'!$A:$A,"&gt;="&amp;$J393,'Hours Log'!$A:$A,"&lt;"&amp;$J393+7))</f>
        <v/>
      </c>
      <c r="D393">
        <f>IF($J393="","",SUMIFS('Hours Log'!$D:$D,'Hours Log'!$A:$A,"&gt;="&amp;$J393,'Hours Log'!$A:$A,"&lt;"&amp;$J393+7))</f>
        <v/>
      </c>
      <c r="E393">
        <f>IF($J393="","",IFERROR(C393/(B393*40),0))</f>
        <v/>
      </c>
      <c r="F393">
        <f>IF($J393="","",0)</f>
        <v/>
      </c>
      <c r="G393">
        <f>IF($J393="","",SUMIFS('Hours Log'!$E:$E,'Hours Log'!$A:$A,"&gt;="&amp;$J393,'Hours Log'!$A:$A,"&lt;"&amp;$J393+7))</f>
        <v/>
      </c>
      <c r="J393">
        <f>IF(COUNT('Hours Log'!$A$4:$A$5000)=0,"",IF(MIN('Hours Log'!$A$4:$A$5000)+7*(ROW()-10)&gt;MAX('Hours Log'!$A$4:$A$5000),"",MIN('Hours Log'!$A$4:$A$5000)+7*(ROW()-10)))</f>
        <v/>
      </c>
    </row>
    <row r="394">
      <c r="A394">
        <f>IF($J394="","",YEAR($J394-WEEKDAY($J394,2)+4)&amp;"-W"&amp;TEXT(WEEKNUM($J394,21),"00"))</f>
        <v/>
      </c>
      <c r="B394" s="41">
        <f>IF($J394="","",COUNTIFS(Roster!$D$4:$D$500,"Active",Roster!$C$4:$C$500,"&lt;="&amp;$J394))</f>
        <v/>
      </c>
      <c r="C394">
        <f>IF($J394="","",SUMIFS('Hours Log'!$C:$C,'Hours Log'!$A:$A,"&gt;="&amp;$J394,'Hours Log'!$A:$A,"&lt;"&amp;$J394+7)+SUMIFS('Hours Log'!$D:$D,'Hours Log'!$A:$A,"&gt;="&amp;$J394,'Hours Log'!$A:$A,"&lt;"&amp;$J394+7))</f>
        <v/>
      </c>
      <c r="D394">
        <f>IF($J394="","",SUMIFS('Hours Log'!$D:$D,'Hours Log'!$A:$A,"&gt;="&amp;$J394,'Hours Log'!$A:$A,"&lt;"&amp;$J394+7))</f>
        <v/>
      </c>
      <c r="E394">
        <f>IF($J394="","",IFERROR(C394/(B394*40),0))</f>
        <v/>
      </c>
      <c r="F394">
        <f>IF($J394="","",0)</f>
        <v/>
      </c>
      <c r="G394">
        <f>IF($J394="","",SUMIFS('Hours Log'!$E:$E,'Hours Log'!$A:$A,"&gt;="&amp;$J394,'Hours Log'!$A:$A,"&lt;"&amp;$J394+7))</f>
        <v/>
      </c>
      <c r="J394">
        <f>IF(COUNT('Hours Log'!$A$4:$A$5000)=0,"",IF(MIN('Hours Log'!$A$4:$A$5000)+7*(ROW()-10)&gt;MAX('Hours Log'!$A$4:$A$5000),"",MIN('Hours Log'!$A$4:$A$5000)+7*(ROW()-10)))</f>
        <v/>
      </c>
    </row>
    <row r="395">
      <c r="A395">
        <f>IF($J395="","",YEAR($J395-WEEKDAY($J395,2)+4)&amp;"-W"&amp;TEXT(WEEKNUM($J395,21),"00"))</f>
        <v/>
      </c>
      <c r="B395" s="41">
        <f>IF($J395="","",COUNTIFS(Roster!$D$4:$D$500,"Active",Roster!$C$4:$C$500,"&lt;="&amp;$J395))</f>
        <v/>
      </c>
      <c r="C395">
        <f>IF($J395="","",SUMIFS('Hours Log'!$C:$C,'Hours Log'!$A:$A,"&gt;="&amp;$J395,'Hours Log'!$A:$A,"&lt;"&amp;$J395+7)+SUMIFS('Hours Log'!$D:$D,'Hours Log'!$A:$A,"&gt;="&amp;$J395,'Hours Log'!$A:$A,"&lt;"&amp;$J395+7))</f>
        <v/>
      </c>
      <c r="D395">
        <f>IF($J395="","",SUMIFS('Hours Log'!$D:$D,'Hours Log'!$A:$A,"&gt;="&amp;$J395,'Hours Log'!$A:$A,"&lt;"&amp;$J395+7))</f>
        <v/>
      </c>
      <c r="E395">
        <f>IF($J395="","",IFERROR(C395/(B395*40),0))</f>
        <v/>
      </c>
      <c r="F395">
        <f>IF($J395="","",0)</f>
        <v/>
      </c>
      <c r="G395">
        <f>IF($J395="","",SUMIFS('Hours Log'!$E:$E,'Hours Log'!$A:$A,"&gt;="&amp;$J395,'Hours Log'!$A:$A,"&lt;"&amp;$J395+7))</f>
        <v/>
      </c>
      <c r="J395">
        <f>IF(COUNT('Hours Log'!$A$4:$A$5000)=0,"",IF(MIN('Hours Log'!$A$4:$A$5000)+7*(ROW()-10)&gt;MAX('Hours Log'!$A$4:$A$5000),"",MIN('Hours Log'!$A$4:$A$5000)+7*(ROW()-10)))</f>
        <v/>
      </c>
    </row>
    <row r="396">
      <c r="A396">
        <f>IF($J396="","",YEAR($J396-WEEKDAY($J396,2)+4)&amp;"-W"&amp;TEXT(WEEKNUM($J396,21),"00"))</f>
        <v/>
      </c>
      <c r="B396" s="41">
        <f>IF($J396="","",COUNTIFS(Roster!$D$4:$D$500,"Active",Roster!$C$4:$C$500,"&lt;="&amp;$J396))</f>
        <v/>
      </c>
      <c r="C396">
        <f>IF($J396="","",SUMIFS('Hours Log'!$C:$C,'Hours Log'!$A:$A,"&gt;="&amp;$J396,'Hours Log'!$A:$A,"&lt;"&amp;$J396+7)+SUMIFS('Hours Log'!$D:$D,'Hours Log'!$A:$A,"&gt;="&amp;$J396,'Hours Log'!$A:$A,"&lt;"&amp;$J396+7))</f>
        <v/>
      </c>
      <c r="D396">
        <f>IF($J396="","",SUMIFS('Hours Log'!$D:$D,'Hours Log'!$A:$A,"&gt;="&amp;$J396,'Hours Log'!$A:$A,"&lt;"&amp;$J396+7))</f>
        <v/>
      </c>
      <c r="E396">
        <f>IF($J396="","",IFERROR(C396/(B396*40),0))</f>
        <v/>
      </c>
      <c r="F396">
        <f>IF($J396="","",0)</f>
        <v/>
      </c>
      <c r="G396">
        <f>IF($J396="","",SUMIFS('Hours Log'!$E:$E,'Hours Log'!$A:$A,"&gt;="&amp;$J396,'Hours Log'!$A:$A,"&lt;"&amp;$J396+7))</f>
        <v/>
      </c>
      <c r="J396">
        <f>IF(COUNT('Hours Log'!$A$4:$A$5000)=0,"",IF(MIN('Hours Log'!$A$4:$A$5000)+7*(ROW()-10)&gt;MAX('Hours Log'!$A$4:$A$5000),"",MIN('Hours Log'!$A$4:$A$5000)+7*(ROW()-10)))</f>
        <v/>
      </c>
    </row>
    <row r="397">
      <c r="A397">
        <f>IF($J397="","",YEAR($J397-WEEKDAY($J397,2)+4)&amp;"-W"&amp;TEXT(WEEKNUM($J397,21),"00"))</f>
        <v/>
      </c>
      <c r="B397" s="41">
        <f>IF($J397="","",COUNTIFS(Roster!$D$4:$D$500,"Active",Roster!$C$4:$C$500,"&lt;="&amp;$J397))</f>
        <v/>
      </c>
      <c r="C397">
        <f>IF($J397="","",SUMIFS('Hours Log'!$C:$C,'Hours Log'!$A:$A,"&gt;="&amp;$J397,'Hours Log'!$A:$A,"&lt;"&amp;$J397+7)+SUMIFS('Hours Log'!$D:$D,'Hours Log'!$A:$A,"&gt;="&amp;$J397,'Hours Log'!$A:$A,"&lt;"&amp;$J397+7))</f>
        <v/>
      </c>
      <c r="D397">
        <f>IF($J397="","",SUMIFS('Hours Log'!$D:$D,'Hours Log'!$A:$A,"&gt;="&amp;$J397,'Hours Log'!$A:$A,"&lt;"&amp;$J397+7))</f>
        <v/>
      </c>
      <c r="E397">
        <f>IF($J397="","",IFERROR(C397/(B397*40),0))</f>
        <v/>
      </c>
      <c r="F397">
        <f>IF($J397="","",0)</f>
        <v/>
      </c>
      <c r="G397">
        <f>IF($J397="","",SUMIFS('Hours Log'!$E:$E,'Hours Log'!$A:$A,"&gt;="&amp;$J397,'Hours Log'!$A:$A,"&lt;"&amp;$J397+7))</f>
        <v/>
      </c>
      <c r="J397">
        <f>IF(COUNT('Hours Log'!$A$4:$A$5000)=0,"",IF(MIN('Hours Log'!$A$4:$A$5000)+7*(ROW()-10)&gt;MAX('Hours Log'!$A$4:$A$5000),"",MIN('Hours Log'!$A$4:$A$5000)+7*(ROW()-10)))</f>
        <v/>
      </c>
    </row>
    <row r="398">
      <c r="A398">
        <f>IF($J398="","",YEAR($J398-WEEKDAY($J398,2)+4)&amp;"-W"&amp;TEXT(WEEKNUM($J398,21),"00"))</f>
        <v/>
      </c>
      <c r="B398" s="41">
        <f>IF($J398="","",COUNTIFS(Roster!$D$4:$D$500,"Active",Roster!$C$4:$C$500,"&lt;="&amp;$J398))</f>
        <v/>
      </c>
      <c r="C398">
        <f>IF($J398="","",SUMIFS('Hours Log'!$C:$C,'Hours Log'!$A:$A,"&gt;="&amp;$J398,'Hours Log'!$A:$A,"&lt;"&amp;$J398+7)+SUMIFS('Hours Log'!$D:$D,'Hours Log'!$A:$A,"&gt;="&amp;$J398,'Hours Log'!$A:$A,"&lt;"&amp;$J398+7))</f>
        <v/>
      </c>
      <c r="D398">
        <f>IF($J398="","",SUMIFS('Hours Log'!$D:$D,'Hours Log'!$A:$A,"&gt;="&amp;$J398,'Hours Log'!$A:$A,"&lt;"&amp;$J398+7))</f>
        <v/>
      </c>
      <c r="E398">
        <f>IF($J398="","",IFERROR(C398/(B398*40),0))</f>
        <v/>
      </c>
      <c r="F398">
        <f>IF($J398="","",0)</f>
        <v/>
      </c>
      <c r="G398">
        <f>IF($J398="","",SUMIFS('Hours Log'!$E:$E,'Hours Log'!$A:$A,"&gt;="&amp;$J398,'Hours Log'!$A:$A,"&lt;"&amp;$J398+7))</f>
        <v/>
      </c>
      <c r="J398">
        <f>IF(COUNT('Hours Log'!$A$4:$A$5000)=0,"",IF(MIN('Hours Log'!$A$4:$A$5000)+7*(ROW()-10)&gt;MAX('Hours Log'!$A$4:$A$5000),"",MIN('Hours Log'!$A$4:$A$5000)+7*(ROW()-10)))</f>
        <v/>
      </c>
    </row>
    <row r="399">
      <c r="A399">
        <f>IF($J399="","",YEAR($J399-WEEKDAY($J399,2)+4)&amp;"-W"&amp;TEXT(WEEKNUM($J399,21),"00"))</f>
        <v/>
      </c>
      <c r="B399" s="41">
        <f>IF($J399="","",COUNTIFS(Roster!$D$4:$D$500,"Active",Roster!$C$4:$C$500,"&lt;="&amp;$J399))</f>
        <v/>
      </c>
      <c r="C399">
        <f>IF($J399="","",SUMIFS('Hours Log'!$C:$C,'Hours Log'!$A:$A,"&gt;="&amp;$J399,'Hours Log'!$A:$A,"&lt;"&amp;$J399+7)+SUMIFS('Hours Log'!$D:$D,'Hours Log'!$A:$A,"&gt;="&amp;$J399,'Hours Log'!$A:$A,"&lt;"&amp;$J399+7))</f>
        <v/>
      </c>
      <c r="D399">
        <f>IF($J399="","",SUMIFS('Hours Log'!$D:$D,'Hours Log'!$A:$A,"&gt;="&amp;$J399,'Hours Log'!$A:$A,"&lt;"&amp;$J399+7))</f>
        <v/>
      </c>
      <c r="E399">
        <f>IF($J399="","",IFERROR(C399/(B399*40),0))</f>
        <v/>
      </c>
      <c r="F399">
        <f>IF($J399="","",0)</f>
        <v/>
      </c>
      <c r="G399">
        <f>IF($J399="","",SUMIFS('Hours Log'!$E:$E,'Hours Log'!$A:$A,"&gt;="&amp;$J399,'Hours Log'!$A:$A,"&lt;"&amp;$J399+7))</f>
        <v/>
      </c>
      <c r="J399">
        <f>IF(COUNT('Hours Log'!$A$4:$A$5000)=0,"",IF(MIN('Hours Log'!$A$4:$A$5000)+7*(ROW()-10)&gt;MAX('Hours Log'!$A$4:$A$5000),"",MIN('Hours Log'!$A$4:$A$5000)+7*(ROW()-10)))</f>
        <v/>
      </c>
    </row>
    <row r="400">
      <c r="A400">
        <f>IF($J400="","",YEAR($J400-WEEKDAY($J400,2)+4)&amp;"-W"&amp;TEXT(WEEKNUM($J400,21),"00"))</f>
        <v/>
      </c>
      <c r="B400" s="41">
        <f>IF($J400="","",COUNTIFS(Roster!$D$4:$D$500,"Active",Roster!$C$4:$C$500,"&lt;="&amp;$J400))</f>
        <v/>
      </c>
      <c r="C400">
        <f>IF($J400="","",SUMIFS('Hours Log'!$C:$C,'Hours Log'!$A:$A,"&gt;="&amp;$J400,'Hours Log'!$A:$A,"&lt;"&amp;$J400+7)+SUMIFS('Hours Log'!$D:$D,'Hours Log'!$A:$A,"&gt;="&amp;$J400,'Hours Log'!$A:$A,"&lt;"&amp;$J400+7))</f>
        <v/>
      </c>
      <c r="D400">
        <f>IF($J400="","",SUMIFS('Hours Log'!$D:$D,'Hours Log'!$A:$A,"&gt;="&amp;$J400,'Hours Log'!$A:$A,"&lt;"&amp;$J400+7))</f>
        <v/>
      </c>
      <c r="E400">
        <f>IF($J400="","",IFERROR(C400/(B400*40),0))</f>
        <v/>
      </c>
      <c r="F400">
        <f>IF($J400="","",0)</f>
        <v/>
      </c>
      <c r="G400">
        <f>IF($J400="","",SUMIFS('Hours Log'!$E:$E,'Hours Log'!$A:$A,"&gt;="&amp;$J400,'Hours Log'!$A:$A,"&lt;"&amp;$J400+7))</f>
        <v/>
      </c>
      <c r="J400">
        <f>IF(COUNT('Hours Log'!$A$4:$A$5000)=0,"",IF(MIN('Hours Log'!$A$4:$A$5000)+7*(ROW()-10)&gt;MAX('Hours Log'!$A$4:$A$5000),"",MIN('Hours Log'!$A$4:$A$5000)+7*(ROW()-10)))</f>
        <v/>
      </c>
    </row>
    <row r="401">
      <c r="A401">
        <f>IF($J401="","",YEAR($J401-WEEKDAY($J401,2)+4)&amp;"-W"&amp;TEXT(WEEKNUM($J401,21),"00"))</f>
        <v/>
      </c>
      <c r="B401" s="41">
        <f>IF($J401="","",COUNTIFS(Roster!$D$4:$D$500,"Active",Roster!$C$4:$C$500,"&lt;="&amp;$J401))</f>
        <v/>
      </c>
      <c r="C401">
        <f>IF($J401="","",SUMIFS('Hours Log'!$C:$C,'Hours Log'!$A:$A,"&gt;="&amp;$J401,'Hours Log'!$A:$A,"&lt;"&amp;$J401+7)+SUMIFS('Hours Log'!$D:$D,'Hours Log'!$A:$A,"&gt;="&amp;$J401,'Hours Log'!$A:$A,"&lt;"&amp;$J401+7))</f>
        <v/>
      </c>
      <c r="D401">
        <f>IF($J401="","",SUMIFS('Hours Log'!$D:$D,'Hours Log'!$A:$A,"&gt;="&amp;$J401,'Hours Log'!$A:$A,"&lt;"&amp;$J401+7))</f>
        <v/>
      </c>
      <c r="E401">
        <f>IF($J401="","",IFERROR(C401/(B401*40),0))</f>
        <v/>
      </c>
      <c r="F401">
        <f>IF($J401="","",0)</f>
        <v/>
      </c>
      <c r="G401">
        <f>IF($J401="","",SUMIFS('Hours Log'!$E:$E,'Hours Log'!$A:$A,"&gt;="&amp;$J401,'Hours Log'!$A:$A,"&lt;"&amp;$J401+7))</f>
        <v/>
      </c>
      <c r="J401">
        <f>IF(COUNT('Hours Log'!$A$4:$A$5000)=0,"",IF(MIN('Hours Log'!$A$4:$A$5000)+7*(ROW()-10)&gt;MAX('Hours Log'!$A$4:$A$5000),"",MIN('Hours Log'!$A$4:$A$5000)+7*(ROW()-10)))</f>
        <v/>
      </c>
    </row>
    <row r="402">
      <c r="A402">
        <f>IF($J402="","",YEAR($J402-WEEKDAY($J402,2)+4)&amp;"-W"&amp;TEXT(WEEKNUM($J402,21),"00"))</f>
        <v/>
      </c>
      <c r="B402" s="41">
        <f>IF($J402="","",COUNTIFS(Roster!$D$4:$D$500,"Active",Roster!$C$4:$C$500,"&lt;="&amp;$J402))</f>
        <v/>
      </c>
      <c r="C402">
        <f>IF($J402="","",SUMIFS('Hours Log'!$C:$C,'Hours Log'!$A:$A,"&gt;="&amp;$J402,'Hours Log'!$A:$A,"&lt;"&amp;$J402+7)+SUMIFS('Hours Log'!$D:$D,'Hours Log'!$A:$A,"&gt;="&amp;$J402,'Hours Log'!$A:$A,"&lt;"&amp;$J402+7))</f>
        <v/>
      </c>
      <c r="D402">
        <f>IF($J402="","",SUMIFS('Hours Log'!$D:$D,'Hours Log'!$A:$A,"&gt;="&amp;$J402,'Hours Log'!$A:$A,"&lt;"&amp;$J402+7))</f>
        <v/>
      </c>
      <c r="E402">
        <f>IF($J402="","",IFERROR(C402/(B402*40),0))</f>
        <v/>
      </c>
      <c r="F402">
        <f>IF($J402="","",0)</f>
        <v/>
      </c>
      <c r="G402">
        <f>IF($J402="","",SUMIFS('Hours Log'!$E:$E,'Hours Log'!$A:$A,"&gt;="&amp;$J402,'Hours Log'!$A:$A,"&lt;"&amp;$J402+7))</f>
        <v/>
      </c>
      <c r="J402">
        <f>IF(COUNT('Hours Log'!$A$4:$A$5000)=0,"",IF(MIN('Hours Log'!$A$4:$A$5000)+7*(ROW()-10)&gt;MAX('Hours Log'!$A$4:$A$5000),"",MIN('Hours Log'!$A$4:$A$5000)+7*(ROW()-10)))</f>
        <v/>
      </c>
    </row>
    <row r="403">
      <c r="A403">
        <f>IF($J403="","",YEAR($J403-WEEKDAY($J403,2)+4)&amp;"-W"&amp;TEXT(WEEKNUM($J403,21),"00"))</f>
        <v/>
      </c>
      <c r="B403" s="41">
        <f>IF($J403="","",COUNTIFS(Roster!$D$4:$D$500,"Active",Roster!$C$4:$C$500,"&lt;="&amp;$J403))</f>
        <v/>
      </c>
      <c r="C403">
        <f>IF($J403="","",SUMIFS('Hours Log'!$C:$C,'Hours Log'!$A:$A,"&gt;="&amp;$J403,'Hours Log'!$A:$A,"&lt;"&amp;$J403+7)+SUMIFS('Hours Log'!$D:$D,'Hours Log'!$A:$A,"&gt;="&amp;$J403,'Hours Log'!$A:$A,"&lt;"&amp;$J403+7))</f>
        <v/>
      </c>
      <c r="D403">
        <f>IF($J403="","",SUMIFS('Hours Log'!$D:$D,'Hours Log'!$A:$A,"&gt;="&amp;$J403,'Hours Log'!$A:$A,"&lt;"&amp;$J403+7))</f>
        <v/>
      </c>
      <c r="E403">
        <f>IF($J403="","",IFERROR(C403/(B403*40),0))</f>
        <v/>
      </c>
      <c r="F403">
        <f>IF($J403="","",0)</f>
        <v/>
      </c>
      <c r="G403">
        <f>IF($J403="","",SUMIFS('Hours Log'!$E:$E,'Hours Log'!$A:$A,"&gt;="&amp;$J403,'Hours Log'!$A:$A,"&lt;"&amp;$J403+7))</f>
        <v/>
      </c>
      <c r="J403">
        <f>IF(COUNT('Hours Log'!$A$4:$A$5000)=0,"",IF(MIN('Hours Log'!$A$4:$A$5000)+7*(ROW()-10)&gt;MAX('Hours Log'!$A$4:$A$5000),"",MIN('Hours Log'!$A$4:$A$5000)+7*(ROW()-10)))</f>
        <v/>
      </c>
    </row>
    <row r="404">
      <c r="A404">
        <f>IF($J404="","",YEAR($J404-WEEKDAY($J404,2)+4)&amp;"-W"&amp;TEXT(WEEKNUM($J404,21),"00"))</f>
        <v/>
      </c>
      <c r="B404" s="41">
        <f>IF($J404="","",COUNTIFS(Roster!$D$4:$D$500,"Active",Roster!$C$4:$C$500,"&lt;="&amp;$J404))</f>
        <v/>
      </c>
      <c r="C404">
        <f>IF($J404="","",SUMIFS('Hours Log'!$C:$C,'Hours Log'!$A:$A,"&gt;="&amp;$J404,'Hours Log'!$A:$A,"&lt;"&amp;$J404+7)+SUMIFS('Hours Log'!$D:$D,'Hours Log'!$A:$A,"&gt;="&amp;$J404,'Hours Log'!$A:$A,"&lt;"&amp;$J404+7))</f>
        <v/>
      </c>
      <c r="D404">
        <f>IF($J404="","",SUMIFS('Hours Log'!$D:$D,'Hours Log'!$A:$A,"&gt;="&amp;$J404,'Hours Log'!$A:$A,"&lt;"&amp;$J404+7))</f>
        <v/>
      </c>
      <c r="E404">
        <f>IF($J404="","",IFERROR(C404/(B404*40),0))</f>
        <v/>
      </c>
      <c r="F404">
        <f>IF($J404="","",0)</f>
        <v/>
      </c>
      <c r="G404">
        <f>IF($J404="","",SUMIFS('Hours Log'!$E:$E,'Hours Log'!$A:$A,"&gt;="&amp;$J404,'Hours Log'!$A:$A,"&lt;"&amp;$J404+7))</f>
        <v/>
      </c>
      <c r="J404">
        <f>IF(COUNT('Hours Log'!$A$4:$A$5000)=0,"",IF(MIN('Hours Log'!$A$4:$A$5000)+7*(ROW()-10)&gt;MAX('Hours Log'!$A$4:$A$5000),"",MIN('Hours Log'!$A$4:$A$5000)+7*(ROW()-10)))</f>
        <v/>
      </c>
    </row>
    <row r="405">
      <c r="A405">
        <f>IF($J405="","",YEAR($J405-WEEKDAY($J405,2)+4)&amp;"-W"&amp;TEXT(WEEKNUM($J405,21),"00"))</f>
        <v/>
      </c>
      <c r="B405" s="41">
        <f>IF($J405="","",COUNTIFS(Roster!$D$4:$D$500,"Active",Roster!$C$4:$C$500,"&lt;="&amp;$J405))</f>
        <v/>
      </c>
      <c r="C405">
        <f>IF($J405="","",SUMIFS('Hours Log'!$C:$C,'Hours Log'!$A:$A,"&gt;="&amp;$J405,'Hours Log'!$A:$A,"&lt;"&amp;$J405+7)+SUMIFS('Hours Log'!$D:$D,'Hours Log'!$A:$A,"&gt;="&amp;$J405,'Hours Log'!$A:$A,"&lt;"&amp;$J405+7))</f>
        <v/>
      </c>
      <c r="D405">
        <f>IF($J405="","",SUMIFS('Hours Log'!$D:$D,'Hours Log'!$A:$A,"&gt;="&amp;$J405,'Hours Log'!$A:$A,"&lt;"&amp;$J405+7))</f>
        <v/>
      </c>
      <c r="E405">
        <f>IF($J405="","",IFERROR(C405/(B405*40),0))</f>
        <v/>
      </c>
      <c r="F405">
        <f>IF($J405="","",0)</f>
        <v/>
      </c>
      <c r="G405">
        <f>IF($J405="","",SUMIFS('Hours Log'!$E:$E,'Hours Log'!$A:$A,"&gt;="&amp;$J405,'Hours Log'!$A:$A,"&lt;"&amp;$J405+7))</f>
        <v/>
      </c>
      <c r="J405">
        <f>IF(COUNT('Hours Log'!$A$4:$A$5000)=0,"",IF(MIN('Hours Log'!$A$4:$A$5000)+7*(ROW()-10)&gt;MAX('Hours Log'!$A$4:$A$5000),"",MIN('Hours Log'!$A$4:$A$5000)+7*(ROW()-10)))</f>
        <v/>
      </c>
    </row>
    <row r="406">
      <c r="A406">
        <f>IF($J406="","",YEAR($J406-WEEKDAY($J406,2)+4)&amp;"-W"&amp;TEXT(WEEKNUM($J406,21),"00"))</f>
        <v/>
      </c>
      <c r="B406" s="41">
        <f>IF($J406="","",COUNTIFS(Roster!$D$4:$D$500,"Active",Roster!$C$4:$C$500,"&lt;="&amp;$J406))</f>
        <v/>
      </c>
      <c r="C406">
        <f>IF($J406="","",SUMIFS('Hours Log'!$C:$C,'Hours Log'!$A:$A,"&gt;="&amp;$J406,'Hours Log'!$A:$A,"&lt;"&amp;$J406+7)+SUMIFS('Hours Log'!$D:$D,'Hours Log'!$A:$A,"&gt;="&amp;$J406,'Hours Log'!$A:$A,"&lt;"&amp;$J406+7))</f>
        <v/>
      </c>
      <c r="D406">
        <f>IF($J406="","",SUMIFS('Hours Log'!$D:$D,'Hours Log'!$A:$A,"&gt;="&amp;$J406,'Hours Log'!$A:$A,"&lt;"&amp;$J406+7))</f>
        <v/>
      </c>
      <c r="E406">
        <f>IF($J406="","",IFERROR(C406/(B406*40),0))</f>
        <v/>
      </c>
      <c r="F406">
        <f>IF($J406="","",0)</f>
        <v/>
      </c>
      <c r="G406">
        <f>IF($J406="","",SUMIFS('Hours Log'!$E:$E,'Hours Log'!$A:$A,"&gt;="&amp;$J406,'Hours Log'!$A:$A,"&lt;"&amp;$J406+7))</f>
        <v/>
      </c>
      <c r="J406">
        <f>IF(COUNT('Hours Log'!$A$4:$A$5000)=0,"",IF(MIN('Hours Log'!$A$4:$A$5000)+7*(ROW()-10)&gt;MAX('Hours Log'!$A$4:$A$5000),"",MIN('Hours Log'!$A$4:$A$5000)+7*(ROW()-10)))</f>
        <v/>
      </c>
    </row>
    <row r="407">
      <c r="A407">
        <f>IF($J407="","",YEAR($J407-WEEKDAY($J407,2)+4)&amp;"-W"&amp;TEXT(WEEKNUM($J407,21),"00"))</f>
        <v/>
      </c>
      <c r="B407" s="41">
        <f>IF($J407="","",COUNTIFS(Roster!$D$4:$D$500,"Active",Roster!$C$4:$C$500,"&lt;="&amp;$J407))</f>
        <v/>
      </c>
      <c r="C407">
        <f>IF($J407="","",SUMIFS('Hours Log'!$C:$C,'Hours Log'!$A:$A,"&gt;="&amp;$J407,'Hours Log'!$A:$A,"&lt;"&amp;$J407+7)+SUMIFS('Hours Log'!$D:$D,'Hours Log'!$A:$A,"&gt;="&amp;$J407,'Hours Log'!$A:$A,"&lt;"&amp;$J407+7))</f>
        <v/>
      </c>
      <c r="D407">
        <f>IF($J407="","",SUMIFS('Hours Log'!$D:$D,'Hours Log'!$A:$A,"&gt;="&amp;$J407,'Hours Log'!$A:$A,"&lt;"&amp;$J407+7))</f>
        <v/>
      </c>
      <c r="E407">
        <f>IF($J407="","",IFERROR(C407/(B407*40),0))</f>
        <v/>
      </c>
      <c r="F407">
        <f>IF($J407="","",0)</f>
        <v/>
      </c>
      <c r="G407">
        <f>IF($J407="","",SUMIFS('Hours Log'!$E:$E,'Hours Log'!$A:$A,"&gt;="&amp;$J407,'Hours Log'!$A:$A,"&lt;"&amp;$J407+7))</f>
        <v/>
      </c>
      <c r="J407">
        <f>IF(COUNT('Hours Log'!$A$4:$A$5000)=0,"",IF(MIN('Hours Log'!$A$4:$A$5000)+7*(ROW()-10)&gt;MAX('Hours Log'!$A$4:$A$5000),"",MIN('Hours Log'!$A$4:$A$5000)+7*(ROW()-10)))</f>
        <v/>
      </c>
    </row>
    <row r="408">
      <c r="A408">
        <f>IF($J408="","",YEAR($J408-WEEKDAY($J408,2)+4)&amp;"-W"&amp;TEXT(WEEKNUM($J408,21),"00"))</f>
        <v/>
      </c>
      <c r="B408" s="41">
        <f>IF($J408="","",COUNTIFS(Roster!$D$4:$D$500,"Active",Roster!$C$4:$C$500,"&lt;="&amp;$J408))</f>
        <v/>
      </c>
      <c r="C408">
        <f>IF($J408="","",SUMIFS('Hours Log'!$C:$C,'Hours Log'!$A:$A,"&gt;="&amp;$J408,'Hours Log'!$A:$A,"&lt;"&amp;$J408+7)+SUMIFS('Hours Log'!$D:$D,'Hours Log'!$A:$A,"&gt;="&amp;$J408,'Hours Log'!$A:$A,"&lt;"&amp;$J408+7))</f>
        <v/>
      </c>
      <c r="D408">
        <f>IF($J408="","",SUMIFS('Hours Log'!$D:$D,'Hours Log'!$A:$A,"&gt;="&amp;$J408,'Hours Log'!$A:$A,"&lt;"&amp;$J408+7))</f>
        <v/>
      </c>
      <c r="E408">
        <f>IF($J408="","",IFERROR(C408/(B408*40),0))</f>
        <v/>
      </c>
      <c r="F408">
        <f>IF($J408="","",0)</f>
        <v/>
      </c>
      <c r="G408">
        <f>IF($J408="","",SUMIFS('Hours Log'!$E:$E,'Hours Log'!$A:$A,"&gt;="&amp;$J408,'Hours Log'!$A:$A,"&lt;"&amp;$J408+7))</f>
        <v/>
      </c>
      <c r="J408">
        <f>IF(COUNT('Hours Log'!$A$4:$A$5000)=0,"",IF(MIN('Hours Log'!$A$4:$A$5000)+7*(ROW()-10)&gt;MAX('Hours Log'!$A$4:$A$5000),"",MIN('Hours Log'!$A$4:$A$5000)+7*(ROW()-10)))</f>
        <v/>
      </c>
    </row>
    <row r="409">
      <c r="A409">
        <f>IF($J409="","",YEAR($J409-WEEKDAY($J409,2)+4)&amp;"-W"&amp;TEXT(WEEKNUM($J409,21),"00"))</f>
        <v/>
      </c>
      <c r="B409" s="41">
        <f>IF($J409="","",COUNTIFS(Roster!$D$4:$D$500,"Active",Roster!$C$4:$C$500,"&lt;="&amp;$J409))</f>
        <v/>
      </c>
      <c r="C409">
        <f>IF($J409="","",SUMIFS('Hours Log'!$C:$C,'Hours Log'!$A:$A,"&gt;="&amp;$J409,'Hours Log'!$A:$A,"&lt;"&amp;$J409+7)+SUMIFS('Hours Log'!$D:$D,'Hours Log'!$A:$A,"&gt;="&amp;$J409,'Hours Log'!$A:$A,"&lt;"&amp;$J409+7))</f>
        <v/>
      </c>
      <c r="D409">
        <f>IF($J409="","",SUMIFS('Hours Log'!$D:$D,'Hours Log'!$A:$A,"&gt;="&amp;$J409,'Hours Log'!$A:$A,"&lt;"&amp;$J409+7))</f>
        <v/>
      </c>
      <c r="E409">
        <f>IF($J409="","",IFERROR(C409/(B409*40),0))</f>
        <v/>
      </c>
      <c r="F409">
        <f>IF($J409="","",0)</f>
        <v/>
      </c>
      <c r="G409">
        <f>IF($J409="","",SUMIFS('Hours Log'!$E:$E,'Hours Log'!$A:$A,"&gt;="&amp;$J409,'Hours Log'!$A:$A,"&lt;"&amp;$J409+7))</f>
        <v/>
      </c>
      <c r="J409">
        <f>IF(COUNT('Hours Log'!$A$4:$A$5000)=0,"",IF(MIN('Hours Log'!$A$4:$A$5000)+7*(ROW()-10)&gt;MAX('Hours Log'!$A$4:$A$5000),"",MIN('Hours Log'!$A$4:$A$5000)+7*(ROW()-10)))</f>
        <v/>
      </c>
    </row>
    <row r="410">
      <c r="A410">
        <f>IF($J410="","",YEAR($J410-WEEKDAY($J410,2)+4)&amp;"-W"&amp;TEXT(WEEKNUM($J410,21),"00"))</f>
        <v/>
      </c>
      <c r="B410" s="41">
        <f>IF($J410="","",COUNTIFS(Roster!$D$4:$D$500,"Active",Roster!$C$4:$C$500,"&lt;="&amp;$J410))</f>
        <v/>
      </c>
      <c r="C410">
        <f>IF($J410="","",SUMIFS('Hours Log'!$C:$C,'Hours Log'!$A:$A,"&gt;="&amp;$J410,'Hours Log'!$A:$A,"&lt;"&amp;$J410+7)+SUMIFS('Hours Log'!$D:$D,'Hours Log'!$A:$A,"&gt;="&amp;$J410,'Hours Log'!$A:$A,"&lt;"&amp;$J410+7))</f>
        <v/>
      </c>
      <c r="D410">
        <f>IF($J410="","",SUMIFS('Hours Log'!$D:$D,'Hours Log'!$A:$A,"&gt;="&amp;$J410,'Hours Log'!$A:$A,"&lt;"&amp;$J410+7))</f>
        <v/>
      </c>
      <c r="E410">
        <f>IF($J410="","",IFERROR(C410/(B410*40),0))</f>
        <v/>
      </c>
      <c r="F410">
        <f>IF($J410="","",0)</f>
        <v/>
      </c>
      <c r="G410">
        <f>IF($J410="","",SUMIFS('Hours Log'!$E:$E,'Hours Log'!$A:$A,"&gt;="&amp;$J410,'Hours Log'!$A:$A,"&lt;"&amp;$J410+7))</f>
        <v/>
      </c>
      <c r="J410">
        <f>IF(COUNT('Hours Log'!$A$4:$A$5000)=0,"",IF(MIN('Hours Log'!$A$4:$A$5000)+7*(ROW()-10)&gt;MAX('Hours Log'!$A$4:$A$5000),"",MIN('Hours Log'!$A$4:$A$5000)+7*(ROW()-10)))</f>
        <v/>
      </c>
    </row>
    <row r="411">
      <c r="A411">
        <f>IF($J411="","",YEAR($J411-WEEKDAY($J411,2)+4)&amp;"-W"&amp;TEXT(WEEKNUM($J411,21),"00"))</f>
        <v/>
      </c>
      <c r="B411" s="41">
        <f>IF($J411="","",COUNTIFS(Roster!$D$4:$D$500,"Active",Roster!$C$4:$C$500,"&lt;="&amp;$J411))</f>
        <v/>
      </c>
      <c r="C411">
        <f>IF($J411="","",SUMIFS('Hours Log'!$C:$C,'Hours Log'!$A:$A,"&gt;="&amp;$J411,'Hours Log'!$A:$A,"&lt;"&amp;$J411+7)+SUMIFS('Hours Log'!$D:$D,'Hours Log'!$A:$A,"&gt;="&amp;$J411,'Hours Log'!$A:$A,"&lt;"&amp;$J411+7))</f>
        <v/>
      </c>
      <c r="D411">
        <f>IF($J411="","",SUMIFS('Hours Log'!$D:$D,'Hours Log'!$A:$A,"&gt;="&amp;$J411,'Hours Log'!$A:$A,"&lt;"&amp;$J411+7))</f>
        <v/>
      </c>
      <c r="E411">
        <f>IF($J411="","",IFERROR(C411/(B411*40),0))</f>
        <v/>
      </c>
      <c r="F411">
        <f>IF($J411="","",0)</f>
        <v/>
      </c>
      <c r="G411">
        <f>IF($J411="","",SUMIFS('Hours Log'!$E:$E,'Hours Log'!$A:$A,"&gt;="&amp;$J411,'Hours Log'!$A:$A,"&lt;"&amp;$J411+7))</f>
        <v/>
      </c>
      <c r="J411">
        <f>IF(COUNT('Hours Log'!$A$4:$A$5000)=0,"",IF(MIN('Hours Log'!$A$4:$A$5000)+7*(ROW()-10)&gt;MAX('Hours Log'!$A$4:$A$5000),"",MIN('Hours Log'!$A$4:$A$5000)+7*(ROW()-10)))</f>
        <v/>
      </c>
    </row>
    <row r="412">
      <c r="A412">
        <f>IF($J412="","",YEAR($J412-WEEKDAY($J412,2)+4)&amp;"-W"&amp;TEXT(WEEKNUM($J412,21),"00"))</f>
        <v/>
      </c>
      <c r="B412" s="41">
        <f>IF($J412="","",COUNTIFS(Roster!$D$4:$D$500,"Active",Roster!$C$4:$C$500,"&lt;="&amp;$J412))</f>
        <v/>
      </c>
      <c r="C412">
        <f>IF($J412="","",SUMIFS('Hours Log'!$C:$C,'Hours Log'!$A:$A,"&gt;="&amp;$J412,'Hours Log'!$A:$A,"&lt;"&amp;$J412+7)+SUMIFS('Hours Log'!$D:$D,'Hours Log'!$A:$A,"&gt;="&amp;$J412,'Hours Log'!$A:$A,"&lt;"&amp;$J412+7))</f>
        <v/>
      </c>
      <c r="D412">
        <f>IF($J412="","",SUMIFS('Hours Log'!$D:$D,'Hours Log'!$A:$A,"&gt;="&amp;$J412,'Hours Log'!$A:$A,"&lt;"&amp;$J412+7))</f>
        <v/>
      </c>
      <c r="E412">
        <f>IF($J412="","",IFERROR(C412/(B412*40),0))</f>
        <v/>
      </c>
      <c r="F412">
        <f>IF($J412="","",0)</f>
        <v/>
      </c>
      <c r="G412">
        <f>IF($J412="","",SUMIFS('Hours Log'!$E:$E,'Hours Log'!$A:$A,"&gt;="&amp;$J412,'Hours Log'!$A:$A,"&lt;"&amp;$J412+7))</f>
        <v/>
      </c>
      <c r="J412">
        <f>IF(COUNT('Hours Log'!$A$4:$A$5000)=0,"",IF(MIN('Hours Log'!$A$4:$A$5000)+7*(ROW()-10)&gt;MAX('Hours Log'!$A$4:$A$5000),"",MIN('Hours Log'!$A$4:$A$5000)+7*(ROW()-10)))</f>
        <v/>
      </c>
    </row>
    <row r="413">
      <c r="A413">
        <f>IF($J413="","",YEAR($J413-WEEKDAY($J413,2)+4)&amp;"-W"&amp;TEXT(WEEKNUM($J413,21),"00"))</f>
        <v/>
      </c>
      <c r="B413" s="41">
        <f>IF($J413="","",COUNTIFS(Roster!$D$4:$D$500,"Active",Roster!$C$4:$C$500,"&lt;="&amp;$J413))</f>
        <v/>
      </c>
      <c r="C413">
        <f>IF($J413="","",SUMIFS('Hours Log'!$C:$C,'Hours Log'!$A:$A,"&gt;="&amp;$J413,'Hours Log'!$A:$A,"&lt;"&amp;$J413+7)+SUMIFS('Hours Log'!$D:$D,'Hours Log'!$A:$A,"&gt;="&amp;$J413,'Hours Log'!$A:$A,"&lt;"&amp;$J413+7))</f>
        <v/>
      </c>
      <c r="D413">
        <f>IF($J413="","",SUMIFS('Hours Log'!$D:$D,'Hours Log'!$A:$A,"&gt;="&amp;$J413,'Hours Log'!$A:$A,"&lt;"&amp;$J413+7))</f>
        <v/>
      </c>
      <c r="E413">
        <f>IF($J413="","",IFERROR(C413/(B413*40),0))</f>
        <v/>
      </c>
      <c r="F413">
        <f>IF($J413="","",0)</f>
        <v/>
      </c>
      <c r="G413">
        <f>IF($J413="","",SUMIFS('Hours Log'!$E:$E,'Hours Log'!$A:$A,"&gt;="&amp;$J413,'Hours Log'!$A:$A,"&lt;"&amp;$J413+7))</f>
        <v/>
      </c>
      <c r="J413">
        <f>IF(COUNT('Hours Log'!$A$4:$A$5000)=0,"",IF(MIN('Hours Log'!$A$4:$A$5000)+7*(ROW()-10)&gt;MAX('Hours Log'!$A$4:$A$5000),"",MIN('Hours Log'!$A$4:$A$5000)+7*(ROW()-10)))</f>
        <v/>
      </c>
    </row>
    <row r="414">
      <c r="A414">
        <f>IF($J414="","",YEAR($J414-WEEKDAY($J414,2)+4)&amp;"-W"&amp;TEXT(WEEKNUM($J414,21),"00"))</f>
        <v/>
      </c>
      <c r="B414" s="41">
        <f>IF($J414="","",COUNTIFS(Roster!$D$4:$D$500,"Active",Roster!$C$4:$C$500,"&lt;="&amp;$J414))</f>
        <v/>
      </c>
      <c r="C414">
        <f>IF($J414="","",SUMIFS('Hours Log'!$C:$C,'Hours Log'!$A:$A,"&gt;="&amp;$J414,'Hours Log'!$A:$A,"&lt;"&amp;$J414+7)+SUMIFS('Hours Log'!$D:$D,'Hours Log'!$A:$A,"&gt;="&amp;$J414,'Hours Log'!$A:$A,"&lt;"&amp;$J414+7))</f>
        <v/>
      </c>
      <c r="D414">
        <f>IF($J414="","",SUMIFS('Hours Log'!$D:$D,'Hours Log'!$A:$A,"&gt;="&amp;$J414,'Hours Log'!$A:$A,"&lt;"&amp;$J414+7))</f>
        <v/>
      </c>
      <c r="E414">
        <f>IF($J414="","",IFERROR(C414/(B414*40),0))</f>
        <v/>
      </c>
      <c r="F414">
        <f>IF($J414="","",0)</f>
        <v/>
      </c>
      <c r="G414">
        <f>IF($J414="","",SUMIFS('Hours Log'!$E:$E,'Hours Log'!$A:$A,"&gt;="&amp;$J414,'Hours Log'!$A:$A,"&lt;"&amp;$J414+7))</f>
        <v/>
      </c>
      <c r="J414">
        <f>IF(COUNT('Hours Log'!$A$4:$A$5000)=0,"",IF(MIN('Hours Log'!$A$4:$A$5000)+7*(ROW()-10)&gt;MAX('Hours Log'!$A$4:$A$5000),"",MIN('Hours Log'!$A$4:$A$5000)+7*(ROW()-10)))</f>
        <v/>
      </c>
    </row>
    <row r="415">
      <c r="A415">
        <f>IF($J415="","",YEAR($J415-WEEKDAY($J415,2)+4)&amp;"-W"&amp;TEXT(WEEKNUM($J415,21),"00"))</f>
        <v/>
      </c>
      <c r="B415" s="41">
        <f>IF($J415="","",COUNTIFS(Roster!$D$4:$D$500,"Active",Roster!$C$4:$C$500,"&lt;="&amp;$J415))</f>
        <v/>
      </c>
      <c r="C415">
        <f>IF($J415="","",SUMIFS('Hours Log'!$C:$C,'Hours Log'!$A:$A,"&gt;="&amp;$J415,'Hours Log'!$A:$A,"&lt;"&amp;$J415+7)+SUMIFS('Hours Log'!$D:$D,'Hours Log'!$A:$A,"&gt;="&amp;$J415,'Hours Log'!$A:$A,"&lt;"&amp;$J415+7))</f>
        <v/>
      </c>
      <c r="D415">
        <f>IF($J415="","",SUMIFS('Hours Log'!$D:$D,'Hours Log'!$A:$A,"&gt;="&amp;$J415,'Hours Log'!$A:$A,"&lt;"&amp;$J415+7))</f>
        <v/>
      </c>
      <c r="E415">
        <f>IF($J415="","",IFERROR(C415/(B415*40),0))</f>
        <v/>
      </c>
      <c r="F415">
        <f>IF($J415="","",0)</f>
        <v/>
      </c>
      <c r="G415">
        <f>IF($J415="","",SUMIFS('Hours Log'!$E:$E,'Hours Log'!$A:$A,"&gt;="&amp;$J415,'Hours Log'!$A:$A,"&lt;"&amp;$J415+7))</f>
        <v/>
      </c>
      <c r="J415">
        <f>IF(COUNT('Hours Log'!$A$4:$A$5000)=0,"",IF(MIN('Hours Log'!$A$4:$A$5000)+7*(ROW()-10)&gt;MAX('Hours Log'!$A$4:$A$5000),"",MIN('Hours Log'!$A$4:$A$5000)+7*(ROW()-10)))</f>
        <v/>
      </c>
    </row>
    <row r="416">
      <c r="A416">
        <f>IF($J416="","",YEAR($J416-WEEKDAY($J416,2)+4)&amp;"-W"&amp;TEXT(WEEKNUM($J416,21),"00"))</f>
        <v/>
      </c>
      <c r="B416" s="41">
        <f>IF($J416="","",COUNTIFS(Roster!$D$4:$D$500,"Active",Roster!$C$4:$C$500,"&lt;="&amp;$J416))</f>
        <v/>
      </c>
      <c r="C416">
        <f>IF($J416="","",SUMIFS('Hours Log'!$C:$C,'Hours Log'!$A:$A,"&gt;="&amp;$J416,'Hours Log'!$A:$A,"&lt;"&amp;$J416+7)+SUMIFS('Hours Log'!$D:$D,'Hours Log'!$A:$A,"&gt;="&amp;$J416,'Hours Log'!$A:$A,"&lt;"&amp;$J416+7))</f>
        <v/>
      </c>
      <c r="D416">
        <f>IF($J416="","",SUMIFS('Hours Log'!$D:$D,'Hours Log'!$A:$A,"&gt;="&amp;$J416,'Hours Log'!$A:$A,"&lt;"&amp;$J416+7))</f>
        <v/>
      </c>
      <c r="E416">
        <f>IF($J416="","",IFERROR(C416/(B416*40),0))</f>
        <v/>
      </c>
      <c r="F416">
        <f>IF($J416="","",0)</f>
        <v/>
      </c>
      <c r="G416">
        <f>IF($J416="","",SUMIFS('Hours Log'!$E:$E,'Hours Log'!$A:$A,"&gt;="&amp;$J416,'Hours Log'!$A:$A,"&lt;"&amp;$J416+7))</f>
        <v/>
      </c>
      <c r="J416">
        <f>IF(COUNT('Hours Log'!$A$4:$A$5000)=0,"",IF(MIN('Hours Log'!$A$4:$A$5000)+7*(ROW()-10)&gt;MAX('Hours Log'!$A$4:$A$5000),"",MIN('Hours Log'!$A$4:$A$5000)+7*(ROW()-10)))</f>
        <v/>
      </c>
    </row>
    <row r="417">
      <c r="A417">
        <f>IF($J417="","",YEAR($J417-WEEKDAY($J417,2)+4)&amp;"-W"&amp;TEXT(WEEKNUM($J417,21),"00"))</f>
        <v/>
      </c>
      <c r="B417" s="41">
        <f>IF($J417="","",COUNTIFS(Roster!$D$4:$D$500,"Active",Roster!$C$4:$C$500,"&lt;="&amp;$J417))</f>
        <v/>
      </c>
      <c r="C417">
        <f>IF($J417="","",SUMIFS('Hours Log'!$C:$C,'Hours Log'!$A:$A,"&gt;="&amp;$J417,'Hours Log'!$A:$A,"&lt;"&amp;$J417+7)+SUMIFS('Hours Log'!$D:$D,'Hours Log'!$A:$A,"&gt;="&amp;$J417,'Hours Log'!$A:$A,"&lt;"&amp;$J417+7))</f>
        <v/>
      </c>
      <c r="D417">
        <f>IF($J417="","",SUMIFS('Hours Log'!$D:$D,'Hours Log'!$A:$A,"&gt;="&amp;$J417,'Hours Log'!$A:$A,"&lt;"&amp;$J417+7))</f>
        <v/>
      </c>
      <c r="E417">
        <f>IF($J417="","",IFERROR(C417/(B417*40),0))</f>
        <v/>
      </c>
      <c r="F417">
        <f>IF($J417="","",0)</f>
        <v/>
      </c>
      <c r="G417">
        <f>IF($J417="","",SUMIFS('Hours Log'!$E:$E,'Hours Log'!$A:$A,"&gt;="&amp;$J417,'Hours Log'!$A:$A,"&lt;"&amp;$J417+7))</f>
        <v/>
      </c>
      <c r="J417">
        <f>IF(COUNT('Hours Log'!$A$4:$A$5000)=0,"",IF(MIN('Hours Log'!$A$4:$A$5000)+7*(ROW()-10)&gt;MAX('Hours Log'!$A$4:$A$5000),"",MIN('Hours Log'!$A$4:$A$5000)+7*(ROW()-10)))</f>
        <v/>
      </c>
    </row>
    <row r="418">
      <c r="A418">
        <f>IF($J418="","",YEAR($J418-WEEKDAY($J418,2)+4)&amp;"-W"&amp;TEXT(WEEKNUM($J418,21),"00"))</f>
        <v/>
      </c>
      <c r="B418" s="41">
        <f>IF($J418="","",COUNTIFS(Roster!$D$4:$D$500,"Active",Roster!$C$4:$C$500,"&lt;="&amp;$J418))</f>
        <v/>
      </c>
      <c r="C418">
        <f>IF($J418="","",SUMIFS('Hours Log'!$C:$C,'Hours Log'!$A:$A,"&gt;="&amp;$J418,'Hours Log'!$A:$A,"&lt;"&amp;$J418+7)+SUMIFS('Hours Log'!$D:$D,'Hours Log'!$A:$A,"&gt;="&amp;$J418,'Hours Log'!$A:$A,"&lt;"&amp;$J418+7))</f>
        <v/>
      </c>
      <c r="D418">
        <f>IF($J418="","",SUMIFS('Hours Log'!$D:$D,'Hours Log'!$A:$A,"&gt;="&amp;$J418,'Hours Log'!$A:$A,"&lt;"&amp;$J418+7))</f>
        <v/>
      </c>
      <c r="E418">
        <f>IF($J418="","",IFERROR(C418/(B418*40),0))</f>
        <v/>
      </c>
      <c r="F418">
        <f>IF($J418="","",0)</f>
        <v/>
      </c>
      <c r="G418">
        <f>IF($J418="","",SUMIFS('Hours Log'!$E:$E,'Hours Log'!$A:$A,"&gt;="&amp;$J418,'Hours Log'!$A:$A,"&lt;"&amp;$J418+7))</f>
        <v/>
      </c>
      <c r="J418">
        <f>IF(COUNT('Hours Log'!$A$4:$A$5000)=0,"",IF(MIN('Hours Log'!$A$4:$A$5000)+7*(ROW()-10)&gt;MAX('Hours Log'!$A$4:$A$5000),"",MIN('Hours Log'!$A$4:$A$5000)+7*(ROW()-10)))</f>
        <v/>
      </c>
    </row>
    <row r="419">
      <c r="A419">
        <f>IF($J419="","",YEAR($J419-WEEKDAY($J419,2)+4)&amp;"-W"&amp;TEXT(WEEKNUM($J419,21),"00"))</f>
        <v/>
      </c>
      <c r="B419" s="41">
        <f>IF($J419="","",COUNTIFS(Roster!$D$4:$D$500,"Active",Roster!$C$4:$C$500,"&lt;="&amp;$J419))</f>
        <v/>
      </c>
      <c r="C419">
        <f>IF($J419="","",SUMIFS('Hours Log'!$C:$C,'Hours Log'!$A:$A,"&gt;="&amp;$J419,'Hours Log'!$A:$A,"&lt;"&amp;$J419+7)+SUMIFS('Hours Log'!$D:$D,'Hours Log'!$A:$A,"&gt;="&amp;$J419,'Hours Log'!$A:$A,"&lt;"&amp;$J419+7))</f>
        <v/>
      </c>
      <c r="D419">
        <f>IF($J419="","",SUMIFS('Hours Log'!$D:$D,'Hours Log'!$A:$A,"&gt;="&amp;$J419,'Hours Log'!$A:$A,"&lt;"&amp;$J419+7))</f>
        <v/>
      </c>
      <c r="E419">
        <f>IF($J419="","",IFERROR(C419/(B419*40),0))</f>
        <v/>
      </c>
      <c r="F419">
        <f>IF($J419="","",0)</f>
        <v/>
      </c>
      <c r="G419">
        <f>IF($J419="","",SUMIFS('Hours Log'!$E:$E,'Hours Log'!$A:$A,"&gt;="&amp;$J419,'Hours Log'!$A:$A,"&lt;"&amp;$J419+7))</f>
        <v/>
      </c>
      <c r="J419">
        <f>IF(COUNT('Hours Log'!$A$4:$A$5000)=0,"",IF(MIN('Hours Log'!$A$4:$A$5000)+7*(ROW()-10)&gt;MAX('Hours Log'!$A$4:$A$5000),"",MIN('Hours Log'!$A$4:$A$5000)+7*(ROW()-10)))</f>
        <v/>
      </c>
    </row>
    <row r="420">
      <c r="A420">
        <f>IF($J420="","",YEAR($J420-WEEKDAY($J420,2)+4)&amp;"-W"&amp;TEXT(WEEKNUM($J420,21),"00"))</f>
        <v/>
      </c>
      <c r="B420" s="41">
        <f>IF($J420="","",COUNTIFS(Roster!$D$4:$D$500,"Active",Roster!$C$4:$C$500,"&lt;="&amp;$J420))</f>
        <v/>
      </c>
      <c r="C420">
        <f>IF($J420="","",SUMIFS('Hours Log'!$C:$C,'Hours Log'!$A:$A,"&gt;="&amp;$J420,'Hours Log'!$A:$A,"&lt;"&amp;$J420+7)+SUMIFS('Hours Log'!$D:$D,'Hours Log'!$A:$A,"&gt;="&amp;$J420,'Hours Log'!$A:$A,"&lt;"&amp;$J420+7))</f>
        <v/>
      </c>
      <c r="D420">
        <f>IF($J420="","",SUMIFS('Hours Log'!$D:$D,'Hours Log'!$A:$A,"&gt;="&amp;$J420,'Hours Log'!$A:$A,"&lt;"&amp;$J420+7))</f>
        <v/>
      </c>
      <c r="E420">
        <f>IF($J420="","",IFERROR(C420/(B420*40),0))</f>
        <v/>
      </c>
      <c r="F420">
        <f>IF($J420="","",0)</f>
        <v/>
      </c>
      <c r="G420">
        <f>IF($J420="","",SUMIFS('Hours Log'!$E:$E,'Hours Log'!$A:$A,"&gt;="&amp;$J420,'Hours Log'!$A:$A,"&lt;"&amp;$J420+7))</f>
        <v/>
      </c>
      <c r="J420">
        <f>IF(COUNT('Hours Log'!$A$4:$A$5000)=0,"",IF(MIN('Hours Log'!$A$4:$A$5000)+7*(ROW()-10)&gt;MAX('Hours Log'!$A$4:$A$5000),"",MIN('Hours Log'!$A$4:$A$5000)+7*(ROW()-10)))</f>
        <v/>
      </c>
    </row>
    <row r="421">
      <c r="A421">
        <f>IF($J421="","",YEAR($J421-WEEKDAY($J421,2)+4)&amp;"-W"&amp;TEXT(WEEKNUM($J421,21),"00"))</f>
        <v/>
      </c>
      <c r="B421" s="41">
        <f>IF($J421="","",COUNTIFS(Roster!$D$4:$D$500,"Active",Roster!$C$4:$C$500,"&lt;="&amp;$J421))</f>
        <v/>
      </c>
      <c r="C421">
        <f>IF($J421="","",SUMIFS('Hours Log'!$C:$C,'Hours Log'!$A:$A,"&gt;="&amp;$J421,'Hours Log'!$A:$A,"&lt;"&amp;$J421+7)+SUMIFS('Hours Log'!$D:$D,'Hours Log'!$A:$A,"&gt;="&amp;$J421,'Hours Log'!$A:$A,"&lt;"&amp;$J421+7))</f>
        <v/>
      </c>
      <c r="D421">
        <f>IF($J421="","",SUMIFS('Hours Log'!$D:$D,'Hours Log'!$A:$A,"&gt;="&amp;$J421,'Hours Log'!$A:$A,"&lt;"&amp;$J421+7))</f>
        <v/>
      </c>
      <c r="E421">
        <f>IF($J421="","",IFERROR(C421/(B421*40),0))</f>
        <v/>
      </c>
      <c r="F421">
        <f>IF($J421="","",0)</f>
        <v/>
      </c>
      <c r="G421">
        <f>IF($J421="","",SUMIFS('Hours Log'!$E:$E,'Hours Log'!$A:$A,"&gt;="&amp;$J421,'Hours Log'!$A:$A,"&lt;"&amp;$J421+7))</f>
        <v/>
      </c>
      <c r="J421">
        <f>IF(COUNT('Hours Log'!$A$4:$A$5000)=0,"",IF(MIN('Hours Log'!$A$4:$A$5000)+7*(ROW()-10)&gt;MAX('Hours Log'!$A$4:$A$5000),"",MIN('Hours Log'!$A$4:$A$5000)+7*(ROW()-10)))</f>
        <v/>
      </c>
    </row>
    <row r="422">
      <c r="A422">
        <f>IF($J422="","",YEAR($J422-WEEKDAY($J422,2)+4)&amp;"-W"&amp;TEXT(WEEKNUM($J422,21),"00"))</f>
        <v/>
      </c>
      <c r="B422" s="41">
        <f>IF($J422="","",COUNTIFS(Roster!$D$4:$D$500,"Active",Roster!$C$4:$C$500,"&lt;="&amp;$J422))</f>
        <v/>
      </c>
      <c r="C422">
        <f>IF($J422="","",SUMIFS('Hours Log'!$C:$C,'Hours Log'!$A:$A,"&gt;="&amp;$J422,'Hours Log'!$A:$A,"&lt;"&amp;$J422+7)+SUMIFS('Hours Log'!$D:$D,'Hours Log'!$A:$A,"&gt;="&amp;$J422,'Hours Log'!$A:$A,"&lt;"&amp;$J422+7))</f>
        <v/>
      </c>
      <c r="D422">
        <f>IF($J422="","",SUMIFS('Hours Log'!$D:$D,'Hours Log'!$A:$A,"&gt;="&amp;$J422,'Hours Log'!$A:$A,"&lt;"&amp;$J422+7))</f>
        <v/>
      </c>
      <c r="E422">
        <f>IF($J422="","",IFERROR(C422/(B422*40),0))</f>
        <v/>
      </c>
      <c r="F422">
        <f>IF($J422="","",0)</f>
        <v/>
      </c>
      <c r="G422">
        <f>IF($J422="","",SUMIFS('Hours Log'!$E:$E,'Hours Log'!$A:$A,"&gt;="&amp;$J422,'Hours Log'!$A:$A,"&lt;"&amp;$J422+7))</f>
        <v/>
      </c>
      <c r="J422">
        <f>IF(COUNT('Hours Log'!$A$4:$A$5000)=0,"",IF(MIN('Hours Log'!$A$4:$A$5000)+7*(ROW()-10)&gt;MAX('Hours Log'!$A$4:$A$5000),"",MIN('Hours Log'!$A$4:$A$5000)+7*(ROW()-10)))</f>
        <v/>
      </c>
    </row>
    <row r="423">
      <c r="A423">
        <f>IF($J423="","",YEAR($J423-WEEKDAY($J423,2)+4)&amp;"-W"&amp;TEXT(WEEKNUM($J423,21),"00"))</f>
        <v/>
      </c>
      <c r="B423" s="41">
        <f>IF($J423="","",COUNTIFS(Roster!$D$4:$D$500,"Active",Roster!$C$4:$C$500,"&lt;="&amp;$J423))</f>
        <v/>
      </c>
      <c r="C423">
        <f>IF($J423="","",SUMIFS('Hours Log'!$C:$C,'Hours Log'!$A:$A,"&gt;="&amp;$J423,'Hours Log'!$A:$A,"&lt;"&amp;$J423+7)+SUMIFS('Hours Log'!$D:$D,'Hours Log'!$A:$A,"&gt;="&amp;$J423,'Hours Log'!$A:$A,"&lt;"&amp;$J423+7))</f>
        <v/>
      </c>
      <c r="D423">
        <f>IF($J423="","",SUMIFS('Hours Log'!$D:$D,'Hours Log'!$A:$A,"&gt;="&amp;$J423,'Hours Log'!$A:$A,"&lt;"&amp;$J423+7))</f>
        <v/>
      </c>
      <c r="E423">
        <f>IF($J423="","",IFERROR(C423/(B423*40),0))</f>
        <v/>
      </c>
      <c r="F423">
        <f>IF($J423="","",0)</f>
        <v/>
      </c>
      <c r="G423">
        <f>IF($J423="","",SUMIFS('Hours Log'!$E:$E,'Hours Log'!$A:$A,"&gt;="&amp;$J423,'Hours Log'!$A:$A,"&lt;"&amp;$J423+7))</f>
        <v/>
      </c>
      <c r="J423">
        <f>IF(COUNT('Hours Log'!$A$4:$A$5000)=0,"",IF(MIN('Hours Log'!$A$4:$A$5000)+7*(ROW()-10)&gt;MAX('Hours Log'!$A$4:$A$5000),"",MIN('Hours Log'!$A$4:$A$5000)+7*(ROW()-10)))</f>
        <v/>
      </c>
    </row>
    <row r="424">
      <c r="A424">
        <f>IF($J424="","",YEAR($J424-WEEKDAY($J424,2)+4)&amp;"-W"&amp;TEXT(WEEKNUM($J424,21),"00"))</f>
        <v/>
      </c>
      <c r="B424" s="41">
        <f>IF($J424="","",COUNTIFS(Roster!$D$4:$D$500,"Active",Roster!$C$4:$C$500,"&lt;="&amp;$J424))</f>
        <v/>
      </c>
      <c r="C424">
        <f>IF($J424="","",SUMIFS('Hours Log'!$C:$C,'Hours Log'!$A:$A,"&gt;="&amp;$J424,'Hours Log'!$A:$A,"&lt;"&amp;$J424+7)+SUMIFS('Hours Log'!$D:$D,'Hours Log'!$A:$A,"&gt;="&amp;$J424,'Hours Log'!$A:$A,"&lt;"&amp;$J424+7))</f>
        <v/>
      </c>
      <c r="D424">
        <f>IF($J424="","",SUMIFS('Hours Log'!$D:$D,'Hours Log'!$A:$A,"&gt;="&amp;$J424,'Hours Log'!$A:$A,"&lt;"&amp;$J424+7))</f>
        <v/>
      </c>
      <c r="E424">
        <f>IF($J424="","",IFERROR(C424/(B424*40),0))</f>
        <v/>
      </c>
      <c r="F424">
        <f>IF($J424="","",0)</f>
        <v/>
      </c>
      <c r="G424">
        <f>IF($J424="","",SUMIFS('Hours Log'!$E:$E,'Hours Log'!$A:$A,"&gt;="&amp;$J424,'Hours Log'!$A:$A,"&lt;"&amp;$J424+7))</f>
        <v/>
      </c>
      <c r="J424">
        <f>IF(COUNT('Hours Log'!$A$4:$A$5000)=0,"",IF(MIN('Hours Log'!$A$4:$A$5000)+7*(ROW()-10)&gt;MAX('Hours Log'!$A$4:$A$5000),"",MIN('Hours Log'!$A$4:$A$5000)+7*(ROW()-10)))</f>
        <v/>
      </c>
    </row>
    <row r="425">
      <c r="A425">
        <f>IF($J425="","",YEAR($J425-WEEKDAY($J425,2)+4)&amp;"-W"&amp;TEXT(WEEKNUM($J425,21),"00"))</f>
        <v/>
      </c>
      <c r="B425" s="41">
        <f>IF($J425="","",COUNTIFS(Roster!$D$4:$D$500,"Active",Roster!$C$4:$C$500,"&lt;="&amp;$J425))</f>
        <v/>
      </c>
      <c r="C425">
        <f>IF($J425="","",SUMIFS('Hours Log'!$C:$C,'Hours Log'!$A:$A,"&gt;="&amp;$J425,'Hours Log'!$A:$A,"&lt;"&amp;$J425+7)+SUMIFS('Hours Log'!$D:$D,'Hours Log'!$A:$A,"&gt;="&amp;$J425,'Hours Log'!$A:$A,"&lt;"&amp;$J425+7))</f>
        <v/>
      </c>
      <c r="D425">
        <f>IF($J425="","",SUMIFS('Hours Log'!$D:$D,'Hours Log'!$A:$A,"&gt;="&amp;$J425,'Hours Log'!$A:$A,"&lt;"&amp;$J425+7))</f>
        <v/>
      </c>
      <c r="E425">
        <f>IF($J425="","",IFERROR(C425/(B425*40),0))</f>
        <v/>
      </c>
      <c r="F425">
        <f>IF($J425="","",0)</f>
        <v/>
      </c>
      <c r="G425">
        <f>IF($J425="","",SUMIFS('Hours Log'!$E:$E,'Hours Log'!$A:$A,"&gt;="&amp;$J425,'Hours Log'!$A:$A,"&lt;"&amp;$J425+7))</f>
        <v/>
      </c>
      <c r="J425">
        <f>IF(COUNT('Hours Log'!$A$4:$A$5000)=0,"",IF(MIN('Hours Log'!$A$4:$A$5000)+7*(ROW()-10)&gt;MAX('Hours Log'!$A$4:$A$5000),"",MIN('Hours Log'!$A$4:$A$5000)+7*(ROW()-10)))</f>
        <v/>
      </c>
    </row>
    <row r="426">
      <c r="A426">
        <f>IF($J426="","",YEAR($J426-WEEKDAY($J426,2)+4)&amp;"-W"&amp;TEXT(WEEKNUM($J426,21),"00"))</f>
        <v/>
      </c>
      <c r="B426" s="41">
        <f>IF($J426="","",COUNTIFS(Roster!$D$4:$D$500,"Active",Roster!$C$4:$C$500,"&lt;="&amp;$J426))</f>
        <v/>
      </c>
      <c r="C426">
        <f>IF($J426="","",SUMIFS('Hours Log'!$C:$C,'Hours Log'!$A:$A,"&gt;="&amp;$J426,'Hours Log'!$A:$A,"&lt;"&amp;$J426+7)+SUMIFS('Hours Log'!$D:$D,'Hours Log'!$A:$A,"&gt;="&amp;$J426,'Hours Log'!$A:$A,"&lt;"&amp;$J426+7))</f>
        <v/>
      </c>
      <c r="D426">
        <f>IF($J426="","",SUMIFS('Hours Log'!$D:$D,'Hours Log'!$A:$A,"&gt;="&amp;$J426,'Hours Log'!$A:$A,"&lt;"&amp;$J426+7))</f>
        <v/>
      </c>
      <c r="E426">
        <f>IF($J426="","",IFERROR(C426/(B426*40),0))</f>
        <v/>
      </c>
      <c r="F426">
        <f>IF($J426="","",0)</f>
        <v/>
      </c>
      <c r="G426">
        <f>IF($J426="","",SUMIFS('Hours Log'!$E:$E,'Hours Log'!$A:$A,"&gt;="&amp;$J426,'Hours Log'!$A:$A,"&lt;"&amp;$J426+7))</f>
        <v/>
      </c>
      <c r="J426">
        <f>IF(COUNT('Hours Log'!$A$4:$A$5000)=0,"",IF(MIN('Hours Log'!$A$4:$A$5000)+7*(ROW()-10)&gt;MAX('Hours Log'!$A$4:$A$5000),"",MIN('Hours Log'!$A$4:$A$5000)+7*(ROW()-10)))</f>
        <v/>
      </c>
    </row>
    <row r="427">
      <c r="A427">
        <f>IF($J427="","",YEAR($J427-WEEKDAY($J427,2)+4)&amp;"-W"&amp;TEXT(WEEKNUM($J427,21),"00"))</f>
        <v/>
      </c>
      <c r="B427" s="41">
        <f>IF($J427="","",COUNTIFS(Roster!$D$4:$D$500,"Active",Roster!$C$4:$C$500,"&lt;="&amp;$J427))</f>
        <v/>
      </c>
      <c r="C427">
        <f>IF($J427="","",SUMIFS('Hours Log'!$C:$C,'Hours Log'!$A:$A,"&gt;="&amp;$J427,'Hours Log'!$A:$A,"&lt;"&amp;$J427+7)+SUMIFS('Hours Log'!$D:$D,'Hours Log'!$A:$A,"&gt;="&amp;$J427,'Hours Log'!$A:$A,"&lt;"&amp;$J427+7))</f>
        <v/>
      </c>
      <c r="D427">
        <f>IF($J427="","",SUMIFS('Hours Log'!$D:$D,'Hours Log'!$A:$A,"&gt;="&amp;$J427,'Hours Log'!$A:$A,"&lt;"&amp;$J427+7))</f>
        <v/>
      </c>
      <c r="E427">
        <f>IF($J427="","",IFERROR(C427/(B427*40),0))</f>
        <v/>
      </c>
      <c r="F427">
        <f>IF($J427="","",0)</f>
        <v/>
      </c>
      <c r="G427">
        <f>IF($J427="","",SUMIFS('Hours Log'!$E:$E,'Hours Log'!$A:$A,"&gt;="&amp;$J427,'Hours Log'!$A:$A,"&lt;"&amp;$J427+7))</f>
        <v/>
      </c>
      <c r="J427">
        <f>IF(COUNT('Hours Log'!$A$4:$A$5000)=0,"",IF(MIN('Hours Log'!$A$4:$A$5000)+7*(ROW()-10)&gt;MAX('Hours Log'!$A$4:$A$5000),"",MIN('Hours Log'!$A$4:$A$5000)+7*(ROW()-10)))</f>
        <v/>
      </c>
    </row>
    <row r="428">
      <c r="A428">
        <f>IF($J428="","",YEAR($J428-WEEKDAY($J428,2)+4)&amp;"-W"&amp;TEXT(WEEKNUM($J428,21),"00"))</f>
        <v/>
      </c>
      <c r="B428" s="41">
        <f>IF($J428="","",COUNTIFS(Roster!$D$4:$D$500,"Active",Roster!$C$4:$C$500,"&lt;="&amp;$J428))</f>
        <v/>
      </c>
      <c r="C428">
        <f>IF($J428="","",SUMIFS('Hours Log'!$C:$C,'Hours Log'!$A:$A,"&gt;="&amp;$J428,'Hours Log'!$A:$A,"&lt;"&amp;$J428+7)+SUMIFS('Hours Log'!$D:$D,'Hours Log'!$A:$A,"&gt;="&amp;$J428,'Hours Log'!$A:$A,"&lt;"&amp;$J428+7))</f>
        <v/>
      </c>
      <c r="D428">
        <f>IF($J428="","",SUMIFS('Hours Log'!$D:$D,'Hours Log'!$A:$A,"&gt;="&amp;$J428,'Hours Log'!$A:$A,"&lt;"&amp;$J428+7))</f>
        <v/>
      </c>
      <c r="E428">
        <f>IF($J428="","",IFERROR(C428/(B428*40),0))</f>
        <v/>
      </c>
      <c r="F428">
        <f>IF($J428="","",0)</f>
        <v/>
      </c>
      <c r="G428">
        <f>IF($J428="","",SUMIFS('Hours Log'!$E:$E,'Hours Log'!$A:$A,"&gt;="&amp;$J428,'Hours Log'!$A:$A,"&lt;"&amp;$J428+7))</f>
        <v/>
      </c>
      <c r="J428">
        <f>IF(COUNT('Hours Log'!$A$4:$A$5000)=0,"",IF(MIN('Hours Log'!$A$4:$A$5000)+7*(ROW()-10)&gt;MAX('Hours Log'!$A$4:$A$5000),"",MIN('Hours Log'!$A$4:$A$5000)+7*(ROW()-10)))</f>
        <v/>
      </c>
    </row>
    <row r="429">
      <c r="A429">
        <f>IF($J429="","",YEAR($J429-WEEKDAY($J429,2)+4)&amp;"-W"&amp;TEXT(WEEKNUM($J429,21),"00"))</f>
        <v/>
      </c>
      <c r="B429" s="41">
        <f>IF($J429="","",COUNTIFS(Roster!$D$4:$D$500,"Active",Roster!$C$4:$C$500,"&lt;="&amp;$J429))</f>
        <v/>
      </c>
      <c r="C429">
        <f>IF($J429="","",SUMIFS('Hours Log'!$C:$C,'Hours Log'!$A:$A,"&gt;="&amp;$J429,'Hours Log'!$A:$A,"&lt;"&amp;$J429+7)+SUMIFS('Hours Log'!$D:$D,'Hours Log'!$A:$A,"&gt;="&amp;$J429,'Hours Log'!$A:$A,"&lt;"&amp;$J429+7))</f>
        <v/>
      </c>
      <c r="D429">
        <f>IF($J429="","",SUMIFS('Hours Log'!$D:$D,'Hours Log'!$A:$A,"&gt;="&amp;$J429,'Hours Log'!$A:$A,"&lt;"&amp;$J429+7))</f>
        <v/>
      </c>
      <c r="E429">
        <f>IF($J429="","",IFERROR(C429/(B429*40),0))</f>
        <v/>
      </c>
      <c r="F429">
        <f>IF($J429="","",0)</f>
        <v/>
      </c>
      <c r="G429">
        <f>IF($J429="","",SUMIFS('Hours Log'!$E:$E,'Hours Log'!$A:$A,"&gt;="&amp;$J429,'Hours Log'!$A:$A,"&lt;"&amp;$J429+7))</f>
        <v/>
      </c>
      <c r="J429">
        <f>IF(COUNT('Hours Log'!$A$4:$A$5000)=0,"",IF(MIN('Hours Log'!$A$4:$A$5000)+7*(ROW()-10)&gt;MAX('Hours Log'!$A$4:$A$5000),"",MIN('Hours Log'!$A$4:$A$5000)+7*(ROW()-10)))</f>
        <v/>
      </c>
    </row>
    <row r="430">
      <c r="A430">
        <f>IF($J430="","",YEAR($J430-WEEKDAY($J430,2)+4)&amp;"-W"&amp;TEXT(WEEKNUM($J430,21),"00"))</f>
        <v/>
      </c>
      <c r="B430" s="41">
        <f>IF($J430="","",COUNTIFS(Roster!$D$4:$D$500,"Active",Roster!$C$4:$C$500,"&lt;="&amp;$J430))</f>
        <v/>
      </c>
      <c r="C430">
        <f>IF($J430="","",SUMIFS('Hours Log'!$C:$C,'Hours Log'!$A:$A,"&gt;="&amp;$J430,'Hours Log'!$A:$A,"&lt;"&amp;$J430+7)+SUMIFS('Hours Log'!$D:$D,'Hours Log'!$A:$A,"&gt;="&amp;$J430,'Hours Log'!$A:$A,"&lt;"&amp;$J430+7))</f>
        <v/>
      </c>
      <c r="D430">
        <f>IF($J430="","",SUMIFS('Hours Log'!$D:$D,'Hours Log'!$A:$A,"&gt;="&amp;$J430,'Hours Log'!$A:$A,"&lt;"&amp;$J430+7))</f>
        <v/>
      </c>
      <c r="E430">
        <f>IF($J430="","",IFERROR(C430/(B430*40),0))</f>
        <v/>
      </c>
      <c r="F430">
        <f>IF($J430="","",0)</f>
        <v/>
      </c>
      <c r="G430">
        <f>IF($J430="","",SUMIFS('Hours Log'!$E:$E,'Hours Log'!$A:$A,"&gt;="&amp;$J430,'Hours Log'!$A:$A,"&lt;"&amp;$J430+7))</f>
        <v/>
      </c>
      <c r="J430">
        <f>IF(COUNT('Hours Log'!$A$4:$A$5000)=0,"",IF(MIN('Hours Log'!$A$4:$A$5000)+7*(ROW()-10)&gt;MAX('Hours Log'!$A$4:$A$5000),"",MIN('Hours Log'!$A$4:$A$5000)+7*(ROW()-10)))</f>
        <v/>
      </c>
    </row>
    <row r="431">
      <c r="A431">
        <f>IF($J431="","",YEAR($J431-WEEKDAY($J431,2)+4)&amp;"-W"&amp;TEXT(WEEKNUM($J431,21),"00"))</f>
        <v/>
      </c>
      <c r="B431" s="41">
        <f>IF($J431="","",COUNTIFS(Roster!$D$4:$D$500,"Active",Roster!$C$4:$C$500,"&lt;="&amp;$J431))</f>
        <v/>
      </c>
      <c r="C431">
        <f>IF($J431="","",SUMIFS('Hours Log'!$C:$C,'Hours Log'!$A:$A,"&gt;="&amp;$J431,'Hours Log'!$A:$A,"&lt;"&amp;$J431+7)+SUMIFS('Hours Log'!$D:$D,'Hours Log'!$A:$A,"&gt;="&amp;$J431,'Hours Log'!$A:$A,"&lt;"&amp;$J431+7))</f>
        <v/>
      </c>
      <c r="D431">
        <f>IF($J431="","",SUMIFS('Hours Log'!$D:$D,'Hours Log'!$A:$A,"&gt;="&amp;$J431,'Hours Log'!$A:$A,"&lt;"&amp;$J431+7))</f>
        <v/>
      </c>
      <c r="E431">
        <f>IF($J431="","",IFERROR(C431/(B431*40),0))</f>
        <v/>
      </c>
      <c r="F431">
        <f>IF($J431="","",0)</f>
        <v/>
      </c>
      <c r="G431">
        <f>IF($J431="","",SUMIFS('Hours Log'!$E:$E,'Hours Log'!$A:$A,"&gt;="&amp;$J431,'Hours Log'!$A:$A,"&lt;"&amp;$J431+7))</f>
        <v/>
      </c>
      <c r="J431">
        <f>IF(COUNT('Hours Log'!$A$4:$A$5000)=0,"",IF(MIN('Hours Log'!$A$4:$A$5000)+7*(ROW()-10)&gt;MAX('Hours Log'!$A$4:$A$5000),"",MIN('Hours Log'!$A$4:$A$5000)+7*(ROW()-10)))</f>
        <v/>
      </c>
    </row>
    <row r="432">
      <c r="A432">
        <f>IF($J432="","",YEAR($J432-WEEKDAY($J432,2)+4)&amp;"-W"&amp;TEXT(WEEKNUM($J432,21),"00"))</f>
        <v/>
      </c>
      <c r="B432" s="41">
        <f>IF($J432="","",COUNTIFS(Roster!$D$4:$D$500,"Active",Roster!$C$4:$C$500,"&lt;="&amp;$J432))</f>
        <v/>
      </c>
      <c r="C432">
        <f>IF($J432="","",SUMIFS('Hours Log'!$C:$C,'Hours Log'!$A:$A,"&gt;="&amp;$J432,'Hours Log'!$A:$A,"&lt;"&amp;$J432+7)+SUMIFS('Hours Log'!$D:$D,'Hours Log'!$A:$A,"&gt;="&amp;$J432,'Hours Log'!$A:$A,"&lt;"&amp;$J432+7))</f>
        <v/>
      </c>
      <c r="D432">
        <f>IF($J432="","",SUMIFS('Hours Log'!$D:$D,'Hours Log'!$A:$A,"&gt;="&amp;$J432,'Hours Log'!$A:$A,"&lt;"&amp;$J432+7))</f>
        <v/>
      </c>
      <c r="E432">
        <f>IF($J432="","",IFERROR(C432/(B432*40),0))</f>
        <v/>
      </c>
      <c r="F432">
        <f>IF($J432="","",0)</f>
        <v/>
      </c>
      <c r="G432">
        <f>IF($J432="","",SUMIFS('Hours Log'!$E:$E,'Hours Log'!$A:$A,"&gt;="&amp;$J432,'Hours Log'!$A:$A,"&lt;"&amp;$J432+7))</f>
        <v/>
      </c>
      <c r="J432">
        <f>IF(COUNT('Hours Log'!$A$4:$A$5000)=0,"",IF(MIN('Hours Log'!$A$4:$A$5000)+7*(ROW()-10)&gt;MAX('Hours Log'!$A$4:$A$5000),"",MIN('Hours Log'!$A$4:$A$5000)+7*(ROW()-10)))</f>
        <v/>
      </c>
    </row>
    <row r="433">
      <c r="A433">
        <f>IF($J433="","",YEAR($J433-WEEKDAY($J433,2)+4)&amp;"-W"&amp;TEXT(WEEKNUM($J433,21),"00"))</f>
        <v/>
      </c>
      <c r="B433" s="41">
        <f>IF($J433="","",COUNTIFS(Roster!$D$4:$D$500,"Active",Roster!$C$4:$C$500,"&lt;="&amp;$J433))</f>
        <v/>
      </c>
      <c r="C433">
        <f>IF($J433="","",SUMIFS('Hours Log'!$C:$C,'Hours Log'!$A:$A,"&gt;="&amp;$J433,'Hours Log'!$A:$A,"&lt;"&amp;$J433+7)+SUMIFS('Hours Log'!$D:$D,'Hours Log'!$A:$A,"&gt;="&amp;$J433,'Hours Log'!$A:$A,"&lt;"&amp;$J433+7))</f>
        <v/>
      </c>
      <c r="D433">
        <f>IF($J433="","",SUMIFS('Hours Log'!$D:$D,'Hours Log'!$A:$A,"&gt;="&amp;$J433,'Hours Log'!$A:$A,"&lt;"&amp;$J433+7))</f>
        <v/>
      </c>
      <c r="E433">
        <f>IF($J433="","",IFERROR(C433/(B433*40),0))</f>
        <v/>
      </c>
      <c r="F433">
        <f>IF($J433="","",0)</f>
        <v/>
      </c>
      <c r="G433">
        <f>IF($J433="","",SUMIFS('Hours Log'!$E:$E,'Hours Log'!$A:$A,"&gt;="&amp;$J433,'Hours Log'!$A:$A,"&lt;"&amp;$J433+7))</f>
        <v/>
      </c>
      <c r="J433">
        <f>IF(COUNT('Hours Log'!$A$4:$A$5000)=0,"",IF(MIN('Hours Log'!$A$4:$A$5000)+7*(ROW()-10)&gt;MAX('Hours Log'!$A$4:$A$5000),"",MIN('Hours Log'!$A$4:$A$5000)+7*(ROW()-10)))</f>
        <v/>
      </c>
    </row>
    <row r="434">
      <c r="A434">
        <f>IF($J434="","",YEAR($J434-WEEKDAY($J434,2)+4)&amp;"-W"&amp;TEXT(WEEKNUM($J434,21),"00"))</f>
        <v/>
      </c>
      <c r="B434" s="41">
        <f>IF($J434="","",COUNTIFS(Roster!$D$4:$D$500,"Active",Roster!$C$4:$C$500,"&lt;="&amp;$J434))</f>
        <v/>
      </c>
      <c r="C434">
        <f>IF($J434="","",SUMIFS('Hours Log'!$C:$C,'Hours Log'!$A:$A,"&gt;="&amp;$J434,'Hours Log'!$A:$A,"&lt;"&amp;$J434+7)+SUMIFS('Hours Log'!$D:$D,'Hours Log'!$A:$A,"&gt;="&amp;$J434,'Hours Log'!$A:$A,"&lt;"&amp;$J434+7))</f>
        <v/>
      </c>
      <c r="D434">
        <f>IF($J434="","",SUMIFS('Hours Log'!$D:$D,'Hours Log'!$A:$A,"&gt;="&amp;$J434,'Hours Log'!$A:$A,"&lt;"&amp;$J434+7))</f>
        <v/>
      </c>
      <c r="E434">
        <f>IF($J434="","",IFERROR(C434/(B434*40),0))</f>
        <v/>
      </c>
      <c r="F434">
        <f>IF($J434="","",0)</f>
        <v/>
      </c>
      <c r="G434">
        <f>IF($J434="","",SUMIFS('Hours Log'!$E:$E,'Hours Log'!$A:$A,"&gt;="&amp;$J434,'Hours Log'!$A:$A,"&lt;"&amp;$J434+7))</f>
        <v/>
      </c>
      <c r="J434">
        <f>IF(COUNT('Hours Log'!$A$4:$A$5000)=0,"",IF(MIN('Hours Log'!$A$4:$A$5000)+7*(ROW()-10)&gt;MAX('Hours Log'!$A$4:$A$5000),"",MIN('Hours Log'!$A$4:$A$5000)+7*(ROW()-10)))</f>
        <v/>
      </c>
    </row>
    <row r="435">
      <c r="A435">
        <f>IF($J435="","",YEAR($J435-WEEKDAY($J435,2)+4)&amp;"-W"&amp;TEXT(WEEKNUM($J435,21),"00"))</f>
        <v/>
      </c>
      <c r="B435" s="41">
        <f>IF($J435="","",COUNTIFS(Roster!$D$4:$D$500,"Active",Roster!$C$4:$C$500,"&lt;="&amp;$J435))</f>
        <v/>
      </c>
      <c r="C435">
        <f>IF($J435="","",SUMIFS('Hours Log'!$C:$C,'Hours Log'!$A:$A,"&gt;="&amp;$J435,'Hours Log'!$A:$A,"&lt;"&amp;$J435+7)+SUMIFS('Hours Log'!$D:$D,'Hours Log'!$A:$A,"&gt;="&amp;$J435,'Hours Log'!$A:$A,"&lt;"&amp;$J435+7))</f>
        <v/>
      </c>
      <c r="D435">
        <f>IF($J435="","",SUMIFS('Hours Log'!$D:$D,'Hours Log'!$A:$A,"&gt;="&amp;$J435,'Hours Log'!$A:$A,"&lt;"&amp;$J435+7))</f>
        <v/>
      </c>
      <c r="E435">
        <f>IF($J435="","",IFERROR(C435/(B435*40),0))</f>
        <v/>
      </c>
      <c r="F435">
        <f>IF($J435="","",0)</f>
        <v/>
      </c>
      <c r="G435">
        <f>IF($J435="","",SUMIFS('Hours Log'!$E:$E,'Hours Log'!$A:$A,"&gt;="&amp;$J435,'Hours Log'!$A:$A,"&lt;"&amp;$J435+7))</f>
        <v/>
      </c>
      <c r="J435">
        <f>IF(COUNT('Hours Log'!$A$4:$A$5000)=0,"",IF(MIN('Hours Log'!$A$4:$A$5000)+7*(ROW()-10)&gt;MAX('Hours Log'!$A$4:$A$5000),"",MIN('Hours Log'!$A$4:$A$5000)+7*(ROW()-10)))</f>
        <v/>
      </c>
    </row>
    <row r="436">
      <c r="A436">
        <f>IF($J436="","",YEAR($J436-WEEKDAY($J436,2)+4)&amp;"-W"&amp;TEXT(WEEKNUM($J436,21),"00"))</f>
        <v/>
      </c>
      <c r="B436" s="41">
        <f>IF($J436="","",COUNTIFS(Roster!$D$4:$D$500,"Active",Roster!$C$4:$C$500,"&lt;="&amp;$J436))</f>
        <v/>
      </c>
      <c r="C436">
        <f>IF($J436="","",SUMIFS('Hours Log'!$C:$C,'Hours Log'!$A:$A,"&gt;="&amp;$J436,'Hours Log'!$A:$A,"&lt;"&amp;$J436+7)+SUMIFS('Hours Log'!$D:$D,'Hours Log'!$A:$A,"&gt;="&amp;$J436,'Hours Log'!$A:$A,"&lt;"&amp;$J436+7))</f>
        <v/>
      </c>
      <c r="D436">
        <f>IF($J436="","",SUMIFS('Hours Log'!$D:$D,'Hours Log'!$A:$A,"&gt;="&amp;$J436,'Hours Log'!$A:$A,"&lt;"&amp;$J436+7))</f>
        <v/>
      </c>
      <c r="E436">
        <f>IF($J436="","",IFERROR(C436/(B436*40),0))</f>
        <v/>
      </c>
      <c r="F436">
        <f>IF($J436="","",0)</f>
        <v/>
      </c>
      <c r="G436">
        <f>IF($J436="","",SUMIFS('Hours Log'!$E:$E,'Hours Log'!$A:$A,"&gt;="&amp;$J436,'Hours Log'!$A:$A,"&lt;"&amp;$J436+7))</f>
        <v/>
      </c>
      <c r="J436">
        <f>IF(COUNT('Hours Log'!$A$4:$A$5000)=0,"",IF(MIN('Hours Log'!$A$4:$A$5000)+7*(ROW()-10)&gt;MAX('Hours Log'!$A$4:$A$5000),"",MIN('Hours Log'!$A$4:$A$5000)+7*(ROW()-10)))</f>
        <v/>
      </c>
    </row>
    <row r="437">
      <c r="A437">
        <f>IF($J437="","",YEAR($J437-WEEKDAY($J437,2)+4)&amp;"-W"&amp;TEXT(WEEKNUM($J437,21),"00"))</f>
        <v/>
      </c>
      <c r="B437" s="41">
        <f>IF($J437="","",COUNTIFS(Roster!$D$4:$D$500,"Active",Roster!$C$4:$C$500,"&lt;="&amp;$J437))</f>
        <v/>
      </c>
      <c r="C437">
        <f>IF($J437="","",SUMIFS('Hours Log'!$C:$C,'Hours Log'!$A:$A,"&gt;="&amp;$J437,'Hours Log'!$A:$A,"&lt;"&amp;$J437+7)+SUMIFS('Hours Log'!$D:$D,'Hours Log'!$A:$A,"&gt;="&amp;$J437,'Hours Log'!$A:$A,"&lt;"&amp;$J437+7))</f>
        <v/>
      </c>
      <c r="D437">
        <f>IF($J437="","",SUMIFS('Hours Log'!$D:$D,'Hours Log'!$A:$A,"&gt;="&amp;$J437,'Hours Log'!$A:$A,"&lt;"&amp;$J437+7))</f>
        <v/>
      </c>
      <c r="E437">
        <f>IF($J437="","",IFERROR(C437/(B437*40),0))</f>
        <v/>
      </c>
      <c r="F437">
        <f>IF($J437="","",0)</f>
        <v/>
      </c>
      <c r="G437">
        <f>IF($J437="","",SUMIFS('Hours Log'!$E:$E,'Hours Log'!$A:$A,"&gt;="&amp;$J437,'Hours Log'!$A:$A,"&lt;"&amp;$J437+7))</f>
        <v/>
      </c>
      <c r="J437">
        <f>IF(COUNT('Hours Log'!$A$4:$A$5000)=0,"",IF(MIN('Hours Log'!$A$4:$A$5000)+7*(ROW()-10)&gt;MAX('Hours Log'!$A$4:$A$5000),"",MIN('Hours Log'!$A$4:$A$5000)+7*(ROW()-10)))</f>
        <v/>
      </c>
    </row>
    <row r="438">
      <c r="A438">
        <f>IF($J438="","",YEAR($J438-WEEKDAY($J438,2)+4)&amp;"-W"&amp;TEXT(WEEKNUM($J438,21),"00"))</f>
        <v/>
      </c>
      <c r="B438" s="41">
        <f>IF($J438="","",COUNTIFS(Roster!$D$4:$D$500,"Active",Roster!$C$4:$C$500,"&lt;="&amp;$J438))</f>
        <v/>
      </c>
      <c r="C438">
        <f>IF($J438="","",SUMIFS('Hours Log'!$C:$C,'Hours Log'!$A:$A,"&gt;="&amp;$J438,'Hours Log'!$A:$A,"&lt;"&amp;$J438+7)+SUMIFS('Hours Log'!$D:$D,'Hours Log'!$A:$A,"&gt;="&amp;$J438,'Hours Log'!$A:$A,"&lt;"&amp;$J438+7))</f>
        <v/>
      </c>
      <c r="D438">
        <f>IF($J438="","",SUMIFS('Hours Log'!$D:$D,'Hours Log'!$A:$A,"&gt;="&amp;$J438,'Hours Log'!$A:$A,"&lt;"&amp;$J438+7))</f>
        <v/>
      </c>
      <c r="E438">
        <f>IF($J438="","",IFERROR(C438/(B438*40),0))</f>
        <v/>
      </c>
      <c r="F438">
        <f>IF($J438="","",0)</f>
        <v/>
      </c>
      <c r="G438">
        <f>IF($J438="","",SUMIFS('Hours Log'!$E:$E,'Hours Log'!$A:$A,"&gt;="&amp;$J438,'Hours Log'!$A:$A,"&lt;"&amp;$J438+7))</f>
        <v/>
      </c>
      <c r="J438">
        <f>IF(COUNT('Hours Log'!$A$4:$A$5000)=0,"",IF(MIN('Hours Log'!$A$4:$A$5000)+7*(ROW()-10)&gt;MAX('Hours Log'!$A$4:$A$5000),"",MIN('Hours Log'!$A$4:$A$5000)+7*(ROW()-10)))</f>
        <v/>
      </c>
    </row>
    <row r="439">
      <c r="A439">
        <f>IF($J439="","",YEAR($J439-WEEKDAY($J439,2)+4)&amp;"-W"&amp;TEXT(WEEKNUM($J439,21),"00"))</f>
        <v/>
      </c>
      <c r="B439" s="41">
        <f>IF($J439="","",COUNTIFS(Roster!$D$4:$D$500,"Active",Roster!$C$4:$C$500,"&lt;="&amp;$J439))</f>
        <v/>
      </c>
      <c r="C439">
        <f>IF($J439="","",SUMIFS('Hours Log'!$C:$C,'Hours Log'!$A:$A,"&gt;="&amp;$J439,'Hours Log'!$A:$A,"&lt;"&amp;$J439+7)+SUMIFS('Hours Log'!$D:$D,'Hours Log'!$A:$A,"&gt;="&amp;$J439,'Hours Log'!$A:$A,"&lt;"&amp;$J439+7))</f>
        <v/>
      </c>
      <c r="D439">
        <f>IF($J439="","",SUMIFS('Hours Log'!$D:$D,'Hours Log'!$A:$A,"&gt;="&amp;$J439,'Hours Log'!$A:$A,"&lt;"&amp;$J439+7))</f>
        <v/>
      </c>
      <c r="E439">
        <f>IF($J439="","",IFERROR(C439/(B439*40),0))</f>
        <v/>
      </c>
      <c r="F439">
        <f>IF($J439="","",0)</f>
        <v/>
      </c>
      <c r="G439">
        <f>IF($J439="","",SUMIFS('Hours Log'!$E:$E,'Hours Log'!$A:$A,"&gt;="&amp;$J439,'Hours Log'!$A:$A,"&lt;"&amp;$J439+7))</f>
        <v/>
      </c>
      <c r="J439">
        <f>IF(COUNT('Hours Log'!$A$4:$A$5000)=0,"",IF(MIN('Hours Log'!$A$4:$A$5000)+7*(ROW()-10)&gt;MAX('Hours Log'!$A$4:$A$5000),"",MIN('Hours Log'!$A$4:$A$5000)+7*(ROW()-10)))</f>
        <v/>
      </c>
    </row>
    <row r="440">
      <c r="A440">
        <f>IF($J440="","",YEAR($J440-WEEKDAY($J440,2)+4)&amp;"-W"&amp;TEXT(WEEKNUM($J440,21),"00"))</f>
        <v/>
      </c>
      <c r="B440" s="41">
        <f>IF($J440="","",COUNTIFS(Roster!$D$4:$D$500,"Active",Roster!$C$4:$C$500,"&lt;="&amp;$J440))</f>
        <v/>
      </c>
      <c r="C440">
        <f>IF($J440="","",SUMIFS('Hours Log'!$C:$C,'Hours Log'!$A:$A,"&gt;="&amp;$J440,'Hours Log'!$A:$A,"&lt;"&amp;$J440+7)+SUMIFS('Hours Log'!$D:$D,'Hours Log'!$A:$A,"&gt;="&amp;$J440,'Hours Log'!$A:$A,"&lt;"&amp;$J440+7))</f>
        <v/>
      </c>
      <c r="D440">
        <f>IF($J440="","",SUMIFS('Hours Log'!$D:$D,'Hours Log'!$A:$A,"&gt;="&amp;$J440,'Hours Log'!$A:$A,"&lt;"&amp;$J440+7))</f>
        <v/>
      </c>
      <c r="E440">
        <f>IF($J440="","",IFERROR(C440/(B440*40),0))</f>
        <v/>
      </c>
      <c r="F440">
        <f>IF($J440="","",0)</f>
        <v/>
      </c>
      <c r="G440">
        <f>IF($J440="","",SUMIFS('Hours Log'!$E:$E,'Hours Log'!$A:$A,"&gt;="&amp;$J440,'Hours Log'!$A:$A,"&lt;"&amp;$J440+7))</f>
        <v/>
      </c>
      <c r="J440">
        <f>IF(COUNT('Hours Log'!$A$4:$A$5000)=0,"",IF(MIN('Hours Log'!$A$4:$A$5000)+7*(ROW()-10)&gt;MAX('Hours Log'!$A$4:$A$5000),"",MIN('Hours Log'!$A$4:$A$5000)+7*(ROW()-10)))</f>
        <v/>
      </c>
    </row>
    <row r="441">
      <c r="A441">
        <f>IF($J441="","",YEAR($J441-WEEKDAY($J441,2)+4)&amp;"-W"&amp;TEXT(WEEKNUM($J441,21),"00"))</f>
        <v/>
      </c>
      <c r="B441" s="41">
        <f>IF($J441="","",COUNTIFS(Roster!$D$4:$D$500,"Active",Roster!$C$4:$C$500,"&lt;="&amp;$J441))</f>
        <v/>
      </c>
      <c r="C441">
        <f>IF($J441="","",SUMIFS('Hours Log'!$C:$C,'Hours Log'!$A:$A,"&gt;="&amp;$J441,'Hours Log'!$A:$A,"&lt;"&amp;$J441+7)+SUMIFS('Hours Log'!$D:$D,'Hours Log'!$A:$A,"&gt;="&amp;$J441,'Hours Log'!$A:$A,"&lt;"&amp;$J441+7))</f>
        <v/>
      </c>
      <c r="D441">
        <f>IF($J441="","",SUMIFS('Hours Log'!$D:$D,'Hours Log'!$A:$A,"&gt;="&amp;$J441,'Hours Log'!$A:$A,"&lt;"&amp;$J441+7))</f>
        <v/>
      </c>
      <c r="E441">
        <f>IF($J441="","",IFERROR(C441/(B441*40),0))</f>
        <v/>
      </c>
      <c r="F441">
        <f>IF($J441="","",0)</f>
        <v/>
      </c>
      <c r="G441">
        <f>IF($J441="","",SUMIFS('Hours Log'!$E:$E,'Hours Log'!$A:$A,"&gt;="&amp;$J441,'Hours Log'!$A:$A,"&lt;"&amp;$J441+7))</f>
        <v/>
      </c>
      <c r="J441">
        <f>IF(COUNT('Hours Log'!$A$4:$A$5000)=0,"",IF(MIN('Hours Log'!$A$4:$A$5000)+7*(ROW()-10)&gt;MAX('Hours Log'!$A$4:$A$5000),"",MIN('Hours Log'!$A$4:$A$5000)+7*(ROW()-10)))</f>
        <v/>
      </c>
    </row>
    <row r="442">
      <c r="A442">
        <f>IF($J442="","",YEAR($J442-WEEKDAY($J442,2)+4)&amp;"-W"&amp;TEXT(WEEKNUM($J442,21),"00"))</f>
        <v/>
      </c>
      <c r="B442" s="41">
        <f>IF($J442="","",COUNTIFS(Roster!$D$4:$D$500,"Active",Roster!$C$4:$C$500,"&lt;="&amp;$J442))</f>
        <v/>
      </c>
      <c r="C442">
        <f>IF($J442="","",SUMIFS('Hours Log'!$C:$C,'Hours Log'!$A:$A,"&gt;="&amp;$J442,'Hours Log'!$A:$A,"&lt;"&amp;$J442+7)+SUMIFS('Hours Log'!$D:$D,'Hours Log'!$A:$A,"&gt;="&amp;$J442,'Hours Log'!$A:$A,"&lt;"&amp;$J442+7))</f>
        <v/>
      </c>
      <c r="D442">
        <f>IF($J442="","",SUMIFS('Hours Log'!$D:$D,'Hours Log'!$A:$A,"&gt;="&amp;$J442,'Hours Log'!$A:$A,"&lt;"&amp;$J442+7))</f>
        <v/>
      </c>
      <c r="E442">
        <f>IF($J442="","",IFERROR(C442/(B442*40),0))</f>
        <v/>
      </c>
      <c r="F442">
        <f>IF($J442="","",0)</f>
        <v/>
      </c>
      <c r="G442">
        <f>IF($J442="","",SUMIFS('Hours Log'!$E:$E,'Hours Log'!$A:$A,"&gt;="&amp;$J442,'Hours Log'!$A:$A,"&lt;"&amp;$J442+7))</f>
        <v/>
      </c>
      <c r="J442">
        <f>IF(COUNT('Hours Log'!$A$4:$A$5000)=0,"",IF(MIN('Hours Log'!$A$4:$A$5000)+7*(ROW()-10)&gt;MAX('Hours Log'!$A$4:$A$5000),"",MIN('Hours Log'!$A$4:$A$5000)+7*(ROW()-10)))</f>
        <v/>
      </c>
    </row>
    <row r="443">
      <c r="A443">
        <f>IF($J443="","",YEAR($J443-WEEKDAY($J443,2)+4)&amp;"-W"&amp;TEXT(WEEKNUM($J443,21),"00"))</f>
        <v/>
      </c>
      <c r="B443" s="41">
        <f>IF($J443="","",COUNTIFS(Roster!$D$4:$D$500,"Active",Roster!$C$4:$C$500,"&lt;="&amp;$J443))</f>
        <v/>
      </c>
      <c r="C443">
        <f>IF($J443="","",SUMIFS('Hours Log'!$C:$C,'Hours Log'!$A:$A,"&gt;="&amp;$J443,'Hours Log'!$A:$A,"&lt;"&amp;$J443+7)+SUMIFS('Hours Log'!$D:$D,'Hours Log'!$A:$A,"&gt;="&amp;$J443,'Hours Log'!$A:$A,"&lt;"&amp;$J443+7))</f>
        <v/>
      </c>
      <c r="D443">
        <f>IF($J443="","",SUMIFS('Hours Log'!$D:$D,'Hours Log'!$A:$A,"&gt;="&amp;$J443,'Hours Log'!$A:$A,"&lt;"&amp;$J443+7))</f>
        <v/>
      </c>
      <c r="E443">
        <f>IF($J443="","",IFERROR(C443/(B443*40),0))</f>
        <v/>
      </c>
      <c r="F443">
        <f>IF($J443="","",0)</f>
        <v/>
      </c>
      <c r="G443">
        <f>IF($J443="","",SUMIFS('Hours Log'!$E:$E,'Hours Log'!$A:$A,"&gt;="&amp;$J443,'Hours Log'!$A:$A,"&lt;"&amp;$J443+7))</f>
        <v/>
      </c>
      <c r="J443">
        <f>IF(COUNT('Hours Log'!$A$4:$A$5000)=0,"",IF(MIN('Hours Log'!$A$4:$A$5000)+7*(ROW()-10)&gt;MAX('Hours Log'!$A$4:$A$5000),"",MIN('Hours Log'!$A$4:$A$5000)+7*(ROW()-10)))</f>
        <v/>
      </c>
    </row>
    <row r="444">
      <c r="A444">
        <f>IF($J444="","",YEAR($J444-WEEKDAY($J444,2)+4)&amp;"-W"&amp;TEXT(WEEKNUM($J444,21),"00"))</f>
        <v/>
      </c>
      <c r="B444" s="41">
        <f>IF($J444="","",COUNTIFS(Roster!$D$4:$D$500,"Active",Roster!$C$4:$C$500,"&lt;="&amp;$J444))</f>
        <v/>
      </c>
      <c r="C444">
        <f>IF($J444="","",SUMIFS('Hours Log'!$C:$C,'Hours Log'!$A:$A,"&gt;="&amp;$J444,'Hours Log'!$A:$A,"&lt;"&amp;$J444+7)+SUMIFS('Hours Log'!$D:$D,'Hours Log'!$A:$A,"&gt;="&amp;$J444,'Hours Log'!$A:$A,"&lt;"&amp;$J444+7))</f>
        <v/>
      </c>
      <c r="D444">
        <f>IF($J444="","",SUMIFS('Hours Log'!$D:$D,'Hours Log'!$A:$A,"&gt;="&amp;$J444,'Hours Log'!$A:$A,"&lt;"&amp;$J444+7))</f>
        <v/>
      </c>
      <c r="E444">
        <f>IF($J444="","",IFERROR(C444/(B444*40),0))</f>
        <v/>
      </c>
      <c r="F444">
        <f>IF($J444="","",0)</f>
        <v/>
      </c>
      <c r="G444">
        <f>IF($J444="","",SUMIFS('Hours Log'!$E:$E,'Hours Log'!$A:$A,"&gt;="&amp;$J444,'Hours Log'!$A:$A,"&lt;"&amp;$J444+7))</f>
        <v/>
      </c>
      <c r="J444">
        <f>IF(COUNT('Hours Log'!$A$4:$A$5000)=0,"",IF(MIN('Hours Log'!$A$4:$A$5000)+7*(ROW()-10)&gt;MAX('Hours Log'!$A$4:$A$5000),"",MIN('Hours Log'!$A$4:$A$5000)+7*(ROW()-10)))</f>
        <v/>
      </c>
    </row>
    <row r="445">
      <c r="A445">
        <f>IF($J445="","",YEAR($J445-WEEKDAY($J445,2)+4)&amp;"-W"&amp;TEXT(WEEKNUM($J445,21),"00"))</f>
        <v/>
      </c>
      <c r="B445" s="41">
        <f>IF($J445="","",COUNTIFS(Roster!$D$4:$D$500,"Active",Roster!$C$4:$C$500,"&lt;="&amp;$J445))</f>
        <v/>
      </c>
      <c r="C445">
        <f>IF($J445="","",SUMIFS('Hours Log'!$C:$C,'Hours Log'!$A:$A,"&gt;="&amp;$J445,'Hours Log'!$A:$A,"&lt;"&amp;$J445+7)+SUMIFS('Hours Log'!$D:$D,'Hours Log'!$A:$A,"&gt;="&amp;$J445,'Hours Log'!$A:$A,"&lt;"&amp;$J445+7))</f>
        <v/>
      </c>
      <c r="D445">
        <f>IF($J445="","",SUMIFS('Hours Log'!$D:$D,'Hours Log'!$A:$A,"&gt;="&amp;$J445,'Hours Log'!$A:$A,"&lt;"&amp;$J445+7))</f>
        <v/>
      </c>
      <c r="E445">
        <f>IF($J445="","",IFERROR(C445/(B445*40),0))</f>
        <v/>
      </c>
      <c r="F445">
        <f>IF($J445="","",0)</f>
        <v/>
      </c>
      <c r="G445">
        <f>IF($J445="","",SUMIFS('Hours Log'!$E:$E,'Hours Log'!$A:$A,"&gt;="&amp;$J445,'Hours Log'!$A:$A,"&lt;"&amp;$J445+7))</f>
        <v/>
      </c>
      <c r="J445">
        <f>IF(COUNT('Hours Log'!$A$4:$A$5000)=0,"",IF(MIN('Hours Log'!$A$4:$A$5000)+7*(ROW()-10)&gt;MAX('Hours Log'!$A$4:$A$5000),"",MIN('Hours Log'!$A$4:$A$5000)+7*(ROW()-10)))</f>
        <v/>
      </c>
    </row>
    <row r="446">
      <c r="A446">
        <f>IF($J446="","",YEAR($J446-WEEKDAY($J446,2)+4)&amp;"-W"&amp;TEXT(WEEKNUM($J446,21),"00"))</f>
        <v/>
      </c>
      <c r="B446" s="41">
        <f>IF($J446="","",COUNTIFS(Roster!$D$4:$D$500,"Active",Roster!$C$4:$C$500,"&lt;="&amp;$J446))</f>
        <v/>
      </c>
      <c r="C446">
        <f>IF($J446="","",SUMIFS('Hours Log'!$C:$C,'Hours Log'!$A:$A,"&gt;="&amp;$J446,'Hours Log'!$A:$A,"&lt;"&amp;$J446+7)+SUMIFS('Hours Log'!$D:$D,'Hours Log'!$A:$A,"&gt;="&amp;$J446,'Hours Log'!$A:$A,"&lt;"&amp;$J446+7))</f>
        <v/>
      </c>
      <c r="D446">
        <f>IF($J446="","",SUMIFS('Hours Log'!$D:$D,'Hours Log'!$A:$A,"&gt;="&amp;$J446,'Hours Log'!$A:$A,"&lt;"&amp;$J446+7))</f>
        <v/>
      </c>
      <c r="E446">
        <f>IF($J446="","",IFERROR(C446/(B446*40),0))</f>
        <v/>
      </c>
      <c r="F446">
        <f>IF($J446="","",0)</f>
        <v/>
      </c>
      <c r="G446">
        <f>IF($J446="","",SUMIFS('Hours Log'!$E:$E,'Hours Log'!$A:$A,"&gt;="&amp;$J446,'Hours Log'!$A:$A,"&lt;"&amp;$J446+7))</f>
        <v/>
      </c>
      <c r="J446">
        <f>IF(COUNT('Hours Log'!$A$4:$A$5000)=0,"",IF(MIN('Hours Log'!$A$4:$A$5000)+7*(ROW()-10)&gt;MAX('Hours Log'!$A$4:$A$5000),"",MIN('Hours Log'!$A$4:$A$5000)+7*(ROW()-10)))</f>
        <v/>
      </c>
    </row>
    <row r="447">
      <c r="A447">
        <f>IF($J447="","",YEAR($J447-WEEKDAY($J447,2)+4)&amp;"-W"&amp;TEXT(WEEKNUM($J447,21),"00"))</f>
        <v/>
      </c>
      <c r="B447" s="41">
        <f>IF($J447="","",COUNTIFS(Roster!$D$4:$D$500,"Active",Roster!$C$4:$C$500,"&lt;="&amp;$J447))</f>
        <v/>
      </c>
      <c r="C447">
        <f>IF($J447="","",SUMIFS('Hours Log'!$C:$C,'Hours Log'!$A:$A,"&gt;="&amp;$J447,'Hours Log'!$A:$A,"&lt;"&amp;$J447+7)+SUMIFS('Hours Log'!$D:$D,'Hours Log'!$A:$A,"&gt;="&amp;$J447,'Hours Log'!$A:$A,"&lt;"&amp;$J447+7))</f>
        <v/>
      </c>
      <c r="D447">
        <f>IF($J447="","",SUMIFS('Hours Log'!$D:$D,'Hours Log'!$A:$A,"&gt;="&amp;$J447,'Hours Log'!$A:$A,"&lt;"&amp;$J447+7))</f>
        <v/>
      </c>
      <c r="E447">
        <f>IF($J447="","",IFERROR(C447/(B447*40),0))</f>
        <v/>
      </c>
      <c r="F447">
        <f>IF($J447="","",0)</f>
        <v/>
      </c>
      <c r="G447">
        <f>IF($J447="","",SUMIFS('Hours Log'!$E:$E,'Hours Log'!$A:$A,"&gt;="&amp;$J447,'Hours Log'!$A:$A,"&lt;"&amp;$J447+7))</f>
        <v/>
      </c>
      <c r="J447">
        <f>IF(COUNT('Hours Log'!$A$4:$A$5000)=0,"",IF(MIN('Hours Log'!$A$4:$A$5000)+7*(ROW()-10)&gt;MAX('Hours Log'!$A$4:$A$5000),"",MIN('Hours Log'!$A$4:$A$5000)+7*(ROW()-10)))</f>
        <v/>
      </c>
    </row>
    <row r="448">
      <c r="A448">
        <f>IF($J448="","",YEAR($J448-WEEKDAY($J448,2)+4)&amp;"-W"&amp;TEXT(WEEKNUM($J448,21),"00"))</f>
        <v/>
      </c>
      <c r="B448" s="41">
        <f>IF($J448="","",COUNTIFS(Roster!$D$4:$D$500,"Active",Roster!$C$4:$C$500,"&lt;="&amp;$J448))</f>
        <v/>
      </c>
      <c r="C448">
        <f>IF($J448="","",SUMIFS('Hours Log'!$C:$C,'Hours Log'!$A:$A,"&gt;="&amp;$J448,'Hours Log'!$A:$A,"&lt;"&amp;$J448+7)+SUMIFS('Hours Log'!$D:$D,'Hours Log'!$A:$A,"&gt;="&amp;$J448,'Hours Log'!$A:$A,"&lt;"&amp;$J448+7))</f>
        <v/>
      </c>
      <c r="D448">
        <f>IF($J448="","",SUMIFS('Hours Log'!$D:$D,'Hours Log'!$A:$A,"&gt;="&amp;$J448,'Hours Log'!$A:$A,"&lt;"&amp;$J448+7))</f>
        <v/>
      </c>
      <c r="E448">
        <f>IF($J448="","",IFERROR(C448/(B448*40),0))</f>
        <v/>
      </c>
      <c r="F448">
        <f>IF($J448="","",0)</f>
        <v/>
      </c>
      <c r="G448">
        <f>IF($J448="","",SUMIFS('Hours Log'!$E:$E,'Hours Log'!$A:$A,"&gt;="&amp;$J448,'Hours Log'!$A:$A,"&lt;"&amp;$J448+7))</f>
        <v/>
      </c>
      <c r="J448">
        <f>IF(COUNT('Hours Log'!$A$4:$A$5000)=0,"",IF(MIN('Hours Log'!$A$4:$A$5000)+7*(ROW()-10)&gt;MAX('Hours Log'!$A$4:$A$5000),"",MIN('Hours Log'!$A$4:$A$5000)+7*(ROW()-10)))</f>
        <v/>
      </c>
    </row>
    <row r="449">
      <c r="A449">
        <f>IF($J449="","",YEAR($J449-WEEKDAY($J449,2)+4)&amp;"-W"&amp;TEXT(WEEKNUM($J449,21),"00"))</f>
        <v/>
      </c>
      <c r="B449" s="41">
        <f>IF($J449="","",COUNTIFS(Roster!$D$4:$D$500,"Active",Roster!$C$4:$C$500,"&lt;="&amp;$J449))</f>
        <v/>
      </c>
      <c r="C449">
        <f>IF($J449="","",SUMIFS('Hours Log'!$C:$C,'Hours Log'!$A:$A,"&gt;="&amp;$J449,'Hours Log'!$A:$A,"&lt;"&amp;$J449+7)+SUMIFS('Hours Log'!$D:$D,'Hours Log'!$A:$A,"&gt;="&amp;$J449,'Hours Log'!$A:$A,"&lt;"&amp;$J449+7))</f>
        <v/>
      </c>
      <c r="D449">
        <f>IF($J449="","",SUMIFS('Hours Log'!$D:$D,'Hours Log'!$A:$A,"&gt;="&amp;$J449,'Hours Log'!$A:$A,"&lt;"&amp;$J449+7))</f>
        <v/>
      </c>
      <c r="E449">
        <f>IF($J449="","",IFERROR(C449/(B449*40),0))</f>
        <v/>
      </c>
      <c r="F449">
        <f>IF($J449="","",0)</f>
        <v/>
      </c>
      <c r="G449">
        <f>IF($J449="","",SUMIFS('Hours Log'!$E:$E,'Hours Log'!$A:$A,"&gt;="&amp;$J449,'Hours Log'!$A:$A,"&lt;"&amp;$J449+7))</f>
        <v/>
      </c>
      <c r="J449">
        <f>IF(COUNT('Hours Log'!$A$4:$A$5000)=0,"",IF(MIN('Hours Log'!$A$4:$A$5000)+7*(ROW()-10)&gt;MAX('Hours Log'!$A$4:$A$5000),"",MIN('Hours Log'!$A$4:$A$5000)+7*(ROW()-10)))</f>
        <v/>
      </c>
    </row>
    <row r="450">
      <c r="A450">
        <f>IF($J450="","",YEAR($J450-WEEKDAY($J450,2)+4)&amp;"-W"&amp;TEXT(WEEKNUM($J450,21),"00"))</f>
        <v/>
      </c>
      <c r="B450" s="41">
        <f>IF($J450="","",COUNTIFS(Roster!$D$4:$D$500,"Active",Roster!$C$4:$C$500,"&lt;="&amp;$J450))</f>
        <v/>
      </c>
      <c r="C450">
        <f>IF($J450="","",SUMIFS('Hours Log'!$C:$C,'Hours Log'!$A:$A,"&gt;="&amp;$J450,'Hours Log'!$A:$A,"&lt;"&amp;$J450+7)+SUMIFS('Hours Log'!$D:$D,'Hours Log'!$A:$A,"&gt;="&amp;$J450,'Hours Log'!$A:$A,"&lt;"&amp;$J450+7))</f>
        <v/>
      </c>
      <c r="D450">
        <f>IF($J450="","",SUMIFS('Hours Log'!$D:$D,'Hours Log'!$A:$A,"&gt;="&amp;$J450,'Hours Log'!$A:$A,"&lt;"&amp;$J450+7))</f>
        <v/>
      </c>
      <c r="E450">
        <f>IF($J450="","",IFERROR(C450/(B450*40),0))</f>
        <v/>
      </c>
      <c r="F450">
        <f>IF($J450="","",0)</f>
        <v/>
      </c>
      <c r="G450">
        <f>IF($J450="","",SUMIFS('Hours Log'!$E:$E,'Hours Log'!$A:$A,"&gt;="&amp;$J450,'Hours Log'!$A:$A,"&lt;"&amp;$J450+7))</f>
        <v/>
      </c>
      <c r="J450">
        <f>IF(COUNT('Hours Log'!$A$4:$A$5000)=0,"",IF(MIN('Hours Log'!$A$4:$A$5000)+7*(ROW()-10)&gt;MAX('Hours Log'!$A$4:$A$5000),"",MIN('Hours Log'!$A$4:$A$5000)+7*(ROW()-10)))</f>
        <v/>
      </c>
    </row>
    <row r="451">
      <c r="A451">
        <f>IF($J451="","",YEAR($J451-WEEKDAY($J451,2)+4)&amp;"-W"&amp;TEXT(WEEKNUM($J451,21),"00"))</f>
        <v/>
      </c>
      <c r="B451" s="41">
        <f>IF($J451="","",COUNTIFS(Roster!$D$4:$D$500,"Active",Roster!$C$4:$C$500,"&lt;="&amp;$J451))</f>
        <v/>
      </c>
      <c r="C451">
        <f>IF($J451="","",SUMIFS('Hours Log'!$C:$C,'Hours Log'!$A:$A,"&gt;="&amp;$J451,'Hours Log'!$A:$A,"&lt;"&amp;$J451+7)+SUMIFS('Hours Log'!$D:$D,'Hours Log'!$A:$A,"&gt;="&amp;$J451,'Hours Log'!$A:$A,"&lt;"&amp;$J451+7))</f>
        <v/>
      </c>
      <c r="D451">
        <f>IF($J451="","",SUMIFS('Hours Log'!$D:$D,'Hours Log'!$A:$A,"&gt;="&amp;$J451,'Hours Log'!$A:$A,"&lt;"&amp;$J451+7))</f>
        <v/>
      </c>
      <c r="E451">
        <f>IF($J451="","",IFERROR(C451/(B451*40),0))</f>
        <v/>
      </c>
      <c r="F451">
        <f>IF($J451="","",0)</f>
        <v/>
      </c>
      <c r="G451">
        <f>IF($J451="","",SUMIFS('Hours Log'!$E:$E,'Hours Log'!$A:$A,"&gt;="&amp;$J451,'Hours Log'!$A:$A,"&lt;"&amp;$J451+7))</f>
        <v/>
      </c>
      <c r="J451">
        <f>IF(COUNT('Hours Log'!$A$4:$A$5000)=0,"",IF(MIN('Hours Log'!$A$4:$A$5000)+7*(ROW()-10)&gt;MAX('Hours Log'!$A$4:$A$5000),"",MIN('Hours Log'!$A$4:$A$5000)+7*(ROW()-10)))</f>
        <v/>
      </c>
    </row>
    <row r="452">
      <c r="A452">
        <f>IF($J452="","",YEAR($J452-WEEKDAY($J452,2)+4)&amp;"-W"&amp;TEXT(WEEKNUM($J452,21),"00"))</f>
        <v/>
      </c>
      <c r="B452" s="41">
        <f>IF($J452="","",COUNTIFS(Roster!$D$4:$D$500,"Active",Roster!$C$4:$C$500,"&lt;="&amp;$J452))</f>
        <v/>
      </c>
      <c r="C452">
        <f>IF($J452="","",SUMIFS('Hours Log'!$C:$C,'Hours Log'!$A:$A,"&gt;="&amp;$J452,'Hours Log'!$A:$A,"&lt;"&amp;$J452+7)+SUMIFS('Hours Log'!$D:$D,'Hours Log'!$A:$A,"&gt;="&amp;$J452,'Hours Log'!$A:$A,"&lt;"&amp;$J452+7))</f>
        <v/>
      </c>
      <c r="D452">
        <f>IF($J452="","",SUMIFS('Hours Log'!$D:$D,'Hours Log'!$A:$A,"&gt;="&amp;$J452,'Hours Log'!$A:$A,"&lt;"&amp;$J452+7))</f>
        <v/>
      </c>
      <c r="E452">
        <f>IF($J452="","",IFERROR(C452/(B452*40),0))</f>
        <v/>
      </c>
      <c r="F452">
        <f>IF($J452="","",0)</f>
        <v/>
      </c>
      <c r="G452">
        <f>IF($J452="","",SUMIFS('Hours Log'!$E:$E,'Hours Log'!$A:$A,"&gt;="&amp;$J452,'Hours Log'!$A:$A,"&lt;"&amp;$J452+7))</f>
        <v/>
      </c>
      <c r="J452">
        <f>IF(COUNT('Hours Log'!$A$4:$A$5000)=0,"",IF(MIN('Hours Log'!$A$4:$A$5000)+7*(ROW()-10)&gt;MAX('Hours Log'!$A$4:$A$5000),"",MIN('Hours Log'!$A$4:$A$5000)+7*(ROW()-10)))</f>
        <v/>
      </c>
    </row>
    <row r="453">
      <c r="A453">
        <f>IF($J453="","",YEAR($J453-WEEKDAY($J453,2)+4)&amp;"-W"&amp;TEXT(WEEKNUM($J453,21),"00"))</f>
        <v/>
      </c>
      <c r="B453" s="41">
        <f>IF($J453="","",COUNTIFS(Roster!$D$4:$D$500,"Active",Roster!$C$4:$C$500,"&lt;="&amp;$J453))</f>
        <v/>
      </c>
      <c r="C453">
        <f>IF($J453="","",SUMIFS('Hours Log'!$C:$C,'Hours Log'!$A:$A,"&gt;="&amp;$J453,'Hours Log'!$A:$A,"&lt;"&amp;$J453+7)+SUMIFS('Hours Log'!$D:$D,'Hours Log'!$A:$A,"&gt;="&amp;$J453,'Hours Log'!$A:$A,"&lt;"&amp;$J453+7))</f>
        <v/>
      </c>
      <c r="D453">
        <f>IF($J453="","",SUMIFS('Hours Log'!$D:$D,'Hours Log'!$A:$A,"&gt;="&amp;$J453,'Hours Log'!$A:$A,"&lt;"&amp;$J453+7))</f>
        <v/>
      </c>
      <c r="E453">
        <f>IF($J453="","",IFERROR(C453/(B453*40),0))</f>
        <v/>
      </c>
      <c r="F453">
        <f>IF($J453="","",0)</f>
        <v/>
      </c>
      <c r="G453">
        <f>IF($J453="","",SUMIFS('Hours Log'!$E:$E,'Hours Log'!$A:$A,"&gt;="&amp;$J453,'Hours Log'!$A:$A,"&lt;"&amp;$J453+7))</f>
        <v/>
      </c>
      <c r="J453">
        <f>IF(COUNT('Hours Log'!$A$4:$A$5000)=0,"",IF(MIN('Hours Log'!$A$4:$A$5000)+7*(ROW()-10)&gt;MAX('Hours Log'!$A$4:$A$5000),"",MIN('Hours Log'!$A$4:$A$5000)+7*(ROW()-10)))</f>
        <v/>
      </c>
    </row>
    <row r="454">
      <c r="A454">
        <f>IF($J454="","",YEAR($J454-WEEKDAY($J454,2)+4)&amp;"-W"&amp;TEXT(WEEKNUM($J454,21),"00"))</f>
        <v/>
      </c>
      <c r="B454" s="41">
        <f>IF($J454="","",COUNTIFS(Roster!$D$4:$D$500,"Active",Roster!$C$4:$C$500,"&lt;="&amp;$J454))</f>
        <v/>
      </c>
      <c r="C454">
        <f>IF($J454="","",SUMIFS('Hours Log'!$C:$C,'Hours Log'!$A:$A,"&gt;="&amp;$J454,'Hours Log'!$A:$A,"&lt;"&amp;$J454+7)+SUMIFS('Hours Log'!$D:$D,'Hours Log'!$A:$A,"&gt;="&amp;$J454,'Hours Log'!$A:$A,"&lt;"&amp;$J454+7))</f>
        <v/>
      </c>
      <c r="D454">
        <f>IF($J454="","",SUMIFS('Hours Log'!$D:$D,'Hours Log'!$A:$A,"&gt;="&amp;$J454,'Hours Log'!$A:$A,"&lt;"&amp;$J454+7))</f>
        <v/>
      </c>
      <c r="E454">
        <f>IF($J454="","",IFERROR(C454/(B454*40),0))</f>
        <v/>
      </c>
      <c r="F454">
        <f>IF($J454="","",0)</f>
        <v/>
      </c>
      <c r="G454">
        <f>IF($J454="","",SUMIFS('Hours Log'!$E:$E,'Hours Log'!$A:$A,"&gt;="&amp;$J454,'Hours Log'!$A:$A,"&lt;"&amp;$J454+7))</f>
        <v/>
      </c>
      <c r="J454">
        <f>IF(COUNT('Hours Log'!$A$4:$A$5000)=0,"",IF(MIN('Hours Log'!$A$4:$A$5000)+7*(ROW()-10)&gt;MAX('Hours Log'!$A$4:$A$5000),"",MIN('Hours Log'!$A$4:$A$5000)+7*(ROW()-10)))</f>
        <v/>
      </c>
    </row>
    <row r="455">
      <c r="A455">
        <f>IF($J455="","",YEAR($J455-WEEKDAY($J455,2)+4)&amp;"-W"&amp;TEXT(WEEKNUM($J455,21),"00"))</f>
        <v/>
      </c>
      <c r="B455" s="41">
        <f>IF($J455="","",COUNTIFS(Roster!$D$4:$D$500,"Active",Roster!$C$4:$C$500,"&lt;="&amp;$J455))</f>
        <v/>
      </c>
      <c r="C455">
        <f>IF($J455="","",SUMIFS('Hours Log'!$C:$C,'Hours Log'!$A:$A,"&gt;="&amp;$J455,'Hours Log'!$A:$A,"&lt;"&amp;$J455+7)+SUMIFS('Hours Log'!$D:$D,'Hours Log'!$A:$A,"&gt;="&amp;$J455,'Hours Log'!$A:$A,"&lt;"&amp;$J455+7))</f>
        <v/>
      </c>
      <c r="D455">
        <f>IF($J455="","",SUMIFS('Hours Log'!$D:$D,'Hours Log'!$A:$A,"&gt;="&amp;$J455,'Hours Log'!$A:$A,"&lt;"&amp;$J455+7))</f>
        <v/>
      </c>
      <c r="E455">
        <f>IF($J455="","",IFERROR(C455/(B455*40),0))</f>
        <v/>
      </c>
      <c r="F455">
        <f>IF($J455="","",0)</f>
        <v/>
      </c>
      <c r="G455">
        <f>IF($J455="","",SUMIFS('Hours Log'!$E:$E,'Hours Log'!$A:$A,"&gt;="&amp;$J455,'Hours Log'!$A:$A,"&lt;"&amp;$J455+7))</f>
        <v/>
      </c>
      <c r="J455">
        <f>IF(COUNT('Hours Log'!$A$4:$A$5000)=0,"",IF(MIN('Hours Log'!$A$4:$A$5000)+7*(ROW()-10)&gt;MAX('Hours Log'!$A$4:$A$5000),"",MIN('Hours Log'!$A$4:$A$5000)+7*(ROW()-10)))</f>
        <v/>
      </c>
    </row>
    <row r="456">
      <c r="A456">
        <f>IF($J456="","",YEAR($J456-WEEKDAY($J456,2)+4)&amp;"-W"&amp;TEXT(WEEKNUM($J456,21),"00"))</f>
        <v/>
      </c>
      <c r="B456" s="41">
        <f>IF($J456="","",COUNTIFS(Roster!$D$4:$D$500,"Active",Roster!$C$4:$C$500,"&lt;="&amp;$J456))</f>
        <v/>
      </c>
      <c r="C456">
        <f>IF($J456="","",SUMIFS('Hours Log'!$C:$C,'Hours Log'!$A:$A,"&gt;="&amp;$J456,'Hours Log'!$A:$A,"&lt;"&amp;$J456+7)+SUMIFS('Hours Log'!$D:$D,'Hours Log'!$A:$A,"&gt;="&amp;$J456,'Hours Log'!$A:$A,"&lt;"&amp;$J456+7))</f>
        <v/>
      </c>
      <c r="D456">
        <f>IF($J456="","",SUMIFS('Hours Log'!$D:$D,'Hours Log'!$A:$A,"&gt;="&amp;$J456,'Hours Log'!$A:$A,"&lt;"&amp;$J456+7))</f>
        <v/>
      </c>
      <c r="E456">
        <f>IF($J456="","",IFERROR(C456/(B456*40),0))</f>
        <v/>
      </c>
      <c r="F456">
        <f>IF($J456="","",0)</f>
        <v/>
      </c>
      <c r="G456">
        <f>IF($J456="","",SUMIFS('Hours Log'!$E:$E,'Hours Log'!$A:$A,"&gt;="&amp;$J456,'Hours Log'!$A:$A,"&lt;"&amp;$J456+7))</f>
        <v/>
      </c>
      <c r="J456">
        <f>IF(COUNT('Hours Log'!$A$4:$A$5000)=0,"",IF(MIN('Hours Log'!$A$4:$A$5000)+7*(ROW()-10)&gt;MAX('Hours Log'!$A$4:$A$5000),"",MIN('Hours Log'!$A$4:$A$5000)+7*(ROW()-10)))</f>
        <v/>
      </c>
    </row>
    <row r="457">
      <c r="A457">
        <f>IF($J457="","",YEAR($J457-WEEKDAY($J457,2)+4)&amp;"-W"&amp;TEXT(WEEKNUM($J457,21),"00"))</f>
        <v/>
      </c>
      <c r="B457" s="41">
        <f>IF($J457="","",COUNTIFS(Roster!$D$4:$D$500,"Active",Roster!$C$4:$C$500,"&lt;="&amp;$J457))</f>
        <v/>
      </c>
      <c r="C457">
        <f>IF($J457="","",SUMIFS('Hours Log'!$C:$C,'Hours Log'!$A:$A,"&gt;="&amp;$J457,'Hours Log'!$A:$A,"&lt;"&amp;$J457+7)+SUMIFS('Hours Log'!$D:$D,'Hours Log'!$A:$A,"&gt;="&amp;$J457,'Hours Log'!$A:$A,"&lt;"&amp;$J457+7))</f>
        <v/>
      </c>
      <c r="D457">
        <f>IF($J457="","",SUMIFS('Hours Log'!$D:$D,'Hours Log'!$A:$A,"&gt;="&amp;$J457,'Hours Log'!$A:$A,"&lt;"&amp;$J457+7))</f>
        <v/>
      </c>
      <c r="E457">
        <f>IF($J457="","",IFERROR(C457/(B457*40),0))</f>
        <v/>
      </c>
      <c r="F457">
        <f>IF($J457="","",0)</f>
        <v/>
      </c>
      <c r="G457">
        <f>IF($J457="","",SUMIFS('Hours Log'!$E:$E,'Hours Log'!$A:$A,"&gt;="&amp;$J457,'Hours Log'!$A:$A,"&lt;"&amp;$J457+7))</f>
        <v/>
      </c>
      <c r="J457">
        <f>IF(COUNT('Hours Log'!$A$4:$A$5000)=0,"",IF(MIN('Hours Log'!$A$4:$A$5000)+7*(ROW()-10)&gt;MAX('Hours Log'!$A$4:$A$5000),"",MIN('Hours Log'!$A$4:$A$5000)+7*(ROW()-10)))</f>
        <v/>
      </c>
    </row>
    <row r="458">
      <c r="A458">
        <f>IF($J458="","",YEAR($J458-WEEKDAY($J458,2)+4)&amp;"-W"&amp;TEXT(WEEKNUM($J458,21),"00"))</f>
        <v/>
      </c>
      <c r="B458" s="41">
        <f>IF($J458="","",COUNTIFS(Roster!$D$4:$D$500,"Active",Roster!$C$4:$C$500,"&lt;="&amp;$J458))</f>
        <v/>
      </c>
      <c r="C458">
        <f>IF($J458="","",SUMIFS('Hours Log'!$C:$C,'Hours Log'!$A:$A,"&gt;="&amp;$J458,'Hours Log'!$A:$A,"&lt;"&amp;$J458+7)+SUMIFS('Hours Log'!$D:$D,'Hours Log'!$A:$A,"&gt;="&amp;$J458,'Hours Log'!$A:$A,"&lt;"&amp;$J458+7))</f>
        <v/>
      </c>
      <c r="D458">
        <f>IF($J458="","",SUMIFS('Hours Log'!$D:$D,'Hours Log'!$A:$A,"&gt;="&amp;$J458,'Hours Log'!$A:$A,"&lt;"&amp;$J458+7))</f>
        <v/>
      </c>
      <c r="E458">
        <f>IF($J458="","",IFERROR(C458/(B458*40),0))</f>
        <v/>
      </c>
      <c r="F458">
        <f>IF($J458="","",0)</f>
        <v/>
      </c>
      <c r="G458">
        <f>IF($J458="","",SUMIFS('Hours Log'!$E:$E,'Hours Log'!$A:$A,"&gt;="&amp;$J458,'Hours Log'!$A:$A,"&lt;"&amp;$J458+7))</f>
        <v/>
      </c>
      <c r="J458">
        <f>IF(COUNT('Hours Log'!$A$4:$A$5000)=0,"",IF(MIN('Hours Log'!$A$4:$A$5000)+7*(ROW()-10)&gt;MAX('Hours Log'!$A$4:$A$5000),"",MIN('Hours Log'!$A$4:$A$5000)+7*(ROW()-10)))</f>
        <v/>
      </c>
    </row>
    <row r="459">
      <c r="A459">
        <f>IF($J459="","",YEAR($J459-WEEKDAY($J459,2)+4)&amp;"-W"&amp;TEXT(WEEKNUM($J459,21),"00"))</f>
        <v/>
      </c>
      <c r="B459" s="41">
        <f>IF($J459="","",COUNTIFS(Roster!$D$4:$D$500,"Active",Roster!$C$4:$C$500,"&lt;="&amp;$J459))</f>
        <v/>
      </c>
      <c r="C459">
        <f>IF($J459="","",SUMIFS('Hours Log'!$C:$C,'Hours Log'!$A:$A,"&gt;="&amp;$J459,'Hours Log'!$A:$A,"&lt;"&amp;$J459+7)+SUMIFS('Hours Log'!$D:$D,'Hours Log'!$A:$A,"&gt;="&amp;$J459,'Hours Log'!$A:$A,"&lt;"&amp;$J459+7))</f>
        <v/>
      </c>
      <c r="D459">
        <f>IF($J459="","",SUMIFS('Hours Log'!$D:$D,'Hours Log'!$A:$A,"&gt;="&amp;$J459,'Hours Log'!$A:$A,"&lt;"&amp;$J459+7))</f>
        <v/>
      </c>
      <c r="E459">
        <f>IF($J459="","",IFERROR(C459/(B459*40),0))</f>
        <v/>
      </c>
      <c r="F459">
        <f>IF($J459="","",0)</f>
        <v/>
      </c>
      <c r="G459">
        <f>IF($J459="","",SUMIFS('Hours Log'!$E:$E,'Hours Log'!$A:$A,"&gt;="&amp;$J459,'Hours Log'!$A:$A,"&lt;"&amp;$J459+7))</f>
        <v/>
      </c>
      <c r="J459">
        <f>IF(COUNT('Hours Log'!$A$4:$A$5000)=0,"",IF(MIN('Hours Log'!$A$4:$A$5000)+7*(ROW()-10)&gt;MAX('Hours Log'!$A$4:$A$5000),"",MIN('Hours Log'!$A$4:$A$5000)+7*(ROW()-10)))</f>
        <v/>
      </c>
    </row>
    <row r="460">
      <c r="A460">
        <f>IF($J460="","",YEAR($J460-WEEKDAY($J460,2)+4)&amp;"-W"&amp;TEXT(WEEKNUM($J460,21),"00"))</f>
        <v/>
      </c>
      <c r="B460" s="41">
        <f>IF($J460="","",COUNTIFS(Roster!$D$4:$D$500,"Active",Roster!$C$4:$C$500,"&lt;="&amp;$J460))</f>
        <v/>
      </c>
      <c r="C460">
        <f>IF($J460="","",SUMIFS('Hours Log'!$C:$C,'Hours Log'!$A:$A,"&gt;="&amp;$J460,'Hours Log'!$A:$A,"&lt;"&amp;$J460+7)+SUMIFS('Hours Log'!$D:$D,'Hours Log'!$A:$A,"&gt;="&amp;$J460,'Hours Log'!$A:$A,"&lt;"&amp;$J460+7))</f>
        <v/>
      </c>
      <c r="D460">
        <f>IF($J460="","",SUMIFS('Hours Log'!$D:$D,'Hours Log'!$A:$A,"&gt;="&amp;$J460,'Hours Log'!$A:$A,"&lt;"&amp;$J460+7))</f>
        <v/>
      </c>
      <c r="E460">
        <f>IF($J460="","",IFERROR(C460/(B460*40),0))</f>
        <v/>
      </c>
      <c r="F460">
        <f>IF($J460="","",0)</f>
        <v/>
      </c>
      <c r="G460">
        <f>IF($J460="","",SUMIFS('Hours Log'!$E:$E,'Hours Log'!$A:$A,"&gt;="&amp;$J460,'Hours Log'!$A:$A,"&lt;"&amp;$J460+7))</f>
        <v/>
      </c>
      <c r="J460">
        <f>IF(COUNT('Hours Log'!$A$4:$A$5000)=0,"",IF(MIN('Hours Log'!$A$4:$A$5000)+7*(ROW()-10)&gt;MAX('Hours Log'!$A$4:$A$5000),"",MIN('Hours Log'!$A$4:$A$5000)+7*(ROW()-10)))</f>
        <v/>
      </c>
    </row>
    <row r="461">
      <c r="A461">
        <f>IF($J461="","",YEAR($J461-WEEKDAY($J461,2)+4)&amp;"-W"&amp;TEXT(WEEKNUM($J461,21),"00"))</f>
        <v/>
      </c>
      <c r="B461" s="41">
        <f>IF($J461="","",COUNTIFS(Roster!$D$4:$D$500,"Active",Roster!$C$4:$C$500,"&lt;="&amp;$J461))</f>
        <v/>
      </c>
      <c r="C461">
        <f>IF($J461="","",SUMIFS('Hours Log'!$C:$C,'Hours Log'!$A:$A,"&gt;="&amp;$J461,'Hours Log'!$A:$A,"&lt;"&amp;$J461+7)+SUMIFS('Hours Log'!$D:$D,'Hours Log'!$A:$A,"&gt;="&amp;$J461,'Hours Log'!$A:$A,"&lt;"&amp;$J461+7))</f>
        <v/>
      </c>
      <c r="D461">
        <f>IF($J461="","",SUMIFS('Hours Log'!$D:$D,'Hours Log'!$A:$A,"&gt;="&amp;$J461,'Hours Log'!$A:$A,"&lt;"&amp;$J461+7))</f>
        <v/>
      </c>
      <c r="E461">
        <f>IF($J461="","",IFERROR(C461/(B461*40),0))</f>
        <v/>
      </c>
      <c r="F461">
        <f>IF($J461="","",0)</f>
        <v/>
      </c>
      <c r="G461">
        <f>IF($J461="","",SUMIFS('Hours Log'!$E:$E,'Hours Log'!$A:$A,"&gt;="&amp;$J461,'Hours Log'!$A:$A,"&lt;"&amp;$J461+7))</f>
        <v/>
      </c>
      <c r="J461">
        <f>IF(COUNT('Hours Log'!$A$4:$A$5000)=0,"",IF(MIN('Hours Log'!$A$4:$A$5000)+7*(ROW()-10)&gt;MAX('Hours Log'!$A$4:$A$5000),"",MIN('Hours Log'!$A$4:$A$5000)+7*(ROW()-10)))</f>
        <v/>
      </c>
    </row>
    <row r="462">
      <c r="A462">
        <f>IF($J462="","",YEAR($J462-WEEKDAY($J462,2)+4)&amp;"-W"&amp;TEXT(WEEKNUM($J462,21),"00"))</f>
        <v/>
      </c>
      <c r="B462" s="41">
        <f>IF($J462="","",COUNTIFS(Roster!$D$4:$D$500,"Active",Roster!$C$4:$C$500,"&lt;="&amp;$J462))</f>
        <v/>
      </c>
      <c r="C462">
        <f>IF($J462="","",SUMIFS('Hours Log'!$C:$C,'Hours Log'!$A:$A,"&gt;="&amp;$J462,'Hours Log'!$A:$A,"&lt;"&amp;$J462+7)+SUMIFS('Hours Log'!$D:$D,'Hours Log'!$A:$A,"&gt;="&amp;$J462,'Hours Log'!$A:$A,"&lt;"&amp;$J462+7))</f>
        <v/>
      </c>
      <c r="D462">
        <f>IF($J462="","",SUMIFS('Hours Log'!$D:$D,'Hours Log'!$A:$A,"&gt;="&amp;$J462,'Hours Log'!$A:$A,"&lt;"&amp;$J462+7))</f>
        <v/>
      </c>
      <c r="E462">
        <f>IF($J462="","",IFERROR(C462/(B462*40),0))</f>
        <v/>
      </c>
      <c r="F462">
        <f>IF($J462="","",0)</f>
        <v/>
      </c>
      <c r="G462">
        <f>IF($J462="","",SUMIFS('Hours Log'!$E:$E,'Hours Log'!$A:$A,"&gt;="&amp;$J462,'Hours Log'!$A:$A,"&lt;"&amp;$J462+7))</f>
        <v/>
      </c>
      <c r="J462">
        <f>IF(COUNT('Hours Log'!$A$4:$A$5000)=0,"",IF(MIN('Hours Log'!$A$4:$A$5000)+7*(ROW()-10)&gt;MAX('Hours Log'!$A$4:$A$5000),"",MIN('Hours Log'!$A$4:$A$5000)+7*(ROW()-10)))</f>
        <v/>
      </c>
    </row>
    <row r="463">
      <c r="A463">
        <f>IF($J463="","",YEAR($J463-WEEKDAY($J463,2)+4)&amp;"-W"&amp;TEXT(WEEKNUM($J463,21),"00"))</f>
        <v/>
      </c>
      <c r="B463" s="41">
        <f>IF($J463="","",COUNTIFS(Roster!$D$4:$D$500,"Active",Roster!$C$4:$C$500,"&lt;="&amp;$J463))</f>
        <v/>
      </c>
      <c r="C463">
        <f>IF($J463="","",SUMIFS('Hours Log'!$C:$C,'Hours Log'!$A:$A,"&gt;="&amp;$J463,'Hours Log'!$A:$A,"&lt;"&amp;$J463+7)+SUMIFS('Hours Log'!$D:$D,'Hours Log'!$A:$A,"&gt;="&amp;$J463,'Hours Log'!$A:$A,"&lt;"&amp;$J463+7))</f>
        <v/>
      </c>
      <c r="D463">
        <f>IF($J463="","",SUMIFS('Hours Log'!$D:$D,'Hours Log'!$A:$A,"&gt;="&amp;$J463,'Hours Log'!$A:$A,"&lt;"&amp;$J463+7))</f>
        <v/>
      </c>
      <c r="E463">
        <f>IF($J463="","",IFERROR(C463/(B463*40),0))</f>
        <v/>
      </c>
      <c r="F463">
        <f>IF($J463="","",0)</f>
        <v/>
      </c>
      <c r="G463">
        <f>IF($J463="","",SUMIFS('Hours Log'!$E:$E,'Hours Log'!$A:$A,"&gt;="&amp;$J463,'Hours Log'!$A:$A,"&lt;"&amp;$J463+7))</f>
        <v/>
      </c>
      <c r="J463">
        <f>IF(COUNT('Hours Log'!$A$4:$A$5000)=0,"",IF(MIN('Hours Log'!$A$4:$A$5000)+7*(ROW()-10)&gt;MAX('Hours Log'!$A$4:$A$5000),"",MIN('Hours Log'!$A$4:$A$5000)+7*(ROW()-10)))</f>
        <v/>
      </c>
    </row>
    <row r="464">
      <c r="A464">
        <f>IF($J464="","",YEAR($J464-WEEKDAY($J464,2)+4)&amp;"-W"&amp;TEXT(WEEKNUM($J464,21),"00"))</f>
        <v/>
      </c>
      <c r="B464" s="41">
        <f>IF($J464="","",COUNTIFS(Roster!$D$4:$D$500,"Active",Roster!$C$4:$C$500,"&lt;="&amp;$J464))</f>
        <v/>
      </c>
      <c r="C464">
        <f>IF($J464="","",SUMIFS('Hours Log'!$C:$C,'Hours Log'!$A:$A,"&gt;="&amp;$J464,'Hours Log'!$A:$A,"&lt;"&amp;$J464+7)+SUMIFS('Hours Log'!$D:$D,'Hours Log'!$A:$A,"&gt;="&amp;$J464,'Hours Log'!$A:$A,"&lt;"&amp;$J464+7))</f>
        <v/>
      </c>
      <c r="D464">
        <f>IF($J464="","",SUMIFS('Hours Log'!$D:$D,'Hours Log'!$A:$A,"&gt;="&amp;$J464,'Hours Log'!$A:$A,"&lt;"&amp;$J464+7))</f>
        <v/>
      </c>
      <c r="E464">
        <f>IF($J464="","",IFERROR(C464/(B464*40),0))</f>
        <v/>
      </c>
      <c r="F464">
        <f>IF($J464="","",0)</f>
        <v/>
      </c>
      <c r="G464">
        <f>IF($J464="","",SUMIFS('Hours Log'!$E:$E,'Hours Log'!$A:$A,"&gt;="&amp;$J464,'Hours Log'!$A:$A,"&lt;"&amp;$J464+7))</f>
        <v/>
      </c>
      <c r="J464">
        <f>IF(COUNT('Hours Log'!$A$4:$A$5000)=0,"",IF(MIN('Hours Log'!$A$4:$A$5000)+7*(ROW()-10)&gt;MAX('Hours Log'!$A$4:$A$5000),"",MIN('Hours Log'!$A$4:$A$5000)+7*(ROW()-10)))</f>
        <v/>
      </c>
    </row>
    <row r="465">
      <c r="A465">
        <f>IF($J465="","",YEAR($J465-WEEKDAY($J465,2)+4)&amp;"-W"&amp;TEXT(WEEKNUM($J465,21),"00"))</f>
        <v/>
      </c>
      <c r="B465" s="41">
        <f>IF($J465="","",COUNTIFS(Roster!$D$4:$D$500,"Active",Roster!$C$4:$C$500,"&lt;="&amp;$J465))</f>
        <v/>
      </c>
      <c r="C465">
        <f>IF($J465="","",SUMIFS('Hours Log'!$C:$C,'Hours Log'!$A:$A,"&gt;="&amp;$J465,'Hours Log'!$A:$A,"&lt;"&amp;$J465+7)+SUMIFS('Hours Log'!$D:$D,'Hours Log'!$A:$A,"&gt;="&amp;$J465,'Hours Log'!$A:$A,"&lt;"&amp;$J465+7))</f>
        <v/>
      </c>
      <c r="D465">
        <f>IF($J465="","",SUMIFS('Hours Log'!$D:$D,'Hours Log'!$A:$A,"&gt;="&amp;$J465,'Hours Log'!$A:$A,"&lt;"&amp;$J465+7))</f>
        <v/>
      </c>
      <c r="E465">
        <f>IF($J465="","",IFERROR(C465/(B465*40),0))</f>
        <v/>
      </c>
      <c r="F465">
        <f>IF($J465="","",0)</f>
        <v/>
      </c>
      <c r="G465">
        <f>IF($J465="","",SUMIFS('Hours Log'!$E:$E,'Hours Log'!$A:$A,"&gt;="&amp;$J465,'Hours Log'!$A:$A,"&lt;"&amp;$J465+7))</f>
        <v/>
      </c>
      <c r="J465">
        <f>IF(COUNT('Hours Log'!$A$4:$A$5000)=0,"",IF(MIN('Hours Log'!$A$4:$A$5000)+7*(ROW()-10)&gt;MAX('Hours Log'!$A$4:$A$5000),"",MIN('Hours Log'!$A$4:$A$5000)+7*(ROW()-10)))</f>
        <v/>
      </c>
    </row>
    <row r="466">
      <c r="A466">
        <f>IF($J466="","",YEAR($J466-WEEKDAY($J466,2)+4)&amp;"-W"&amp;TEXT(WEEKNUM($J466,21),"00"))</f>
        <v/>
      </c>
      <c r="B466" s="41">
        <f>IF($J466="","",COUNTIFS(Roster!$D$4:$D$500,"Active",Roster!$C$4:$C$500,"&lt;="&amp;$J466))</f>
        <v/>
      </c>
      <c r="C466">
        <f>IF($J466="","",SUMIFS('Hours Log'!$C:$C,'Hours Log'!$A:$A,"&gt;="&amp;$J466,'Hours Log'!$A:$A,"&lt;"&amp;$J466+7)+SUMIFS('Hours Log'!$D:$D,'Hours Log'!$A:$A,"&gt;="&amp;$J466,'Hours Log'!$A:$A,"&lt;"&amp;$J466+7))</f>
        <v/>
      </c>
      <c r="D466">
        <f>IF($J466="","",SUMIFS('Hours Log'!$D:$D,'Hours Log'!$A:$A,"&gt;="&amp;$J466,'Hours Log'!$A:$A,"&lt;"&amp;$J466+7))</f>
        <v/>
      </c>
      <c r="E466">
        <f>IF($J466="","",IFERROR(C466/(B466*40),0))</f>
        <v/>
      </c>
      <c r="F466">
        <f>IF($J466="","",0)</f>
        <v/>
      </c>
      <c r="G466">
        <f>IF($J466="","",SUMIFS('Hours Log'!$E:$E,'Hours Log'!$A:$A,"&gt;="&amp;$J466,'Hours Log'!$A:$A,"&lt;"&amp;$J466+7))</f>
        <v/>
      </c>
      <c r="J466">
        <f>IF(COUNT('Hours Log'!$A$4:$A$5000)=0,"",IF(MIN('Hours Log'!$A$4:$A$5000)+7*(ROW()-10)&gt;MAX('Hours Log'!$A$4:$A$5000),"",MIN('Hours Log'!$A$4:$A$5000)+7*(ROW()-10)))</f>
        <v/>
      </c>
    </row>
    <row r="467">
      <c r="A467">
        <f>IF($J467="","",YEAR($J467-WEEKDAY($J467,2)+4)&amp;"-W"&amp;TEXT(WEEKNUM($J467,21),"00"))</f>
        <v/>
      </c>
      <c r="B467" s="41">
        <f>IF($J467="","",COUNTIFS(Roster!$D$4:$D$500,"Active",Roster!$C$4:$C$500,"&lt;="&amp;$J467))</f>
        <v/>
      </c>
      <c r="C467">
        <f>IF($J467="","",SUMIFS('Hours Log'!$C:$C,'Hours Log'!$A:$A,"&gt;="&amp;$J467,'Hours Log'!$A:$A,"&lt;"&amp;$J467+7)+SUMIFS('Hours Log'!$D:$D,'Hours Log'!$A:$A,"&gt;="&amp;$J467,'Hours Log'!$A:$A,"&lt;"&amp;$J467+7))</f>
        <v/>
      </c>
      <c r="D467">
        <f>IF($J467="","",SUMIFS('Hours Log'!$D:$D,'Hours Log'!$A:$A,"&gt;="&amp;$J467,'Hours Log'!$A:$A,"&lt;"&amp;$J467+7))</f>
        <v/>
      </c>
      <c r="E467">
        <f>IF($J467="","",IFERROR(C467/(B467*40),0))</f>
        <v/>
      </c>
      <c r="F467">
        <f>IF($J467="","",0)</f>
        <v/>
      </c>
      <c r="G467">
        <f>IF($J467="","",SUMIFS('Hours Log'!$E:$E,'Hours Log'!$A:$A,"&gt;="&amp;$J467,'Hours Log'!$A:$A,"&lt;"&amp;$J467+7))</f>
        <v/>
      </c>
      <c r="J467">
        <f>IF(COUNT('Hours Log'!$A$4:$A$5000)=0,"",IF(MIN('Hours Log'!$A$4:$A$5000)+7*(ROW()-10)&gt;MAX('Hours Log'!$A$4:$A$5000),"",MIN('Hours Log'!$A$4:$A$5000)+7*(ROW()-10)))</f>
        <v/>
      </c>
    </row>
    <row r="468">
      <c r="A468">
        <f>IF($J468="","",YEAR($J468-WEEKDAY($J468,2)+4)&amp;"-W"&amp;TEXT(WEEKNUM($J468,21),"00"))</f>
        <v/>
      </c>
      <c r="B468" s="41">
        <f>IF($J468="","",COUNTIFS(Roster!$D$4:$D$500,"Active",Roster!$C$4:$C$500,"&lt;="&amp;$J468))</f>
        <v/>
      </c>
      <c r="C468">
        <f>IF($J468="","",SUMIFS('Hours Log'!$C:$C,'Hours Log'!$A:$A,"&gt;="&amp;$J468,'Hours Log'!$A:$A,"&lt;"&amp;$J468+7)+SUMIFS('Hours Log'!$D:$D,'Hours Log'!$A:$A,"&gt;="&amp;$J468,'Hours Log'!$A:$A,"&lt;"&amp;$J468+7))</f>
        <v/>
      </c>
      <c r="D468">
        <f>IF($J468="","",SUMIFS('Hours Log'!$D:$D,'Hours Log'!$A:$A,"&gt;="&amp;$J468,'Hours Log'!$A:$A,"&lt;"&amp;$J468+7))</f>
        <v/>
      </c>
      <c r="E468">
        <f>IF($J468="","",IFERROR(C468/(B468*40),0))</f>
        <v/>
      </c>
      <c r="F468">
        <f>IF($J468="","",0)</f>
        <v/>
      </c>
      <c r="G468">
        <f>IF($J468="","",SUMIFS('Hours Log'!$E:$E,'Hours Log'!$A:$A,"&gt;="&amp;$J468,'Hours Log'!$A:$A,"&lt;"&amp;$J468+7))</f>
        <v/>
      </c>
      <c r="J468">
        <f>IF(COUNT('Hours Log'!$A$4:$A$5000)=0,"",IF(MIN('Hours Log'!$A$4:$A$5000)+7*(ROW()-10)&gt;MAX('Hours Log'!$A$4:$A$5000),"",MIN('Hours Log'!$A$4:$A$5000)+7*(ROW()-10)))</f>
        <v/>
      </c>
    </row>
    <row r="469">
      <c r="A469">
        <f>IF($J469="","",YEAR($J469-WEEKDAY($J469,2)+4)&amp;"-W"&amp;TEXT(WEEKNUM($J469,21),"00"))</f>
        <v/>
      </c>
      <c r="B469" s="41">
        <f>IF($J469="","",COUNTIFS(Roster!$D$4:$D$500,"Active",Roster!$C$4:$C$500,"&lt;="&amp;$J469))</f>
        <v/>
      </c>
      <c r="C469">
        <f>IF($J469="","",SUMIFS('Hours Log'!$C:$C,'Hours Log'!$A:$A,"&gt;="&amp;$J469,'Hours Log'!$A:$A,"&lt;"&amp;$J469+7)+SUMIFS('Hours Log'!$D:$D,'Hours Log'!$A:$A,"&gt;="&amp;$J469,'Hours Log'!$A:$A,"&lt;"&amp;$J469+7))</f>
        <v/>
      </c>
      <c r="D469">
        <f>IF($J469="","",SUMIFS('Hours Log'!$D:$D,'Hours Log'!$A:$A,"&gt;="&amp;$J469,'Hours Log'!$A:$A,"&lt;"&amp;$J469+7))</f>
        <v/>
      </c>
      <c r="E469">
        <f>IF($J469="","",IFERROR(C469/(B469*40),0))</f>
        <v/>
      </c>
      <c r="F469">
        <f>IF($J469="","",0)</f>
        <v/>
      </c>
      <c r="G469">
        <f>IF($J469="","",SUMIFS('Hours Log'!$E:$E,'Hours Log'!$A:$A,"&gt;="&amp;$J469,'Hours Log'!$A:$A,"&lt;"&amp;$J469+7))</f>
        <v/>
      </c>
      <c r="J469">
        <f>IF(COUNT('Hours Log'!$A$4:$A$5000)=0,"",IF(MIN('Hours Log'!$A$4:$A$5000)+7*(ROW()-10)&gt;MAX('Hours Log'!$A$4:$A$5000),"",MIN('Hours Log'!$A$4:$A$5000)+7*(ROW()-10)))</f>
        <v/>
      </c>
    </row>
    <row r="470">
      <c r="A470">
        <f>IF($J470="","",YEAR($J470-WEEKDAY($J470,2)+4)&amp;"-W"&amp;TEXT(WEEKNUM($J470,21),"00"))</f>
        <v/>
      </c>
      <c r="B470" s="41">
        <f>IF($J470="","",COUNTIFS(Roster!$D$4:$D$500,"Active",Roster!$C$4:$C$500,"&lt;="&amp;$J470))</f>
        <v/>
      </c>
      <c r="C470">
        <f>IF($J470="","",SUMIFS('Hours Log'!$C:$C,'Hours Log'!$A:$A,"&gt;="&amp;$J470,'Hours Log'!$A:$A,"&lt;"&amp;$J470+7)+SUMIFS('Hours Log'!$D:$D,'Hours Log'!$A:$A,"&gt;="&amp;$J470,'Hours Log'!$A:$A,"&lt;"&amp;$J470+7))</f>
        <v/>
      </c>
      <c r="D470">
        <f>IF($J470="","",SUMIFS('Hours Log'!$D:$D,'Hours Log'!$A:$A,"&gt;="&amp;$J470,'Hours Log'!$A:$A,"&lt;"&amp;$J470+7))</f>
        <v/>
      </c>
      <c r="E470">
        <f>IF($J470="","",IFERROR(C470/(B470*40),0))</f>
        <v/>
      </c>
      <c r="F470">
        <f>IF($J470="","",0)</f>
        <v/>
      </c>
      <c r="G470">
        <f>IF($J470="","",SUMIFS('Hours Log'!$E:$E,'Hours Log'!$A:$A,"&gt;="&amp;$J470,'Hours Log'!$A:$A,"&lt;"&amp;$J470+7))</f>
        <v/>
      </c>
      <c r="J470">
        <f>IF(COUNT('Hours Log'!$A$4:$A$5000)=0,"",IF(MIN('Hours Log'!$A$4:$A$5000)+7*(ROW()-10)&gt;MAX('Hours Log'!$A$4:$A$5000),"",MIN('Hours Log'!$A$4:$A$5000)+7*(ROW()-10)))</f>
        <v/>
      </c>
    </row>
    <row r="471">
      <c r="A471">
        <f>IF($J471="","",YEAR($J471-WEEKDAY($J471,2)+4)&amp;"-W"&amp;TEXT(WEEKNUM($J471,21),"00"))</f>
        <v/>
      </c>
      <c r="B471" s="41">
        <f>IF($J471="","",COUNTIFS(Roster!$D$4:$D$500,"Active",Roster!$C$4:$C$500,"&lt;="&amp;$J471))</f>
        <v/>
      </c>
      <c r="C471">
        <f>IF($J471="","",SUMIFS('Hours Log'!$C:$C,'Hours Log'!$A:$A,"&gt;="&amp;$J471,'Hours Log'!$A:$A,"&lt;"&amp;$J471+7)+SUMIFS('Hours Log'!$D:$D,'Hours Log'!$A:$A,"&gt;="&amp;$J471,'Hours Log'!$A:$A,"&lt;"&amp;$J471+7))</f>
        <v/>
      </c>
      <c r="D471">
        <f>IF($J471="","",SUMIFS('Hours Log'!$D:$D,'Hours Log'!$A:$A,"&gt;="&amp;$J471,'Hours Log'!$A:$A,"&lt;"&amp;$J471+7))</f>
        <v/>
      </c>
      <c r="E471">
        <f>IF($J471="","",IFERROR(C471/(B471*40),0))</f>
        <v/>
      </c>
      <c r="F471">
        <f>IF($J471="","",0)</f>
        <v/>
      </c>
      <c r="G471">
        <f>IF($J471="","",SUMIFS('Hours Log'!$E:$E,'Hours Log'!$A:$A,"&gt;="&amp;$J471,'Hours Log'!$A:$A,"&lt;"&amp;$J471+7))</f>
        <v/>
      </c>
      <c r="J471">
        <f>IF(COUNT('Hours Log'!$A$4:$A$5000)=0,"",IF(MIN('Hours Log'!$A$4:$A$5000)+7*(ROW()-10)&gt;MAX('Hours Log'!$A$4:$A$5000),"",MIN('Hours Log'!$A$4:$A$5000)+7*(ROW()-10)))</f>
        <v/>
      </c>
    </row>
    <row r="472">
      <c r="A472">
        <f>IF($J472="","",YEAR($J472-WEEKDAY($J472,2)+4)&amp;"-W"&amp;TEXT(WEEKNUM($J472,21),"00"))</f>
        <v/>
      </c>
      <c r="B472" s="41">
        <f>IF($J472="","",COUNTIFS(Roster!$D$4:$D$500,"Active",Roster!$C$4:$C$500,"&lt;="&amp;$J472))</f>
        <v/>
      </c>
      <c r="C472">
        <f>IF($J472="","",SUMIFS('Hours Log'!$C:$C,'Hours Log'!$A:$A,"&gt;="&amp;$J472,'Hours Log'!$A:$A,"&lt;"&amp;$J472+7)+SUMIFS('Hours Log'!$D:$D,'Hours Log'!$A:$A,"&gt;="&amp;$J472,'Hours Log'!$A:$A,"&lt;"&amp;$J472+7))</f>
        <v/>
      </c>
      <c r="D472">
        <f>IF($J472="","",SUMIFS('Hours Log'!$D:$D,'Hours Log'!$A:$A,"&gt;="&amp;$J472,'Hours Log'!$A:$A,"&lt;"&amp;$J472+7))</f>
        <v/>
      </c>
      <c r="E472">
        <f>IF($J472="","",IFERROR(C472/(B472*40),0))</f>
        <v/>
      </c>
      <c r="F472">
        <f>IF($J472="","",0)</f>
        <v/>
      </c>
      <c r="G472">
        <f>IF($J472="","",SUMIFS('Hours Log'!$E:$E,'Hours Log'!$A:$A,"&gt;="&amp;$J472,'Hours Log'!$A:$A,"&lt;"&amp;$J472+7))</f>
        <v/>
      </c>
      <c r="J472">
        <f>IF(COUNT('Hours Log'!$A$4:$A$5000)=0,"",IF(MIN('Hours Log'!$A$4:$A$5000)+7*(ROW()-10)&gt;MAX('Hours Log'!$A$4:$A$5000),"",MIN('Hours Log'!$A$4:$A$5000)+7*(ROW()-10)))</f>
        <v/>
      </c>
    </row>
    <row r="473">
      <c r="A473">
        <f>IF($J473="","",YEAR($J473-WEEKDAY($J473,2)+4)&amp;"-W"&amp;TEXT(WEEKNUM($J473,21),"00"))</f>
        <v/>
      </c>
      <c r="B473" s="41">
        <f>IF($J473="","",COUNTIFS(Roster!$D$4:$D$500,"Active",Roster!$C$4:$C$500,"&lt;="&amp;$J473))</f>
        <v/>
      </c>
      <c r="C473">
        <f>IF($J473="","",SUMIFS('Hours Log'!$C:$C,'Hours Log'!$A:$A,"&gt;="&amp;$J473,'Hours Log'!$A:$A,"&lt;"&amp;$J473+7)+SUMIFS('Hours Log'!$D:$D,'Hours Log'!$A:$A,"&gt;="&amp;$J473,'Hours Log'!$A:$A,"&lt;"&amp;$J473+7))</f>
        <v/>
      </c>
      <c r="D473">
        <f>IF($J473="","",SUMIFS('Hours Log'!$D:$D,'Hours Log'!$A:$A,"&gt;="&amp;$J473,'Hours Log'!$A:$A,"&lt;"&amp;$J473+7))</f>
        <v/>
      </c>
      <c r="E473">
        <f>IF($J473="","",IFERROR(C473/(B473*40),0))</f>
        <v/>
      </c>
      <c r="F473">
        <f>IF($J473="","",0)</f>
        <v/>
      </c>
      <c r="G473">
        <f>IF($J473="","",SUMIFS('Hours Log'!$E:$E,'Hours Log'!$A:$A,"&gt;="&amp;$J473,'Hours Log'!$A:$A,"&lt;"&amp;$J473+7))</f>
        <v/>
      </c>
      <c r="J473">
        <f>IF(COUNT('Hours Log'!$A$4:$A$5000)=0,"",IF(MIN('Hours Log'!$A$4:$A$5000)+7*(ROW()-10)&gt;MAX('Hours Log'!$A$4:$A$5000),"",MIN('Hours Log'!$A$4:$A$5000)+7*(ROW()-10)))</f>
        <v/>
      </c>
    </row>
    <row r="474">
      <c r="A474">
        <f>IF($J474="","",YEAR($J474-WEEKDAY($J474,2)+4)&amp;"-W"&amp;TEXT(WEEKNUM($J474,21),"00"))</f>
        <v/>
      </c>
      <c r="B474" s="41">
        <f>IF($J474="","",COUNTIFS(Roster!$D$4:$D$500,"Active",Roster!$C$4:$C$500,"&lt;="&amp;$J474))</f>
        <v/>
      </c>
      <c r="C474">
        <f>IF($J474="","",SUMIFS('Hours Log'!$C:$C,'Hours Log'!$A:$A,"&gt;="&amp;$J474,'Hours Log'!$A:$A,"&lt;"&amp;$J474+7)+SUMIFS('Hours Log'!$D:$D,'Hours Log'!$A:$A,"&gt;="&amp;$J474,'Hours Log'!$A:$A,"&lt;"&amp;$J474+7))</f>
        <v/>
      </c>
      <c r="D474">
        <f>IF($J474="","",SUMIFS('Hours Log'!$D:$D,'Hours Log'!$A:$A,"&gt;="&amp;$J474,'Hours Log'!$A:$A,"&lt;"&amp;$J474+7))</f>
        <v/>
      </c>
      <c r="E474">
        <f>IF($J474="","",IFERROR(C474/(B474*40),0))</f>
        <v/>
      </c>
      <c r="F474">
        <f>IF($J474="","",0)</f>
        <v/>
      </c>
      <c r="G474">
        <f>IF($J474="","",SUMIFS('Hours Log'!$E:$E,'Hours Log'!$A:$A,"&gt;="&amp;$J474,'Hours Log'!$A:$A,"&lt;"&amp;$J474+7))</f>
        <v/>
      </c>
      <c r="J474">
        <f>IF(COUNT('Hours Log'!$A$4:$A$5000)=0,"",IF(MIN('Hours Log'!$A$4:$A$5000)+7*(ROW()-10)&gt;MAX('Hours Log'!$A$4:$A$5000),"",MIN('Hours Log'!$A$4:$A$5000)+7*(ROW()-10)))</f>
        <v/>
      </c>
    </row>
    <row r="475">
      <c r="A475">
        <f>IF($J475="","",YEAR($J475-WEEKDAY($J475,2)+4)&amp;"-W"&amp;TEXT(WEEKNUM($J475,21),"00"))</f>
        <v/>
      </c>
      <c r="B475" s="41">
        <f>IF($J475="","",COUNTIFS(Roster!$D$4:$D$500,"Active",Roster!$C$4:$C$500,"&lt;="&amp;$J475))</f>
        <v/>
      </c>
      <c r="C475">
        <f>IF($J475="","",SUMIFS('Hours Log'!$C:$C,'Hours Log'!$A:$A,"&gt;="&amp;$J475,'Hours Log'!$A:$A,"&lt;"&amp;$J475+7)+SUMIFS('Hours Log'!$D:$D,'Hours Log'!$A:$A,"&gt;="&amp;$J475,'Hours Log'!$A:$A,"&lt;"&amp;$J475+7))</f>
        <v/>
      </c>
      <c r="D475">
        <f>IF($J475="","",SUMIFS('Hours Log'!$D:$D,'Hours Log'!$A:$A,"&gt;="&amp;$J475,'Hours Log'!$A:$A,"&lt;"&amp;$J475+7))</f>
        <v/>
      </c>
      <c r="E475">
        <f>IF($J475="","",IFERROR(C475/(B475*40),0))</f>
        <v/>
      </c>
      <c r="F475">
        <f>IF($J475="","",0)</f>
        <v/>
      </c>
      <c r="G475">
        <f>IF($J475="","",SUMIFS('Hours Log'!$E:$E,'Hours Log'!$A:$A,"&gt;="&amp;$J475,'Hours Log'!$A:$A,"&lt;"&amp;$J475+7))</f>
        <v/>
      </c>
      <c r="J475">
        <f>IF(COUNT('Hours Log'!$A$4:$A$5000)=0,"",IF(MIN('Hours Log'!$A$4:$A$5000)+7*(ROW()-10)&gt;MAX('Hours Log'!$A$4:$A$5000),"",MIN('Hours Log'!$A$4:$A$5000)+7*(ROW()-10)))</f>
        <v/>
      </c>
    </row>
    <row r="476">
      <c r="A476">
        <f>IF($J476="","",YEAR($J476-WEEKDAY($J476,2)+4)&amp;"-W"&amp;TEXT(WEEKNUM($J476,21),"00"))</f>
        <v/>
      </c>
      <c r="B476" s="41">
        <f>IF($J476="","",COUNTIFS(Roster!$D$4:$D$500,"Active",Roster!$C$4:$C$500,"&lt;="&amp;$J476))</f>
        <v/>
      </c>
      <c r="C476">
        <f>IF($J476="","",SUMIFS('Hours Log'!$C:$C,'Hours Log'!$A:$A,"&gt;="&amp;$J476,'Hours Log'!$A:$A,"&lt;"&amp;$J476+7)+SUMIFS('Hours Log'!$D:$D,'Hours Log'!$A:$A,"&gt;="&amp;$J476,'Hours Log'!$A:$A,"&lt;"&amp;$J476+7))</f>
        <v/>
      </c>
      <c r="D476">
        <f>IF($J476="","",SUMIFS('Hours Log'!$D:$D,'Hours Log'!$A:$A,"&gt;="&amp;$J476,'Hours Log'!$A:$A,"&lt;"&amp;$J476+7))</f>
        <v/>
      </c>
      <c r="E476">
        <f>IF($J476="","",IFERROR(C476/(B476*40),0))</f>
        <v/>
      </c>
      <c r="F476">
        <f>IF($J476="","",0)</f>
        <v/>
      </c>
      <c r="G476">
        <f>IF($J476="","",SUMIFS('Hours Log'!$E:$E,'Hours Log'!$A:$A,"&gt;="&amp;$J476,'Hours Log'!$A:$A,"&lt;"&amp;$J476+7))</f>
        <v/>
      </c>
      <c r="J476">
        <f>IF(COUNT('Hours Log'!$A$4:$A$5000)=0,"",IF(MIN('Hours Log'!$A$4:$A$5000)+7*(ROW()-10)&gt;MAX('Hours Log'!$A$4:$A$5000),"",MIN('Hours Log'!$A$4:$A$5000)+7*(ROW()-10)))</f>
        <v/>
      </c>
    </row>
    <row r="477">
      <c r="A477">
        <f>IF($J477="","",YEAR($J477-WEEKDAY($J477,2)+4)&amp;"-W"&amp;TEXT(WEEKNUM($J477,21),"00"))</f>
        <v/>
      </c>
      <c r="B477" s="41">
        <f>IF($J477="","",COUNTIFS(Roster!$D$4:$D$500,"Active",Roster!$C$4:$C$500,"&lt;="&amp;$J477))</f>
        <v/>
      </c>
      <c r="C477">
        <f>IF($J477="","",SUMIFS('Hours Log'!$C:$C,'Hours Log'!$A:$A,"&gt;="&amp;$J477,'Hours Log'!$A:$A,"&lt;"&amp;$J477+7)+SUMIFS('Hours Log'!$D:$D,'Hours Log'!$A:$A,"&gt;="&amp;$J477,'Hours Log'!$A:$A,"&lt;"&amp;$J477+7))</f>
        <v/>
      </c>
      <c r="D477">
        <f>IF($J477="","",SUMIFS('Hours Log'!$D:$D,'Hours Log'!$A:$A,"&gt;="&amp;$J477,'Hours Log'!$A:$A,"&lt;"&amp;$J477+7))</f>
        <v/>
      </c>
      <c r="E477">
        <f>IF($J477="","",IFERROR(C477/(B477*40),0))</f>
        <v/>
      </c>
      <c r="F477">
        <f>IF($J477="","",0)</f>
        <v/>
      </c>
      <c r="G477">
        <f>IF($J477="","",SUMIFS('Hours Log'!$E:$E,'Hours Log'!$A:$A,"&gt;="&amp;$J477,'Hours Log'!$A:$A,"&lt;"&amp;$J477+7))</f>
        <v/>
      </c>
      <c r="J477">
        <f>IF(COUNT('Hours Log'!$A$4:$A$5000)=0,"",IF(MIN('Hours Log'!$A$4:$A$5000)+7*(ROW()-10)&gt;MAX('Hours Log'!$A$4:$A$5000),"",MIN('Hours Log'!$A$4:$A$5000)+7*(ROW()-10)))</f>
        <v/>
      </c>
    </row>
    <row r="478">
      <c r="A478">
        <f>IF($J478="","",YEAR($J478-WEEKDAY($J478,2)+4)&amp;"-W"&amp;TEXT(WEEKNUM($J478,21),"00"))</f>
        <v/>
      </c>
      <c r="B478" s="41">
        <f>IF($J478="","",COUNTIFS(Roster!$D$4:$D$500,"Active",Roster!$C$4:$C$500,"&lt;="&amp;$J478))</f>
        <v/>
      </c>
      <c r="C478">
        <f>IF($J478="","",SUMIFS('Hours Log'!$C:$C,'Hours Log'!$A:$A,"&gt;="&amp;$J478,'Hours Log'!$A:$A,"&lt;"&amp;$J478+7)+SUMIFS('Hours Log'!$D:$D,'Hours Log'!$A:$A,"&gt;="&amp;$J478,'Hours Log'!$A:$A,"&lt;"&amp;$J478+7))</f>
        <v/>
      </c>
      <c r="D478">
        <f>IF($J478="","",SUMIFS('Hours Log'!$D:$D,'Hours Log'!$A:$A,"&gt;="&amp;$J478,'Hours Log'!$A:$A,"&lt;"&amp;$J478+7))</f>
        <v/>
      </c>
      <c r="E478">
        <f>IF($J478="","",IFERROR(C478/(B478*40),0))</f>
        <v/>
      </c>
      <c r="F478">
        <f>IF($J478="","",0)</f>
        <v/>
      </c>
      <c r="G478">
        <f>IF($J478="","",SUMIFS('Hours Log'!$E:$E,'Hours Log'!$A:$A,"&gt;="&amp;$J478,'Hours Log'!$A:$A,"&lt;"&amp;$J478+7))</f>
        <v/>
      </c>
      <c r="J478">
        <f>IF(COUNT('Hours Log'!$A$4:$A$5000)=0,"",IF(MIN('Hours Log'!$A$4:$A$5000)+7*(ROW()-10)&gt;MAX('Hours Log'!$A$4:$A$5000),"",MIN('Hours Log'!$A$4:$A$5000)+7*(ROW()-10)))</f>
        <v/>
      </c>
    </row>
    <row r="479">
      <c r="A479">
        <f>IF($J479="","",YEAR($J479-WEEKDAY($J479,2)+4)&amp;"-W"&amp;TEXT(WEEKNUM($J479,21),"00"))</f>
        <v/>
      </c>
      <c r="B479" s="41">
        <f>IF($J479="","",COUNTIFS(Roster!$D$4:$D$500,"Active",Roster!$C$4:$C$500,"&lt;="&amp;$J479))</f>
        <v/>
      </c>
      <c r="C479">
        <f>IF($J479="","",SUMIFS('Hours Log'!$C:$C,'Hours Log'!$A:$A,"&gt;="&amp;$J479,'Hours Log'!$A:$A,"&lt;"&amp;$J479+7)+SUMIFS('Hours Log'!$D:$D,'Hours Log'!$A:$A,"&gt;="&amp;$J479,'Hours Log'!$A:$A,"&lt;"&amp;$J479+7))</f>
        <v/>
      </c>
      <c r="D479">
        <f>IF($J479="","",SUMIFS('Hours Log'!$D:$D,'Hours Log'!$A:$A,"&gt;="&amp;$J479,'Hours Log'!$A:$A,"&lt;"&amp;$J479+7))</f>
        <v/>
      </c>
      <c r="E479">
        <f>IF($J479="","",IFERROR(C479/(B479*40),0))</f>
        <v/>
      </c>
      <c r="F479">
        <f>IF($J479="","",0)</f>
        <v/>
      </c>
      <c r="G479">
        <f>IF($J479="","",SUMIFS('Hours Log'!$E:$E,'Hours Log'!$A:$A,"&gt;="&amp;$J479,'Hours Log'!$A:$A,"&lt;"&amp;$J479+7))</f>
        <v/>
      </c>
      <c r="J479">
        <f>IF(COUNT('Hours Log'!$A$4:$A$5000)=0,"",IF(MIN('Hours Log'!$A$4:$A$5000)+7*(ROW()-10)&gt;MAX('Hours Log'!$A$4:$A$5000),"",MIN('Hours Log'!$A$4:$A$5000)+7*(ROW()-10)))</f>
        <v/>
      </c>
    </row>
    <row r="480">
      <c r="A480">
        <f>IF($J480="","",YEAR($J480-WEEKDAY($J480,2)+4)&amp;"-W"&amp;TEXT(WEEKNUM($J480,21),"00"))</f>
        <v/>
      </c>
      <c r="B480" s="41">
        <f>IF($J480="","",COUNTIFS(Roster!$D$4:$D$500,"Active",Roster!$C$4:$C$500,"&lt;="&amp;$J480))</f>
        <v/>
      </c>
      <c r="C480">
        <f>IF($J480="","",SUMIFS('Hours Log'!$C:$C,'Hours Log'!$A:$A,"&gt;="&amp;$J480,'Hours Log'!$A:$A,"&lt;"&amp;$J480+7)+SUMIFS('Hours Log'!$D:$D,'Hours Log'!$A:$A,"&gt;="&amp;$J480,'Hours Log'!$A:$A,"&lt;"&amp;$J480+7))</f>
        <v/>
      </c>
      <c r="D480">
        <f>IF($J480="","",SUMIFS('Hours Log'!$D:$D,'Hours Log'!$A:$A,"&gt;="&amp;$J480,'Hours Log'!$A:$A,"&lt;"&amp;$J480+7))</f>
        <v/>
      </c>
      <c r="E480">
        <f>IF($J480="","",IFERROR(C480/(B480*40),0))</f>
        <v/>
      </c>
      <c r="F480">
        <f>IF($J480="","",0)</f>
        <v/>
      </c>
      <c r="G480">
        <f>IF($J480="","",SUMIFS('Hours Log'!$E:$E,'Hours Log'!$A:$A,"&gt;="&amp;$J480,'Hours Log'!$A:$A,"&lt;"&amp;$J480+7))</f>
        <v/>
      </c>
      <c r="J480">
        <f>IF(COUNT('Hours Log'!$A$4:$A$5000)=0,"",IF(MIN('Hours Log'!$A$4:$A$5000)+7*(ROW()-10)&gt;MAX('Hours Log'!$A$4:$A$5000),"",MIN('Hours Log'!$A$4:$A$5000)+7*(ROW()-10)))</f>
        <v/>
      </c>
    </row>
    <row r="481">
      <c r="A481">
        <f>IF($J481="","",YEAR($J481-WEEKDAY($J481,2)+4)&amp;"-W"&amp;TEXT(WEEKNUM($J481,21),"00"))</f>
        <v/>
      </c>
      <c r="B481" s="41">
        <f>IF($J481="","",COUNTIFS(Roster!$D$4:$D$500,"Active",Roster!$C$4:$C$500,"&lt;="&amp;$J481))</f>
        <v/>
      </c>
      <c r="C481">
        <f>IF($J481="","",SUMIFS('Hours Log'!$C:$C,'Hours Log'!$A:$A,"&gt;="&amp;$J481,'Hours Log'!$A:$A,"&lt;"&amp;$J481+7)+SUMIFS('Hours Log'!$D:$D,'Hours Log'!$A:$A,"&gt;="&amp;$J481,'Hours Log'!$A:$A,"&lt;"&amp;$J481+7))</f>
        <v/>
      </c>
      <c r="D481">
        <f>IF($J481="","",SUMIFS('Hours Log'!$D:$D,'Hours Log'!$A:$A,"&gt;="&amp;$J481,'Hours Log'!$A:$A,"&lt;"&amp;$J481+7))</f>
        <v/>
      </c>
      <c r="E481">
        <f>IF($J481="","",IFERROR(C481/(B481*40),0))</f>
        <v/>
      </c>
      <c r="F481">
        <f>IF($J481="","",0)</f>
        <v/>
      </c>
      <c r="G481">
        <f>IF($J481="","",SUMIFS('Hours Log'!$E:$E,'Hours Log'!$A:$A,"&gt;="&amp;$J481,'Hours Log'!$A:$A,"&lt;"&amp;$J481+7))</f>
        <v/>
      </c>
      <c r="J481">
        <f>IF(COUNT('Hours Log'!$A$4:$A$5000)=0,"",IF(MIN('Hours Log'!$A$4:$A$5000)+7*(ROW()-10)&gt;MAX('Hours Log'!$A$4:$A$5000),"",MIN('Hours Log'!$A$4:$A$5000)+7*(ROW()-10)))</f>
        <v/>
      </c>
    </row>
    <row r="482">
      <c r="A482">
        <f>IF($J482="","",YEAR($J482-WEEKDAY($J482,2)+4)&amp;"-W"&amp;TEXT(WEEKNUM($J482,21),"00"))</f>
        <v/>
      </c>
      <c r="B482" s="41">
        <f>IF($J482="","",COUNTIFS(Roster!$D$4:$D$500,"Active",Roster!$C$4:$C$500,"&lt;="&amp;$J482))</f>
        <v/>
      </c>
      <c r="C482">
        <f>IF($J482="","",SUMIFS('Hours Log'!$C:$C,'Hours Log'!$A:$A,"&gt;="&amp;$J482,'Hours Log'!$A:$A,"&lt;"&amp;$J482+7)+SUMIFS('Hours Log'!$D:$D,'Hours Log'!$A:$A,"&gt;="&amp;$J482,'Hours Log'!$A:$A,"&lt;"&amp;$J482+7))</f>
        <v/>
      </c>
      <c r="D482">
        <f>IF($J482="","",SUMIFS('Hours Log'!$D:$D,'Hours Log'!$A:$A,"&gt;="&amp;$J482,'Hours Log'!$A:$A,"&lt;"&amp;$J482+7))</f>
        <v/>
      </c>
      <c r="E482">
        <f>IF($J482="","",IFERROR(C482/(B482*40),0))</f>
        <v/>
      </c>
      <c r="F482">
        <f>IF($J482="","",0)</f>
        <v/>
      </c>
      <c r="G482">
        <f>IF($J482="","",SUMIFS('Hours Log'!$E:$E,'Hours Log'!$A:$A,"&gt;="&amp;$J482,'Hours Log'!$A:$A,"&lt;"&amp;$J482+7))</f>
        <v/>
      </c>
      <c r="J482">
        <f>IF(COUNT('Hours Log'!$A$4:$A$5000)=0,"",IF(MIN('Hours Log'!$A$4:$A$5000)+7*(ROW()-10)&gt;MAX('Hours Log'!$A$4:$A$5000),"",MIN('Hours Log'!$A$4:$A$5000)+7*(ROW()-10)))</f>
        <v/>
      </c>
    </row>
    <row r="483">
      <c r="A483">
        <f>IF($J483="","",YEAR($J483-WEEKDAY($J483,2)+4)&amp;"-W"&amp;TEXT(WEEKNUM($J483,21),"00"))</f>
        <v/>
      </c>
      <c r="B483" s="41">
        <f>IF($J483="","",COUNTIFS(Roster!$D$4:$D$500,"Active",Roster!$C$4:$C$500,"&lt;="&amp;$J483))</f>
        <v/>
      </c>
      <c r="C483">
        <f>IF($J483="","",SUMIFS('Hours Log'!$C:$C,'Hours Log'!$A:$A,"&gt;="&amp;$J483,'Hours Log'!$A:$A,"&lt;"&amp;$J483+7)+SUMIFS('Hours Log'!$D:$D,'Hours Log'!$A:$A,"&gt;="&amp;$J483,'Hours Log'!$A:$A,"&lt;"&amp;$J483+7))</f>
        <v/>
      </c>
      <c r="D483">
        <f>IF($J483="","",SUMIFS('Hours Log'!$D:$D,'Hours Log'!$A:$A,"&gt;="&amp;$J483,'Hours Log'!$A:$A,"&lt;"&amp;$J483+7))</f>
        <v/>
      </c>
      <c r="E483">
        <f>IF($J483="","",IFERROR(C483/(B483*40),0))</f>
        <v/>
      </c>
      <c r="F483">
        <f>IF($J483="","",0)</f>
        <v/>
      </c>
      <c r="G483">
        <f>IF($J483="","",SUMIFS('Hours Log'!$E:$E,'Hours Log'!$A:$A,"&gt;="&amp;$J483,'Hours Log'!$A:$A,"&lt;"&amp;$J483+7))</f>
        <v/>
      </c>
      <c r="J483">
        <f>IF(COUNT('Hours Log'!$A$4:$A$5000)=0,"",IF(MIN('Hours Log'!$A$4:$A$5000)+7*(ROW()-10)&gt;MAX('Hours Log'!$A$4:$A$5000),"",MIN('Hours Log'!$A$4:$A$5000)+7*(ROW()-10)))</f>
        <v/>
      </c>
    </row>
    <row r="484">
      <c r="A484">
        <f>IF($J484="","",YEAR($J484-WEEKDAY($J484,2)+4)&amp;"-W"&amp;TEXT(WEEKNUM($J484,21),"00"))</f>
        <v/>
      </c>
      <c r="B484" s="41">
        <f>IF($J484="","",COUNTIFS(Roster!$D$4:$D$500,"Active",Roster!$C$4:$C$500,"&lt;="&amp;$J484))</f>
        <v/>
      </c>
      <c r="C484">
        <f>IF($J484="","",SUMIFS('Hours Log'!$C:$C,'Hours Log'!$A:$A,"&gt;="&amp;$J484,'Hours Log'!$A:$A,"&lt;"&amp;$J484+7)+SUMIFS('Hours Log'!$D:$D,'Hours Log'!$A:$A,"&gt;="&amp;$J484,'Hours Log'!$A:$A,"&lt;"&amp;$J484+7))</f>
        <v/>
      </c>
      <c r="D484">
        <f>IF($J484="","",SUMIFS('Hours Log'!$D:$D,'Hours Log'!$A:$A,"&gt;="&amp;$J484,'Hours Log'!$A:$A,"&lt;"&amp;$J484+7))</f>
        <v/>
      </c>
      <c r="E484">
        <f>IF($J484="","",IFERROR(C484/(B484*40),0))</f>
        <v/>
      </c>
      <c r="F484">
        <f>IF($J484="","",0)</f>
        <v/>
      </c>
      <c r="G484">
        <f>IF($J484="","",SUMIFS('Hours Log'!$E:$E,'Hours Log'!$A:$A,"&gt;="&amp;$J484,'Hours Log'!$A:$A,"&lt;"&amp;$J484+7))</f>
        <v/>
      </c>
      <c r="J484">
        <f>IF(COUNT('Hours Log'!$A$4:$A$5000)=0,"",IF(MIN('Hours Log'!$A$4:$A$5000)+7*(ROW()-10)&gt;MAX('Hours Log'!$A$4:$A$5000),"",MIN('Hours Log'!$A$4:$A$5000)+7*(ROW()-10)))</f>
        <v/>
      </c>
    </row>
    <row r="485">
      <c r="A485">
        <f>IF($J485="","",YEAR($J485-WEEKDAY($J485,2)+4)&amp;"-W"&amp;TEXT(WEEKNUM($J485,21),"00"))</f>
        <v/>
      </c>
      <c r="B485" s="41">
        <f>IF($J485="","",COUNTIFS(Roster!$D$4:$D$500,"Active",Roster!$C$4:$C$500,"&lt;="&amp;$J485))</f>
        <v/>
      </c>
      <c r="C485">
        <f>IF($J485="","",SUMIFS('Hours Log'!$C:$C,'Hours Log'!$A:$A,"&gt;="&amp;$J485,'Hours Log'!$A:$A,"&lt;"&amp;$J485+7)+SUMIFS('Hours Log'!$D:$D,'Hours Log'!$A:$A,"&gt;="&amp;$J485,'Hours Log'!$A:$A,"&lt;"&amp;$J485+7))</f>
        <v/>
      </c>
      <c r="D485">
        <f>IF($J485="","",SUMIFS('Hours Log'!$D:$D,'Hours Log'!$A:$A,"&gt;="&amp;$J485,'Hours Log'!$A:$A,"&lt;"&amp;$J485+7))</f>
        <v/>
      </c>
      <c r="E485">
        <f>IF($J485="","",IFERROR(C485/(B485*40),0))</f>
        <v/>
      </c>
      <c r="F485">
        <f>IF($J485="","",0)</f>
        <v/>
      </c>
      <c r="G485">
        <f>IF($J485="","",SUMIFS('Hours Log'!$E:$E,'Hours Log'!$A:$A,"&gt;="&amp;$J485,'Hours Log'!$A:$A,"&lt;"&amp;$J485+7))</f>
        <v/>
      </c>
      <c r="J485">
        <f>IF(COUNT('Hours Log'!$A$4:$A$5000)=0,"",IF(MIN('Hours Log'!$A$4:$A$5000)+7*(ROW()-10)&gt;MAX('Hours Log'!$A$4:$A$5000),"",MIN('Hours Log'!$A$4:$A$5000)+7*(ROW()-10)))</f>
        <v/>
      </c>
    </row>
    <row r="486">
      <c r="A486">
        <f>IF($J486="","",YEAR($J486-WEEKDAY($J486,2)+4)&amp;"-W"&amp;TEXT(WEEKNUM($J486,21),"00"))</f>
        <v/>
      </c>
      <c r="B486" s="41">
        <f>IF($J486="","",COUNTIFS(Roster!$D$4:$D$500,"Active",Roster!$C$4:$C$500,"&lt;="&amp;$J486))</f>
        <v/>
      </c>
      <c r="C486">
        <f>IF($J486="","",SUMIFS('Hours Log'!$C:$C,'Hours Log'!$A:$A,"&gt;="&amp;$J486,'Hours Log'!$A:$A,"&lt;"&amp;$J486+7)+SUMIFS('Hours Log'!$D:$D,'Hours Log'!$A:$A,"&gt;="&amp;$J486,'Hours Log'!$A:$A,"&lt;"&amp;$J486+7))</f>
        <v/>
      </c>
      <c r="D486">
        <f>IF($J486="","",SUMIFS('Hours Log'!$D:$D,'Hours Log'!$A:$A,"&gt;="&amp;$J486,'Hours Log'!$A:$A,"&lt;"&amp;$J486+7))</f>
        <v/>
      </c>
      <c r="E486">
        <f>IF($J486="","",IFERROR(C486/(B486*40),0))</f>
        <v/>
      </c>
      <c r="F486">
        <f>IF($J486="","",0)</f>
        <v/>
      </c>
      <c r="G486">
        <f>IF($J486="","",SUMIFS('Hours Log'!$E:$E,'Hours Log'!$A:$A,"&gt;="&amp;$J486,'Hours Log'!$A:$A,"&lt;"&amp;$J486+7))</f>
        <v/>
      </c>
      <c r="J486">
        <f>IF(COUNT('Hours Log'!$A$4:$A$5000)=0,"",IF(MIN('Hours Log'!$A$4:$A$5000)+7*(ROW()-10)&gt;MAX('Hours Log'!$A$4:$A$5000),"",MIN('Hours Log'!$A$4:$A$5000)+7*(ROW()-10)))</f>
        <v/>
      </c>
    </row>
    <row r="487">
      <c r="A487">
        <f>IF($J487="","",YEAR($J487-WEEKDAY($J487,2)+4)&amp;"-W"&amp;TEXT(WEEKNUM($J487,21),"00"))</f>
        <v/>
      </c>
      <c r="B487" s="41">
        <f>IF($J487="","",COUNTIFS(Roster!$D$4:$D$500,"Active",Roster!$C$4:$C$500,"&lt;="&amp;$J487))</f>
        <v/>
      </c>
      <c r="C487">
        <f>IF($J487="","",SUMIFS('Hours Log'!$C:$C,'Hours Log'!$A:$A,"&gt;="&amp;$J487,'Hours Log'!$A:$A,"&lt;"&amp;$J487+7)+SUMIFS('Hours Log'!$D:$D,'Hours Log'!$A:$A,"&gt;="&amp;$J487,'Hours Log'!$A:$A,"&lt;"&amp;$J487+7))</f>
        <v/>
      </c>
      <c r="D487">
        <f>IF($J487="","",SUMIFS('Hours Log'!$D:$D,'Hours Log'!$A:$A,"&gt;="&amp;$J487,'Hours Log'!$A:$A,"&lt;"&amp;$J487+7))</f>
        <v/>
      </c>
      <c r="E487">
        <f>IF($J487="","",IFERROR(C487/(B487*40),0))</f>
        <v/>
      </c>
      <c r="F487">
        <f>IF($J487="","",0)</f>
        <v/>
      </c>
      <c r="G487">
        <f>IF($J487="","",SUMIFS('Hours Log'!$E:$E,'Hours Log'!$A:$A,"&gt;="&amp;$J487,'Hours Log'!$A:$A,"&lt;"&amp;$J487+7))</f>
        <v/>
      </c>
      <c r="J487">
        <f>IF(COUNT('Hours Log'!$A$4:$A$5000)=0,"",IF(MIN('Hours Log'!$A$4:$A$5000)+7*(ROW()-10)&gt;MAX('Hours Log'!$A$4:$A$5000),"",MIN('Hours Log'!$A$4:$A$5000)+7*(ROW()-10)))</f>
        <v/>
      </c>
    </row>
    <row r="488">
      <c r="A488">
        <f>IF($J488="","",YEAR($J488-WEEKDAY($J488,2)+4)&amp;"-W"&amp;TEXT(WEEKNUM($J488,21),"00"))</f>
        <v/>
      </c>
      <c r="B488" s="41">
        <f>IF($J488="","",COUNTIFS(Roster!$D$4:$D$500,"Active",Roster!$C$4:$C$500,"&lt;="&amp;$J488))</f>
        <v/>
      </c>
      <c r="C488">
        <f>IF($J488="","",SUMIFS('Hours Log'!$C:$C,'Hours Log'!$A:$A,"&gt;="&amp;$J488,'Hours Log'!$A:$A,"&lt;"&amp;$J488+7)+SUMIFS('Hours Log'!$D:$D,'Hours Log'!$A:$A,"&gt;="&amp;$J488,'Hours Log'!$A:$A,"&lt;"&amp;$J488+7))</f>
        <v/>
      </c>
      <c r="D488">
        <f>IF($J488="","",SUMIFS('Hours Log'!$D:$D,'Hours Log'!$A:$A,"&gt;="&amp;$J488,'Hours Log'!$A:$A,"&lt;"&amp;$J488+7))</f>
        <v/>
      </c>
      <c r="E488">
        <f>IF($J488="","",IFERROR(C488/(B488*40),0))</f>
        <v/>
      </c>
      <c r="F488">
        <f>IF($J488="","",0)</f>
        <v/>
      </c>
      <c r="G488">
        <f>IF($J488="","",SUMIFS('Hours Log'!$E:$E,'Hours Log'!$A:$A,"&gt;="&amp;$J488,'Hours Log'!$A:$A,"&lt;"&amp;$J488+7))</f>
        <v/>
      </c>
      <c r="J488">
        <f>IF(COUNT('Hours Log'!$A$4:$A$5000)=0,"",IF(MIN('Hours Log'!$A$4:$A$5000)+7*(ROW()-10)&gt;MAX('Hours Log'!$A$4:$A$5000),"",MIN('Hours Log'!$A$4:$A$5000)+7*(ROW()-10)))</f>
        <v/>
      </c>
    </row>
    <row r="489">
      <c r="A489">
        <f>IF($J489="","",YEAR($J489-WEEKDAY($J489,2)+4)&amp;"-W"&amp;TEXT(WEEKNUM($J489,21),"00"))</f>
        <v/>
      </c>
      <c r="B489" s="41">
        <f>IF($J489="","",COUNTIFS(Roster!$D$4:$D$500,"Active",Roster!$C$4:$C$500,"&lt;="&amp;$J489))</f>
        <v/>
      </c>
      <c r="C489">
        <f>IF($J489="","",SUMIFS('Hours Log'!$C:$C,'Hours Log'!$A:$A,"&gt;="&amp;$J489,'Hours Log'!$A:$A,"&lt;"&amp;$J489+7)+SUMIFS('Hours Log'!$D:$D,'Hours Log'!$A:$A,"&gt;="&amp;$J489,'Hours Log'!$A:$A,"&lt;"&amp;$J489+7))</f>
        <v/>
      </c>
      <c r="D489">
        <f>IF($J489="","",SUMIFS('Hours Log'!$D:$D,'Hours Log'!$A:$A,"&gt;="&amp;$J489,'Hours Log'!$A:$A,"&lt;"&amp;$J489+7))</f>
        <v/>
      </c>
      <c r="E489">
        <f>IF($J489="","",IFERROR(C489/(B489*40),0))</f>
        <v/>
      </c>
      <c r="F489">
        <f>IF($J489="","",0)</f>
        <v/>
      </c>
      <c r="G489">
        <f>IF($J489="","",SUMIFS('Hours Log'!$E:$E,'Hours Log'!$A:$A,"&gt;="&amp;$J489,'Hours Log'!$A:$A,"&lt;"&amp;$J489+7))</f>
        <v/>
      </c>
      <c r="J489">
        <f>IF(COUNT('Hours Log'!$A$4:$A$5000)=0,"",IF(MIN('Hours Log'!$A$4:$A$5000)+7*(ROW()-10)&gt;MAX('Hours Log'!$A$4:$A$5000),"",MIN('Hours Log'!$A$4:$A$5000)+7*(ROW()-10)))</f>
        <v/>
      </c>
    </row>
    <row r="490">
      <c r="A490">
        <f>IF($J490="","",YEAR($J490-WEEKDAY($J490,2)+4)&amp;"-W"&amp;TEXT(WEEKNUM($J490,21),"00"))</f>
        <v/>
      </c>
      <c r="B490" s="41">
        <f>IF($J490="","",COUNTIFS(Roster!$D$4:$D$500,"Active",Roster!$C$4:$C$500,"&lt;="&amp;$J490))</f>
        <v/>
      </c>
      <c r="C490">
        <f>IF($J490="","",SUMIFS('Hours Log'!$C:$C,'Hours Log'!$A:$A,"&gt;="&amp;$J490,'Hours Log'!$A:$A,"&lt;"&amp;$J490+7)+SUMIFS('Hours Log'!$D:$D,'Hours Log'!$A:$A,"&gt;="&amp;$J490,'Hours Log'!$A:$A,"&lt;"&amp;$J490+7))</f>
        <v/>
      </c>
      <c r="D490">
        <f>IF($J490="","",SUMIFS('Hours Log'!$D:$D,'Hours Log'!$A:$A,"&gt;="&amp;$J490,'Hours Log'!$A:$A,"&lt;"&amp;$J490+7))</f>
        <v/>
      </c>
      <c r="E490">
        <f>IF($J490="","",IFERROR(C490/(B490*40),0))</f>
        <v/>
      </c>
      <c r="F490">
        <f>IF($J490="","",0)</f>
        <v/>
      </c>
      <c r="G490">
        <f>IF($J490="","",SUMIFS('Hours Log'!$E:$E,'Hours Log'!$A:$A,"&gt;="&amp;$J490,'Hours Log'!$A:$A,"&lt;"&amp;$J490+7))</f>
        <v/>
      </c>
      <c r="J490">
        <f>IF(COUNT('Hours Log'!$A$4:$A$5000)=0,"",IF(MIN('Hours Log'!$A$4:$A$5000)+7*(ROW()-10)&gt;MAX('Hours Log'!$A$4:$A$5000),"",MIN('Hours Log'!$A$4:$A$5000)+7*(ROW()-10)))</f>
        <v/>
      </c>
    </row>
    <row r="491">
      <c r="A491">
        <f>IF($J491="","",YEAR($J491-WEEKDAY($J491,2)+4)&amp;"-W"&amp;TEXT(WEEKNUM($J491,21),"00"))</f>
        <v/>
      </c>
      <c r="B491" s="41">
        <f>IF($J491="","",COUNTIFS(Roster!$D$4:$D$500,"Active",Roster!$C$4:$C$500,"&lt;="&amp;$J491))</f>
        <v/>
      </c>
      <c r="C491">
        <f>IF($J491="","",SUMIFS('Hours Log'!$C:$C,'Hours Log'!$A:$A,"&gt;="&amp;$J491,'Hours Log'!$A:$A,"&lt;"&amp;$J491+7)+SUMIFS('Hours Log'!$D:$D,'Hours Log'!$A:$A,"&gt;="&amp;$J491,'Hours Log'!$A:$A,"&lt;"&amp;$J491+7))</f>
        <v/>
      </c>
      <c r="D491">
        <f>IF($J491="","",SUMIFS('Hours Log'!$D:$D,'Hours Log'!$A:$A,"&gt;="&amp;$J491,'Hours Log'!$A:$A,"&lt;"&amp;$J491+7))</f>
        <v/>
      </c>
      <c r="E491">
        <f>IF($J491="","",IFERROR(C491/(B491*40),0))</f>
        <v/>
      </c>
      <c r="F491">
        <f>IF($J491="","",0)</f>
        <v/>
      </c>
      <c r="G491">
        <f>IF($J491="","",SUMIFS('Hours Log'!$E:$E,'Hours Log'!$A:$A,"&gt;="&amp;$J491,'Hours Log'!$A:$A,"&lt;"&amp;$J491+7))</f>
        <v/>
      </c>
      <c r="J491">
        <f>IF(COUNT('Hours Log'!$A$4:$A$5000)=0,"",IF(MIN('Hours Log'!$A$4:$A$5000)+7*(ROW()-10)&gt;MAX('Hours Log'!$A$4:$A$5000),"",MIN('Hours Log'!$A$4:$A$5000)+7*(ROW()-10)))</f>
        <v/>
      </c>
    </row>
    <row r="492">
      <c r="A492">
        <f>IF($J492="","",YEAR($J492-WEEKDAY($J492,2)+4)&amp;"-W"&amp;TEXT(WEEKNUM($J492,21),"00"))</f>
        <v/>
      </c>
      <c r="B492" s="41">
        <f>IF($J492="","",COUNTIFS(Roster!$D$4:$D$500,"Active",Roster!$C$4:$C$500,"&lt;="&amp;$J492))</f>
        <v/>
      </c>
      <c r="C492">
        <f>IF($J492="","",SUMIFS('Hours Log'!$C:$C,'Hours Log'!$A:$A,"&gt;="&amp;$J492,'Hours Log'!$A:$A,"&lt;"&amp;$J492+7)+SUMIFS('Hours Log'!$D:$D,'Hours Log'!$A:$A,"&gt;="&amp;$J492,'Hours Log'!$A:$A,"&lt;"&amp;$J492+7))</f>
        <v/>
      </c>
      <c r="D492">
        <f>IF($J492="","",SUMIFS('Hours Log'!$D:$D,'Hours Log'!$A:$A,"&gt;="&amp;$J492,'Hours Log'!$A:$A,"&lt;"&amp;$J492+7))</f>
        <v/>
      </c>
      <c r="E492">
        <f>IF($J492="","",IFERROR(C492/(B492*40),0))</f>
        <v/>
      </c>
      <c r="F492">
        <f>IF($J492="","",0)</f>
        <v/>
      </c>
      <c r="G492">
        <f>IF($J492="","",SUMIFS('Hours Log'!$E:$E,'Hours Log'!$A:$A,"&gt;="&amp;$J492,'Hours Log'!$A:$A,"&lt;"&amp;$J492+7))</f>
        <v/>
      </c>
      <c r="J492">
        <f>IF(COUNT('Hours Log'!$A$4:$A$5000)=0,"",IF(MIN('Hours Log'!$A$4:$A$5000)+7*(ROW()-10)&gt;MAX('Hours Log'!$A$4:$A$5000),"",MIN('Hours Log'!$A$4:$A$5000)+7*(ROW()-10)))</f>
        <v/>
      </c>
    </row>
    <row r="493">
      <c r="A493">
        <f>IF($J493="","",YEAR($J493-WEEKDAY($J493,2)+4)&amp;"-W"&amp;TEXT(WEEKNUM($J493,21),"00"))</f>
        <v/>
      </c>
      <c r="B493" s="41">
        <f>IF($J493="","",COUNTIFS(Roster!$D$4:$D$500,"Active",Roster!$C$4:$C$500,"&lt;="&amp;$J493))</f>
        <v/>
      </c>
      <c r="C493">
        <f>IF($J493="","",SUMIFS('Hours Log'!$C:$C,'Hours Log'!$A:$A,"&gt;="&amp;$J493,'Hours Log'!$A:$A,"&lt;"&amp;$J493+7)+SUMIFS('Hours Log'!$D:$D,'Hours Log'!$A:$A,"&gt;="&amp;$J493,'Hours Log'!$A:$A,"&lt;"&amp;$J493+7))</f>
        <v/>
      </c>
      <c r="D493">
        <f>IF($J493="","",SUMIFS('Hours Log'!$D:$D,'Hours Log'!$A:$A,"&gt;="&amp;$J493,'Hours Log'!$A:$A,"&lt;"&amp;$J493+7))</f>
        <v/>
      </c>
      <c r="E493">
        <f>IF($J493="","",IFERROR(C493/(B493*40),0))</f>
        <v/>
      </c>
      <c r="F493">
        <f>IF($J493="","",0)</f>
        <v/>
      </c>
      <c r="G493">
        <f>IF($J493="","",SUMIFS('Hours Log'!$E:$E,'Hours Log'!$A:$A,"&gt;="&amp;$J493,'Hours Log'!$A:$A,"&lt;"&amp;$J493+7))</f>
        <v/>
      </c>
      <c r="J493">
        <f>IF(COUNT('Hours Log'!$A$4:$A$5000)=0,"",IF(MIN('Hours Log'!$A$4:$A$5000)+7*(ROW()-10)&gt;MAX('Hours Log'!$A$4:$A$5000),"",MIN('Hours Log'!$A$4:$A$5000)+7*(ROW()-10)))</f>
        <v/>
      </c>
    </row>
    <row r="494">
      <c r="A494">
        <f>IF($J494="","",YEAR($J494-WEEKDAY($J494,2)+4)&amp;"-W"&amp;TEXT(WEEKNUM($J494,21),"00"))</f>
        <v/>
      </c>
      <c r="B494" s="41">
        <f>IF($J494="","",COUNTIFS(Roster!$D$4:$D$500,"Active",Roster!$C$4:$C$500,"&lt;="&amp;$J494))</f>
        <v/>
      </c>
      <c r="C494">
        <f>IF($J494="","",SUMIFS('Hours Log'!$C:$C,'Hours Log'!$A:$A,"&gt;="&amp;$J494,'Hours Log'!$A:$A,"&lt;"&amp;$J494+7)+SUMIFS('Hours Log'!$D:$D,'Hours Log'!$A:$A,"&gt;="&amp;$J494,'Hours Log'!$A:$A,"&lt;"&amp;$J494+7))</f>
        <v/>
      </c>
      <c r="D494">
        <f>IF($J494="","",SUMIFS('Hours Log'!$D:$D,'Hours Log'!$A:$A,"&gt;="&amp;$J494,'Hours Log'!$A:$A,"&lt;"&amp;$J494+7))</f>
        <v/>
      </c>
      <c r="E494">
        <f>IF($J494="","",IFERROR(C494/(B494*40),0))</f>
        <v/>
      </c>
      <c r="F494">
        <f>IF($J494="","",0)</f>
        <v/>
      </c>
      <c r="G494">
        <f>IF($J494="","",SUMIFS('Hours Log'!$E:$E,'Hours Log'!$A:$A,"&gt;="&amp;$J494,'Hours Log'!$A:$A,"&lt;"&amp;$J494+7))</f>
        <v/>
      </c>
      <c r="J494">
        <f>IF(COUNT('Hours Log'!$A$4:$A$5000)=0,"",IF(MIN('Hours Log'!$A$4:$A$5000)+7*(ROW()-10)&gt;MAX('Hours Log'!$A$4:$A$5000),"",MIN('Hours Log'!$A$4:$A$5000)+7*(ROW()-10)))</f>
        <v/>
      </c>
    </row>
    <row r="495">
      <c r="A495">
        <f>IF($J495="","",YEAR($J495-WEEKDAY($J495,2)+4)&amp;"-W"&amp;TEXT(WEEKNUM($J495,21),"00"))</f>
        <v/>
      </c>
      <c r="B495" s="41">
        <f>IF($J495="","",COUNTIFS(Roster!$D$4:$D$500,"Active",Roster!$C$4:$C$500,"&lt;="&amp;$J495))</f>
        <v/>
      </c>
      <c r="C495">
        <f>IF($J495="","",SUMIFS('Hours Log'!$C:$C,'Hours Log'!$A:$A,"&gt;="&amp;$J495,'Hours Log'!$A:$A,"&lt;"&amp;$J495+7)+SUMIFS('Hours Log'!$D:$D,'Hours Log'!$A:$A,"&gt;="&amp;$J495,'Hours Log'!$A:$A,"&lt;"&amp;$J495+7))</f>
        <v/>
      </c>
      <c r="D495">
        <f>IF($J495="","",SUMIFS('Hours Log'!$D:$D,'Hours Log'!$A:$A,"&gt;="&amp;$J495,'Hours Log'!$A:$A,"&lt;"&amp;$J495+7))</f>
        <v/>
      </c>
      <c r="E495">
        <f>IF($J495="","",IFERROR(C495/(B495*40),0))</f>
        <v/>
      </c>
      <c r="F495">
        <f>IF($J495="","",0)</f>
        <v/>
      </c>
      <c r="G495">
        <f>IF($J495="","",SUMIFS('Hours Log'!$E:$E,'Hours Log'!$A:$A,"&gt;="&amp;$J495,'Hours Log'!$A:$A,"&lt;"&amp;$J495+7))</f>
        <v/>
      </c>
      <c r="J495">
        <f>IF(COUNT('Hours Log'!$A$4:$A$5000)=0,"",IF(MIN('Hours Log'!$A$4:$A$5000)+7*(ROW()-10)&gt;MAX('Hours Log'!$A$4:$A$5000),"",MIN('Hours Log'!$A$4:$A$5000)+7*(ROW()-10)))</f>
        <v/>
      </c>
    </row>
    <row r="496">
      <c r="A496">
        <f>IF($J496="","",YEAR($J496-WEEKDAY($J496,2)+4)&amp;"-W"&amp;TEXT(WEEKNUM($J496,21),"00"))</f>
        <v/>
      </c>
      <c r="B496" s="41">
        <f>IF($J496="","",COUNTIFS(Roster!$D$4:$D$500,"Active",Roster!$C$4:$C$500,"&lt;="&amp;$J496))</f>
        <v/>
      </c>
      <c r="C496">
        <f>IF($J496="","",SUMIFS('Hours Log'!$C:$C,'Hours Log'!$A:$A,"&gt;="&amp;$J496,'Hours Log'!$A:$A,"&lt;"&amp;$J496+7)+SUMIFS('Hours Log'!$D:$D,'Hours Log'!$A:$A,"&gt;="&amp;$J496,'Hours Log'!$A:$A,"&lt;"&amp;$J496+7))</f>
        <v/>
      </c>
      <c r="D496">
        <f>IF($J496="","",SUMIFS('Hours Log'!$D:$D,'Hours Log'!$A:$A,"&gt;="&amp;$J496,'Hours Log'!$A:$A,"&lt;"&amp;$J496+7))</f>
        <v/>
      </c>
      <c r="E496">
        <f>IF($J496="","",IFERROR(C496/(B496*40),0))</f>
        <v/>
      </c>
      <c r="F496">
        <f>IF($J496="","",0)</f>
        <v/>
      </c>
      <c r="G496">
        <f>IF($J496="","",SUMIFS('Hours Log'!$E:$E,'Hours Log'!$A:$A,"&gt;="&amp;$J496,'Hours Log'!$A:$A,"&lt;"&amp;$J496+7))</f>
        <v/>
      </c>
      <c r="J496">
        <f>IF(COUNT('Hours Log'!$A$4:$A$5000)=0,"",IF(MIN('Hours Log'!$A$4:$A$5000)+7*(ROW()-10)&gt;MAX('Hours Log'!$A$4:$A$5000),"",MIN('Hours Log'!$A$4:$A$5000)+7*(ROW()-10)))</f>
        <v/>
      </c>
    </row>
    <row r="497">
      <c r="A497">
        <f>IF($J497="","",YEAR($J497-WEEKDAY($J497,2)+4)&amp;"-W"&amp;TEXT(WEEKNUM($J497,21),"00"))</f>
        <v/>
      </c>
      <c r="B497" s="41">
        <f>IF($J497="","",COUNTIFS(Roster!$D$4:$D$500,"Active",Roster!$C$4:$C$500,"&lt;="&amp;$J497))</f>
        <v/>
      </c>
      <c r="C497">
        <f>IF($J497="","",SUMIFS('Hours Log'!$C:$C,'Hours Log'!$A:$A,"&gt;="&amp;$J497,'Hours Log'!$A:$A,"&lt;"&amp;$J497+7)+SUMIFS('Hours Log'!$D:$D,'Hours Log'!$A:$A,"&gt;="&amp;$J497,'Hours Log'!$A:$A,"&lt;"&amp;$J497+7))</f>
        <v/>
      </c>
      <c r="D497">
        <f>IF($J497="","",SUMIFS('Hours Log'!$D:$D,'Hours Log'!$A:$A,"&gt;="&amp;$J497,'Hours Log'!$A:$A,"&lt;"&amp;$J497+7))</f>
        <v/>
      </c>
      <c r="E497">
        <f>IF($J497="","",IFERROR(C497/(B497*40),0))</f>
        <v/>
      </c>
      <c r="F497">
        <f>IF($J497="","",0)</f>
        <v/>
      </c>
      <c r="G497">
        <f>IF($J497="","",SUMIFS('Hours Log'!$E:$E,'Hours Log'!$A:$A,"&gt;="&amp;$J497,'Hours Log'!$A:$A,"&lt;"&amp;$J497+7))</f>
        <v/>
      </c>
      <c r="J497">
        <f>IF(COUNT('Hours Log'!$A$4:$A$5000)=0,"",IF(MIN('Hours Log'!$A$4:$A$5000)+7*(ROW()-10)&gt;MAX('Hours Log'!$A$4:$A$5000),"",MIN('Hours Log'!$A$4:$A$5000)+7*(ROW()-10)))</f>
        <v/>
      </c>
    </row>
    <row r="498">
      <c r="A498">
        <f>IF($J498="","",YEAR($J498-WEEKDAY($J498,2)+4)&amp;"-W"&amp;TEXT(WEEKNUM($J498,21),"00"))</f>
        <v/>
      </c>
      <c r="B498" s="41">
        <f>IF($J498="","",COUNTIFS(Roster!$D$4:$D$500,"Active",Roster!$C$4:$C$500,"&lt;="&amp;$J498))</f>
        <v/>
      </c>
      <c r="C498">
        <f>IF($J498="","",SUMIFS('Hours Log'!$C:$C,'Hours Log'!$A:$A,"&gt;="&amp;$J498,'Hours Log'!$A:$A,"&lt;"&amp;$J498+7)+SUMIFS('Hours Log'!$D:$D,'Hours Log'!$A:$A,"&gt;="&amp;$J498,'Hours Log'!$A:$A,"&lt;"&amp;$J498+7))</f>
        <v/>
      </c>
      <c r="D498">
        <f>IF($J498="","",SUMIFS('Hours Log'!$D:$D,'Hours Log'!$A:$A,"&gt;="&amp;$J498,'Hours Log'!$A:$A,"&lt;"&amp;$J498+7))</f>
        <v/>
      </c>
      <c r="E498">
        <f>IF($J498="","",IFERROR(C498/(B498*40),0))</f>
        <v/>
      </c>
      <c r="F498">
        <f>IF($J498="","",0)</f>
        <v/>
      </c>
      <c r="G498">
        <f>IF($J498="","",SUMIFS('Hours Log'!$E:$E,'Hours Log'!$A:$A,"&gt;="&amp;$J498,'Hours Log'!$A:$A,"&lt;"&amp;$J498+7))</f>
        <v/>
      </c>
      <c r="J498">
        <f>IF(COUNT('Hours Log'!$A$4:$A$5000)=0,"",IF(MIN('Hours Log'!$A$4:$A$5000)+7*(ROW()-10)&gt;MAX('Hours Log'!$A$4:$A$5000),"",MIN('Hours Log'!$A$4:$A$5000)+7*(ROW()-10)))</f>
        <v/>
      </c>
    </row>
    <row r="499">
      <c r="A499">
        <f>IF($J499="","",YEAR($J499-WEEKDAY($J499,2)+4)&amp;"-W"&amp;TEXT(WEEKNUM($J499,21),"00"))</f>
        <v/>
      </c>
      <c r="B499" s="41">
        <f>IF($J499="","",COUNTIFS(Roster!$D$4:$D$500,"Active",Roster!$C$4:$C$500,"&lt;="&amp;$J499))</f>
        <v/>
      </c>
      <c r="C499">
        <f>IF($J499="","",SUMIFS('Hours Log'!$C:$C,'Hours Log'!$A:$A,"&gt;="&amp;$J499,'Hours Log'!$A:$A,"&lt;"&amp;$J499+7)+SUMIFS('Hours Log'!$D:$D,'Hours Log'!$A:$A,"&gt;="&amp;$J499,'Hours Log'!$A:$A,"&lt;"&amp;$J499+7))</f>
        <v/>
      </c>
      <c r="D499">
        <f>IF($J499="","",SUMIFS('Hours Log'!$D:$D,'Hours Log'!$A:$A,"&gt;="&amp;$J499,'Hours Log'!$A:$A,"&lt;"&amp;$J499+7))</f>
        <v/>
      </c>
      <c r="E499">
        <f>IF($J499="","",IFERROR(C499/(B499*40),0))</f>
        <v/>
      </c>
      <c r="F499">
        <f>IF($J499="","",0)</f>
        <v/>
      </c>
      <c r="G499">
        <f>IF($J499="","",SUMIFS('Hours Log'!$E:$E,'Hours Log'!$A:$A,"&gt;="&amp;$J499,'Hours Log'!$A:$A,"&lt;"&amp;$J499+7))</f>
        <v/>
      </c>
      <c r="J499">
        <f>IF(COUNT('Hours Log'!$A$4:$A$5000)=0,"",IF(MIN('Hours Log'!$A$4:$A$5000)+7*(ROW()-10)&gt;MAX('Hours Log'!$A$4:$A$5000),"",MIN('Hours Log'!$A$4:$A$5000)+7*(ROW()-10)))</f>
        <v/>
      </c>
    </row>
    <row r="500">
      <c r="A500">
        <f>IF($J500="","",YEAR($J500-WEEKDAY($J500,2)+4)&amp;"-W"&amp;TEXT(WEEKNUM($J500,21),"00"))</f>
        <v/>
      </c>
      <c r="B500" s="41">
        <f>IF($J500="","",COUNTIFS(Roster!$D$4:$D$500,"Active",Roster!$C$4:$C$500,"&lt;="&amp;$J500))</f>
        <v/>
      </c>
      <c r="C500">
        <f>IF($J500="","",SUMIFS('Hours Log'!$C:$C,'Hours Log'!$A:$A,"&gt;="&amp;$J500,'Hours Log'!$A:$A,"&lt;"&amp;$J500+7)+SUMIFS('Hours Log'!$D:$D,'Hours Log'!$A:$A,"&gt;="&amp;$J500,'Hours Log'!$A:$A,"&lt;"&amp;$J500+7))</f>
        <v/>
      </c>
      <c r="D500">
        <f>IF($J500="","",SUMIFS('Hours Log'!$D:$D,'Hours Log'!$A:$A,"&gt;="&amp;$J500,'Hours Log'!$A:$A,"&lt;"&amp;$J500+7))</f>
        <v/>
      </c>
      <c r="E500">
        <f>IF($J500="","",IFERROR(C500/(B500*40),0))</f>
        <v/>
      </c>
      <c r="F500">
        <f>IF($J500="","",0)</f>
        <v/>
      </c>
      <c r="G500">
        <f>IF($J500="","",SUMIFS('Hours Log'!$E:$E,'Hours Log'!$A:$A,"&gt;="&amp;$J500,'Hours Log'!$A:$A,"&lt;"&amp;$J500+7))</f>
        <v/>
      </c>
      <c r="J500">
        <f>IF(COUNT('Hours Log'!$A$4:$A$5000)=0,"",IF(MIN('Hours Log'!$A$4:$A$5000)+7*(ROW()-10)&gt;MAX('Hours Log'!$A$4:$A$5000),"",MIN('Hours Log'!$A$4:$A$5000)+7*(ROW()-10)))</f>
        <v/>
      </c>
    </row>
    <row r="501">
      <c r="A501">
        <f>IF($J501="","",YEAR($J501-WEEKDAY($J501,2)+4)&amp;"-W"&amp;TEXT(WEEKNUM($J501,21),"00"))</f>
        <v/>
      </c>
      <c r="B501" s="41">
        <f>IF($J501="","",COUNTIFS(Roster!$D$4:$D$500,"Active",Roster!$C$4:$C$500,"&lt;="&amp;$J501))</f>
        <v/>
      </c>
      <c r="C501">
        <f>IF($J501="","",SUMIFS('Hours Log'!$C:$C,'Hours Log'!$A:$A,"&gt;="&amp;$J501,'Hours Log'!$A:$A,"&lt;"&amp;$J501+7)+SUMIFS('Hours Log'!$D:$D,'Hours Log'!$A:$A,"&gt;="&amp;$J501,'Hours Log'!$A:$A,"&lt;"&amp;$J501+7))</f>
        <v/>
      </c>
      <c r="D501">
        <f>IF($J501="","",SUMIFS('Hours Log'!$D:$D,'Hours Log'!$A:$A,"&gt;="&amp;$J501,'Hours Log'!$A:$A,"&lt;"&amp;$J501+7))</f>
        <v/>
      </c>
      <c r="E501">
        <f>IF($J501="","",IFERROR(C501/(B501*40),0))</f>
        <v/>
      </c>
      <c r="F501">
        <f>IF($J501="","",0)</f>
        <v/>
      </c>
      <c r="G501">
        <f>IF($J501="","",SUMIFS('Hours Log'!$E:$E,'Hours Log'!$A:$A,"&gt;="&amp;$J501,'Hours Log'!$A:$A,"&lt;"&amp;$J501+7))</f>
        <v/>
      </c>
      <c r="J501">
        <f>IF(COUNT('Hours Log'!$A$4:$A$5000)=0,"",IF(MIN('Hours Log'!$A$4:$A$5000)+7*(ROW()-10)&gt;MAX('Hours Log'!$A$4:$A$5000),"",MIN('Hours Log'!$A$4:$A$5000)+7*(ROW()-10)))</f>
        <v/>
      </c>
    </row>
    <row r="502">
      <c r="A502">
        <f>IF($J502="","",YEAR($J502-WEEKDAY($J502,2)+4)&amp;"-W"&amp;TEXT(WEEKNUM($J502,21),"00"))</f>
        <v/>
      </c>
      <c r="B502" s="41">
        <f>IF($J502="","",COUNTIFS(Roster!$D$4:$D$500,"Active",Roster!$C$4:$C$500,"&lt;="&amp;$J502))</f>
        <v/>
      </c>
      <c r="C502">
        <f>IF($J502="","",SUMIFS('Hours Log'!$C:$C,'Hours Log'!$A:$A,"&gt;="&amp;$J502,'Hours Log'!$A:$A,"&lt;"&amp;$J502+7)+SUMIFS('Hours Log'!$D:$D,'Hours Log'!$A:$A,"&gt;="&amp;$J502,'Hours Log'!$A:$A,"&lt;"&amp;$J502+7))</f>
        <v/>
      </c>
      <c r="D502">
        <f>IF($J502="","",SUMIFS('Hours Log'!$D:$D,'Hours Log'!$A:$A,"&gt;="&amp;$J502,'Hours Log'!$A:$A,"&lt;"&amp;$J502+7))</f>
        <v/>
      </c>
      <c r="E502">
        <f>IF($J502="","",IFERROR(C502/(B502*40),0))</f>
        <v/>
      </c>
      <c r="F502">
        <f>IF($J502="","",0)</f>
        <v/>
      </c>
      <c r="G502">
        <f>IF($J502="","",SUMIFS('Hours Log'!$E:$E,'Hours Log'!$A:$A,"&gt;="&amp;$J502,'Hours Log'!$A:$A,"&lt;"&amp;$J502+7))</f>
        <v/>
      </c>
      <c r="J502">
        <f>IF(COUNT('Hours Log'!$A$4:$A$5000)=0,"",IF(MIN('Hours Log'!$A$4:$A$5000)+7*(ROW()-10)&gt;MAX('Hours Log'!$A$4:$A$5000),"",MIN('Hours Log'!$A$4:$A$5000)+7*(ROW()-10)))</f>
        <v/>
      </c>
    </row>
    <row r="503">
      <c r="A503">
        <f>IF($J503="","",YEAR($J503-WEEKDAY($J503,2)+4)&amp;"-W"&amp;TEXT(WEEKNUM($J503,21),"00"))</f>
        <v/>
      </c>
      <c r="B503" s="41">
        <f>IF($J503="","",COUNTIFS(Roster!$D$4:$D$500,"Active",Roster!$C$4:$C$500,"&lt;="&amp;$J503))</f>
        <v/>
      </c>
      <c r="C503">
        <f>IF($J503="","",SUMIFS('Hours Log'!$C:$C,'Hours Log'!$A:$A,"&gt;="&amp;$J503,'Hours Log'!$A:$A,"&lt;"&amp;$J503+7)+SUMIFS('Hours Log'!$D:$D,'Hours Log'!$A:$A,"&gt;="&amp;$J503,'Hours Log'!$A:$A,"&lt;"&amp;$J503+7))</f>
        <v/>
      </c>
      <c r="D503">
        <f>IF($J503="","",SUMIFS('Hours Log'!$D:$D,'Hours Log'!$A:$A,"&gt;="&amp;$J503,'Hours Log'!$A:$A,"&lt;"&amp;$J503+7))</f>
        <v/>
      </c>
      <c r="E503">
        <f>IF($J503="","",IFERROR(C503/(B503*40),0))</f>
        <v/>
      </c>
      <c r="F503">
        <f>IF($J503="","",0)</f>
        <v/>
      </c>
      <c r="G503">
        <f>IF($J503="","",SUMIFS('Hours Log'!$E:$E,'Hours Log'!$A:$A,"&gt;="&amp;$J503,'Hours Log'!$A:$A,"&lt;"&amp;$J503+7))</f>
        <v/>
      </c>
      <c r="J503">
        <f>IF(COUNT('Hours Log'!$A$4:$A$5000)=0,"",IF(MIN('Hours Log'!$A$4:$A$5000)+7*(ROW()-10)&gt;MAX('Hours Log'!$A$4:$A$5000),"",MIN('Hours Log'!$A$4:$A$5000)+7*(ROW()-10)))</f>
        <v/>
      </c>
    </row>
    <row r="504">
      <c r="A504">
        <f>IF($J504="","",YEAR($J504-WEEKDAY($J504,2)+4)&amp;"-W"&amp;TEXT(WEEKNUM($J504,21),"00"))</f>
        <v/>
      </c>
      <c r="B504" s="41">
        <f>IF($J504="","",COUNTIFS(Roster!$D$4:$D$500,"Active",Roster!$C$4:$C$500,"&lt;="&amp;$J504))</f>
        <v/>
      </c>
      <c r="C504">
        <f>IF($J504="","",SUMIFS('Hours Log'!$C:$C,'Hours Log'!$A:$A,"&gt;="&amp;$J504,'Hours Log'!$A:$A,"&lt;"&amp;$J504+7)+SUMIFS('Hours Log'!$D:$D,'Hours Log'!$A:$A,"&gt;="&amp;$J504,'Hours Log'!$A:$A,"&lt;"&amp;$J504+7))</f>
        <v/>
      </c>
      <c r="D504">
        <f>IF($J504="","",SUMIFS('Hours Log'!$D:$D,'Hours Log'!$A:$A,"&gt;="&amp;$J504,'Hours Log'!$A:$A,"&lt;"&amp;$J504+7))</f>
        <v/>
      </c>
      <c r="E504">
        <f>IF($J504="","",IFERROR(C504/(B504*40),0))</f>
        <v/>
      </c>
      <c r="F504">
        <f>IF($J504="","",0)</f>
        <v/>
      </c>
      <c r="G504">
        <f>IF($J504="","",SUMIFS('Hours Log'!$E:$E,'Hours Log'!$A:$A,"&gt;="&amp;$J504,'Hours Log'!$A:$A,"&lt;"&amp;$J504+7))</f>
        <v/>
      </c>
      <c r="J504">
        <f>IF(COUNT('Hours Log'!$A$4:$A$5000)=0,"",IF(MIN('Hours Log'!$A$4:$A$5000)+7*(ROW()-10)&gt;MAX('Hours Log'!$A$4:$A$5000),"",MIN('Hours Log'!$A$4:$A$5000)+7*(ROW()-10)))</f>
        <v/>
      </c>
    </row>
    <row r="505">
      <c r="A505">
        <f>IF($J505="","",YEAR($J505-WEEKDAY($J505,2)+4)&amp;"-W"&amp;TEXT(WEEKNUM($J505,21),"00"))</f>
        <v/>
      </c>
      <c r="B505" s="41">
        <f>IF($J505="","",COUNTIFS(Roster!$D$4:$D$500,"Active",Roster!$C$4:$C$500,"&lt;="&amp;$J505))</f>
        <v/>
      </c>
      <c r="C505">
        <f>IF($J505="","",SUMIFS('Hours Log'!$C:$C,'Hours Log'!$A:$A,"&gt;="&amp;$J505,'Hours Log'!$A:$A,"&lt;"&amp;$J505+7)+SUMIFS('Hours Log'!$D:$D,'Hours Log'!$A:$A,"&gt;="&amp;$J505,'Hours Log'!$A:$A,"&lt;"&amp;$J505+7))</f>
        <v/>
      </c>
      <c r="D505">
        <f>IF($J505="","",SUMIFS('Hours Log'!$D:$D,'Hours Log'!$A:$A,"&gt;="&amp;$J505,'Hours Log'!$A:$A,"&lt;"&amp;$J505+7))</f>
        <v/>
      </c>
      <c r="E505">
        <f>IF($J505="","",IFERROR(C505/(B505*40),0))</f>
        <v/>
      </c>
      <c r="F505">
        <f>IF($J505="","",0)</f>
        <v/>
      </c>
      <c r="G505">
        <f>IF($J505="","",SUMIFS('Hours Log'!$E:$E,'Hours Log'!$A:$A,"&gt;="&amp;$J505,'Hours Log'!$A:$A,"&lt;"&amp;$J505+7))</f>
        <v/>
      </c>
      <c r="J505">
        <f>IF(COUNT('Hours Log'!$A$4:$A$5000)=0,"",IF(MIN('Hours Log'!$A$4:$A$5000)+7*(ROW()-10)&gt;MAX('Hours Log'!$A$4:$A$5000),"",MIN('Hours Log'!$A$4:$A$5000)+7*(ROW()-10)))</f>
        <v/>
      </c>
    </row>
    <row r="506">
      <c r="A506">
        <f>IF($J506="","",YEAR($J506-WEEKDAY($J506,2)+4)&amp;"-W"&amp;TEXT(WEEKNUM($J506,21),"00"))</f>
        <v/>
      </c>
      <c r="B506" s="41">
        <f>IF($J506="","",COUNTIFS(Roster!$D$4:$D$500,"Active",Roster!$C$4:$C$500,"&lt;="&amp;$J506))</f>
        <v/>
      </c>
      <c r="C506">
        <f>IF($J506="","",SUMIFS('Hours Log'!$C:$C,'Hours Log'!$A:$A,"&gt;="&amp;$J506,'Hours Log'!$A:$A,"&lt;"&amp;$J506+7)+SUMIFS('Hours Log'!$D:$D,'Hours Log'!$A:$A,"&gt;="&amp;$J506,'Hours Log'!$A:$A,"&lt;"&amp;$J506+7))</f>
        <v/>
      </c>
      <c r="D506">
        <f>IF($J506="","",SUMIFS('Hours Log'!$D:$D,'Hours Log'!$A:$A,"&gt;="&amp;$J506,'Hours Log'!$A:$A,"&lt;"&amp;$J506+7))</f>
        <v/>
      </c>
      <c r="E506">
        <f>IF($J506="","",IFERROR(C506/(B506*40),0))</f>
        <v/>
      </c>
      <c r="F506">
        <f>IF($J506="","",0)</f>
        <v/>
      </c>
      <c r="G506">
        <f>IF($J506="","",SUMIFS('Hours Log'!$E:$E,'Hours Log'!$A:$A,"&gt;="&amp;$J506,'Hours Log'!$A:$A,"&lt;"&amp;$J506+7))</f>
        <v/>
      </c>
      <c r="J506">
        <f>IF(COUNT('Hours Log'!$A$4:$A$5000)=0,"",IF(MIN('Hours Log'!$A$4:$A$5000)+7*(ROW()-10)&gt;MAX('Hours Log'!$A$4:$A$5000),"",MIN('Hours Log'!$A$4:$A$5000)+7*(ROW()-10)))</f>
        <v/>
      </c>
    </row>
    <row r="507">
      <c r="A507">
        <f>IF($J507="","",YEAR($J507-WEEKDAY($J507,2)+4)&amp;"-W"&amp;TEXT(WEEKNUM($J507,21),"00"))</f>
        <v/>
      </c>
      <c r="B507" s="41">
        <f>IF($J507="","",COUNTIFS(Roster!$D$4:$D$500,"Active",Roster!$C$4:$C$500,"&lt;="&amp;$J507))</f>
        <v/>
      </c>
      <c r="C507">
        <f>IF($J507="","",SUMIFS('Hours Log'!$C:$C,'Hours Log'!$A:$A,"&gt;="&amp;$J507,'Hours Log'!$A:$A,"&lt;"&amp;$J507+7)+SUMIFS('Hours Log'!$D:$D,'Hours Log'!$A:$A,"&gt;="&amp;$J507,'Hours Log'!$A:$A,"&lt;"&amp;$J507+7))</f>
        <v/>
      </c>
      <c r="D507">
        <f>IF($J507="","",SUMIFS('Hours Log'!$D:$D,'Hours Log'!$A:$A,"&gt;="&amp;$J507,'Hours Log'!$A:$A,"&lt;"&amp;$J507+7))</f>
        <v/>
      </c>
      <c r="E507">
        <f>IF($J507="","",IFERROR(C507/(B507*40),0))</f>
        <v/>
      </c>
      <c r="F507">
        <f>IF($J507="","",0)</f>
        <v/>
      </c>
      <c r="G507">
        <f>IF($J507="","",SUMIFS('Hours Log'!$E:$E,'Hours Log'!$A:$A,"&gt;="&amp;$J507,'Hours Log'!$A:$A,"&lt;"&amp;$J507+7))</f>
        <v/>
      </c>
      <c r="J507">
        <f>IF(COUNT('Hours Log'!$A$4:$A$5000)=0,"",IF(MIN('Hours Log'!$A$4:$A$5000)+7*(ROW()-10)&gt;MAX('Hours Log'!$A$4:$A$5000),"",MIN('Hours Log'!$A$4:$A$5000)+7*(ROW()-10)))</f>
        <v/>
      </c>
    </row>
    <row r="508">
      <c r="A508">
        <f>IF($J508="","",YEAR($J508-WEEKDAY($J508,2)+4)&amp;"-W"&amp;TEXT(WEEKNUM($J508,21),"00"))</f>
        <v/>
      </c>
      <c r="B508" s="41">
        <f>IF($J508="","",COUNTIFS(Roster!$D$4:$D$500,"Active",Roster!$C$4:$C$500,"&lt;="&amp;$J508))</f>
        <v/>
      </c>
      <c r="C508">
        <f>IF($J508="","",SUMIFS('Hours Log'!$C:$C,'Hours Log'!$A:$A,"&gt;="&amp;$J508,'Hours Log'!$A:$A,"&lt;"&amp;$J508+7)+SUMIFS('Hours Log'!$D:$D,'Hours Log'!$A:$A,"&gt;="&amp;$J508,'Hours Log'!$A:$A,"&lt;"&amp;$J508+7))</f>
        <v/>
      </c>
      <c r="D508">
        <f>IF($J508="","",SUMIFS('Hours Log'!$D:$D,'Hours Log'!$A:$A,"&gt;="&amp;$J508,'Hours Log'!$A:$A,"&lt;"&amp;$J508+7))</f>
        <v/>
      </c>
      <c r="E508">
        <f>IF($J508="","",IFERROR(C508/(B508*40),0))</f>
        <v/>
      </c>
      <c r="F508">
        <f>IF($J508="","",0)</f>
        <v/>
      </c>
      <c r="G508">
        <f>IF($J508="","",SUMIFS('Hours Log'!$E:$E,'Hours Log'!$A:$A,"&gt;="&amp;$J508,'Hours Log'!$A:$A,"&lt;"&amp;$J508+7))</f>
        <v/>
      </c>
      <c r="J508">
        <f>IF(COUNT('Hours Log'!$A$4:$A$5000)=0,"",IF(MIN('Hours Log'!$A$4:$A$5000)+7*(ROW()-10)&gt;MAX('Hours Log'!$A$4:$A$5000),"",MIN('Hours Log'!$A$4:$A$5000)+7*(ROW()-10)))</f>
        <v/>
      </c>
    </row>
    <row r="509">
      <c r="A509">
        <f>IF($J509="","",YEAR($J509-WEEKDAY($J509,2)+4)&amp;"-W"&amp;TEXT(WEEKNUM($J509,21),"00"))</f>
        <v/>
      </c>
      <c r="B509" s="41">
        <f>IF($J509="","",COUNTIFS(Roster!$D$4:$D$500,"Active",Roster!$C$4:$C$500,"&lt;="&amp;$J509))</f>
        <v/>
      </c>
      <c r="C509">
        <f>IF($J509="","",SUMIFS('Hours Log'!$C:$C,'Hours Log'!$A:$A,"&gt;="&amp;$J509,'Hours Log'!$A:$A,"&lt;"&amp;$J509+7)+SUMIFS('Hours Log'!$D:$D,'Hours Log'!$A:$A,"&gt;="&amp;$J509,'Hours Log'!$A:$A,"&lt;"&amp;$J509+7))</f>
        <v/>
      </c>
      <c r="D509">
        <f>IF($J509="","",SUMIFS('Hours Log'!$D:$D,'Hours Log'!$A:$A,"&gt;="&amp;$J509,'Hours Log'!$A:$A,"&lt;"&amp;$J509+7))</f>
        <v/>
      </c>
      <c r="E509">
        <f>IF($J509="","",IFERROR(C509/(B509*40),0))</f>
        <v/>
      </c>
      <c r="F509">
        <f>IF($J509="","",0)</f>
        <v/>
      </c>
      <c r="G509">
        <f>IF($J509="","",SUMIFS('Hours Log'!$E:$E,'Hours Log'!$A:$A,"&gt;="&amp;$J509,'Hours Log'!$A:$A,"&lt;"&amp;$J509+7))</f>
        <v/>
      </c>
      <c r="J509">
        <f>IF(COUNT('Hours Log'!$A$4:$A$5000)=0,"",IF(MIN('Hours Log'!$A$4:$A$5000)+7*(ROW()-10)&gt;MAX('Hours Log'!$A$4:$A$5000),"",MIN('Hours Log'!$A$4:$A$5000)+7*(ROW()-10)))</f>
        <v/>
      </c>
    </row>
    <row r="510">
      <c r="A510">
        <f>IF($J510="","",YEAR($J510-WEEKDAY($J510,2)+4)&amp;"-W"&amp;TEXT(WEEKNUM($J510,21),"00"))</f>
        <v/>
      </c>
      <c r="B510" s="41">
        <f>IF($J510="","",COUNTIFS(Roster!$D$4:$D$500,"Active",Roster!$C$4:$C$500,"&lt;="&amp;$J510))</f>
        <v/>
      </c>
      <c r="C510">
        <f>IF($J510="","",SUMIFS('Hours Log'!$C:$C,'Hours Log'!$A:$A,"&gt;="&amp;$J510,'Hours Log'!$A:$A,"&lt;"&amp;$J510+7)+SUMIFS('Hours Log'!$D:$D,'Hours Log'!$A:$A,"&gt;="&amp;$J510,'Hours Log'!$A:$A,"&lt;"&amp;$J510+7))</f>
        <v/>
      </c>
      <c r="D510">
        <f>IF($J510="","",SUMIFS('Hours Log'!$D:$D,'Hours Log'!$A:$A,"&gt;="&amp;$J510,'Hours Log'!$A:$A,"&lt;"&amp;$J510+7))</f>
        <v/>
      </c>
      <c r="E510">
        <f>IF($J510="","",IFERROR(C510/(B510*40),0))</f>
        <v/>
      </c>
      <c r="F510">
        <f>IF($J510="","",0)</f>
        <v/>
      </c>
      <c r="G510">
        <f>IF($J510="","",SUMIFS('Hours Log'!$E:$E,'Hours Log'!$A:$A,"&gt;="&amp;$J510,'Hours Log'!$A:$A,"&lt;"&amp;$J510+7))</f>
        <v/>
      </c>
      <c r="J510">
        <f>IF(COUNT('Hours Log'!$A$4:$A$5000)=0,"",IF(MIN('Hours Log'!$A$4:$A$5000)+7*(ROW()-10)&gt;MAX('Hours Log'!$A$4:$A$5000),"",MIN('Hours Log'!$A$4:$A$5000)+7*(ROW()-10)))</f>
        <v/>
      </c>
    </row>
    <row r="511">
      <c r="A511">
        <f>IF($J511="","",YEAR($J511-WEEKDAY($J511,2)+4)&amp;"-W"&amp;TEXT(WEEKNUM($J511,21),"00"))</f>
        <v/>
      </c>
      <c r="B511" s="41">
        <f>IF($J511="","",COUNTIFS(Roster!$D$4:$D$500,"Active",Roster!$C$4:$C$500,"&lt;="&amp;$J511))</f>
        <v/>
      </c>
      <c r="C511">
        <f>IF($J511="","",SUMIFS('Hours Log'!$C:$C,'Hours Log'!$A:$A,"&gt;="&amp;$J511,'Hours Log'!$A:$A,"&lt;"&amp;$J511+7)+SUMIFS('Hours Log'!$D:$D,'Hours Log'!$A:$A,"&gt;="&amp;$J511,'Hours Log'!$A:$A,"&lt;"&amp;$J511+7))</f>
        <v/>
      </c>
      <c r="D511">
        <f>IF($J511="","",SUMIFS('Hours Log'!$D:$D,'Hours Log'!$A:$A,"&gt;="&amp;$J511,'Hours Log'!$A:$A,"&lt;"&amp;$J511+7))</f>
        <v/>
      </c>
      <c r="E511">
        <f>IF($J511="","",IFERROR(C511/(B511*40),0))</f>
        <v/>
      </c>
      <c r="F511">
        <f>IF($J511="","",0)</f>
        <v/>
      </c>
      <c r="G511">
        <f>IF($J511="","",SUMIFS('Hours Log'!$E:$E,'Hours Log'!$A:$A,"&gt;="&amp;$J511,'Hours Log'!$A:$A,"&lt;"&amp;$J511+7))</f>
        <v/>
      </c>
      <c r="J511">
        <f>IF(COUNT('Hours Log'!$A$4:$A$5000)=0,"",IF(MIN('Hours Log'!$A$4:$A$5000)+7*(ROW()-10)&gt;MAX('Hours Log'!$A$4:$A$5000),"",MIN('Hours Log'!$A$4:$A$5000)+7*(ROW()-10)))</f>
        <v/>
      </c>
    </row>
    <row r="512">
      <c r="A512">
        <f>IF($J512="","",YEAR($J512-WEEKDAY($J512,2)+4)&amp;"-W"&amp;TEXT(WEEKNUM($J512,21),"00"))</f>
        <v/>
      </c>
      <c r="B512" s="41">
        <f>IF($J512="","",COUNTIFS(Roster!$D$4:$D$500,"Active",Roster!$C$4:$C$500,"&lt;="&amp;$J512))</f>
        <v/>
      </c>
      <c r="C512">
        <f>IF($J512="","",SUMIFS('Hours Log'!$C:$C,'Hours Log'!$A:$A,"&gt;="&amp;$J512,'Hours Log'!$A:$A,"&lt;"&amp;$J512+7)+SUMIFS('Hours Log'!$D:$D,'Hours Log'!$A:$A,"&gt;="&amp;$J512,'Hours Log'!$A:$A,"&lt;"&amp;$J512+7))</f>
        <v/>
      </c>
      <c r="D512">
        <f>IF($J512="","",SUMIFS('Hours Log'!$D:$D,'Hours Log'!$A:$A,"&gt;="&amp;$J512,'Hours Log'!$A:$A,"&lt;"&amp;$J512+7))</f>
        <v/>
      </c>
      <c r="E512">
        <f>IF($J512="","",IFERROR(C512/(B512*40),0))</f>
        <v/>
      </c>
      <c r="F512">
        <f>IF($J512="","",0)</f>
        <v/>
      </c>
      <c r="G512">
        <f>IF($J512="","",SUMIFS('Hours Log'!$E:$E,'Hours Log'!$A:$A,"&gt;="&amp;$J512,'Hours Log'!$A:$A,"&lt;"&amp;$J512+7))</f>
        <v/>
      </c>
      <c r="J512">
        <f>IF(COUNT('Hours Log'!$A$4:$A$5000)=0,"",IF(MIN('Hours Log'!$A$4:$A$5000)+7*(ROW()-10)&gt;MAX('Hours Log'!$A$4:$A$5000),"",MIN('Hours Log'!$A$4:$A$5000)+7*(ROW()-10)))</f>
        <v/>
      </c>
    </row>
    <row r="513">
      <c r="A513">
        <f>IF($J513="","",YEAR($J513-WEEKDAY($J513,2)+4)&amp;"-W"&amp;TEXT(WEEKNUM($J513,21),"00"))</f>
        <v/>
      </c>
      <c r="B513" s="41">
        <f>IF($J513="","",COUNTIFS(Roster!$D$4:$D$500,"Active",Roster!$C$4:$C$500,"&lt;="&amp;$J513))</f>
        <v/>
      </c>
      <c r="C513">
        <f>IF($J513="","",SUMIFS('Hours Log'!$C:$C,'Hours Log'!$A:$A,"&gt;="&amp;$J513,'Hours Log'!$A:$A,"&lt;"&amp;$J513+7)+SUMIFS('Hours Log'!$D:$D,'Hours Log'!$A:$A,"&gt;="&amp;$J513,'Hours Log'!$A:$A,"&lt;"&amp;$J513+7))</f>
        <v/>
      </c>
      <c r="D513">
        <f>IF($J513="","",SUMIFS('Hours Log'!$D:$D,'Hours Log'!$A:$A,"&gt;="&amp;$J513,'Hours Log'!$A:$A,"&lt;"&amp;$J513+7))</f>
        <v/>
      </c>
      <c r="E513">
        <f>IF($J513="","",IFERROR(C513/(B513*40),0))</f>
        <v/>
      </c>
      <c r="F513">
        <f>IF($J513="","",0)</f>
        <v/>
      </c>
      <c r="G513">
        <f>IF($J513="","",SUMIFS('Hours Log'!$E:$E,'Hours Log'!$A:$A,"&gt;="&amp;$J513,'Hours Log'!$A:$A,"&lt;"&amp;$J513+7))</f>
        <v/>
      </c>
      <c r="J513">
        <f>IF(COUNT('Hours Log'!$A$4:$A$5000)=0,"",IF(MIN('Hours Log'!$A$4:$A$5000)+7*(ROW()-10)&gt;MAX('Hours Log'!$A$4:$A$5000),"",MIN('Hours Log'!$A$4:$A$5000)+7*(ROW()-10)))</f>
        <v/>
      </c>
    </row>
    <row r="514">
      <c r="A514">
        <f>IF($J514="","",YEAR($J514-WEEKDAY($J514,2)+4)&amp;"-W"&amp;TEXT(WEEKNUM($J514,21),"00"))</f>
        <v/>
      </c>
      <c r="B514" s="41">
        <f>IF($J514="","",COUNTIFS(Roster!$D$4:$D$500,"Active",Roster!$C$4:$C$500,"&lt;="&amp;$J514))</f>
        <v/>
      </c>
      <c r="C514">
        <f>IF($J514="","",SUMIFS('Hours Log'!$C:$C,'Hours Log'!$A:$A,"&gt;="&amp;$J514,'Hours Log'!$A:$A,"&lt;"&amp;$J514+7)+SUMIFS('Hours Log'!$D:$D,'Hours Log'!$A:$A,"&gt;="&amp;$J514,'Hours Log'!$A:$A,"&lt;"&amp;$J514+7))</f>
        <v/>
      </c>
      <c r="D514">
        <f>IF($J514="","",SUMIFS('Hours Log'!$D:$D,'Hours Log'!$A:$A,"&gt;="&amp;$J514,'Hours Log'!$A:$A,"&lt;"&amp;$J514+7))</f>
        <v/>
      </c>
      <c r="E514">
        <f>IF($J514="","",IFERROR(C514/(B514*40),0))</f>
        <v/>
      </c>
      <c r="F514">
        <f>IF($J514="","",0)</f>
        <v/>
      </c>
      <c r="G514">
        <f>IF($J514="","",SUMIFS('Hours Log'!$E:$E,'Hours Log'!$A:$A,"&gt;="&amp;$J514,'Hours Log'!$A:$A,"&lt;"&amp;$J514+7))</f>
        <v/>
      </c>
      <c r="J514">
        <f>IF(COUNT('Hours Log'!$A$4:$A$5000)=0,"",IF(MIN('Hours Log'!$A$4:$A$5000)+7*(ROW()-10)&gt;MAX('Hours Log'!$A$4:$A$5000),"",MIN('Hours Log'!$A$4:$A$5000)+7*(ROW()-10)))</f>
        <v/>
      </c>
    </row>
    <row r="515">
      <c r="A515">
        <f>IF($J515="","",YEAR($J515-WEEKDAY($J515,2)+4)&amp;"-W"&amp;TEXT(WEEKNUM($J515,21),"00"))</f>
        <v/>
      </c>
      <c r="B515" s="41">
        <f>IF($J515="","",COUNTIFS(Roster!$D$4:$D$500,"Active",Roster!$C$4:$C$500,"&lt;="&amp;$J515))</f>
        <v/>
      </c>
      <c r="C515">
        <f>IF($J515="","",SUMIFS('Hours Log'!$C:$C,'Hours Log'!$A:$A,"&gt;="&amp;$J515,'Hours Log'!$A:$A,"&lt;"&amp;$J515+7)+SUMIFS('Hours Log'!$D:$D,'Hours Log'!$A:$A,"&gt;="&amp;$J515,'Hours Log'!$A:$A,"&lt;"&amp;$J515+7))</f>
        <v/>
      </c>
      <c r="D515">
        <f>IF($J515="","",SUMIFS('Hours Log'!$D:$D,'Hours Log'!$A:$A,"&gt;="&amp;$J515,'Hours Log'!$A:$A,"&lt;"&amp;$J515+7))</f>
        <v/>
      </c>
      <c r="E515">
        <f>IF($J515="","",IFERROR(C515/(B515*40),0))</f>
        <v/>
      </c>
      <c r="F515">
        <f>IF($J515="","",0)</f>
        <v/>
      </c>
      <c r="G515">
        <f>IF($J515="","",SUMIFS('Hours Log'!$E:$E,'Hours Log'!$A:$A,"&gt;="&amp;$J515,'Hours Log'!$A:$A,"&lt;"&amp;$J515+7))</f>
        <v/>
      </c>
      <c r="J515">
        <f>IF(COUNT('Hours Log'!$A$4:$A$5000)=0,"",IF(MIN('Hours Log'!$A$4:$A$5000)+7*(ROW()-10)&gt;MAX('Hours Log'!$A$4:$A$5000),"",MIN('Hours Log'!$A$4:$A$5000)+7*(ROW()-10)))</f>
        <v/>
      </c>
    </row>
    <row r="516">
      <c r="A516">
        <f>IF($J516="","",YEAR($J516-WEEKDAY($J516,2)+4)&amp;"-W"&amp;TEXT(WEEKNUM($J516,21),"00"))</f>
        <v/>
      </c>
      <c r="B516" s="41">
        <f>IF($J516="","",COUNTIFS(Roster!$D$4:$D$500,"Active",Roster!$C$4:$C$500,"&lt;="&amp;$J516))</f>
        <v/>
      </c>
      <c r="C516">
        <f>IF($J516="","",SUMIFS('Hours Log'!$C:$C,'Hours Log'!$A:$A,"&gt;="&amp;$J516,'Hours Log'!$A:$A,"&lt;"&amp;$J516+7)+SUMIFS('Hours Log'!$D:$D,'Hours Log'!$A:$A,"&gt;="&amp;$J516,'Hours Log'!$A:$A,"&lt;"&amp;$J516+7))</f>
        <v/>
      </c>
      <c r="D516">
        <f>IF($J516="","",SUMIFS('Hours Log'!$D:$D,'Hours Log'!$A:$A,"&gt;="&amp;$J516,'Hours Log'!$A:$A,"&lt;"&amp;$J516+7))</f>
        <v/>
      </c>
      <c r="E516">
        <f>IF($J516="","",IFERROR(C516/(B516*40),0))</f>
        <v/>
      </c>
      <c r="F516">
        <f>IF($J516="","",0)</f>
        <v/>
      </c>
      <c r="G516">
        <f>IF($J516="","",SUMIFS('Hours Log'!$E:$E,'Hours Log'!$A:$A,"&gt;="&amp;$J516,'Hours Log'!$A:$A,"&lt;"&amp;$J516+7))</f>
        <v/>
      </c>
      <c r="J516">
        <f>IF(COUNT('Hours Log'!$A$4:$A$5000)=0,"",IF(MIN('Hours Log'!$A$4:$A$5000)+7*(ROW()-10)&gt;MAX('Hours Log'!$A$4:$A$5000),"",MIN('Hours Log'!$A$4:$A$5000)+7*(ROW()-10)))</f>
        <v/>
      </c>
    </row>
    <row r="517">
      <c r="A517">
        <f>IF($J517="","",YEAR($J517-WEEKDAY($J517,2)+4)&amp;"-W"&amp;TEXT(WEEKNUM($J517,21),"00"))</f>
        <v/>
      </c>
      <c r="B517" s="41">
        <f>IF($J517="","",COUNTIFS(Roster!$D$4:$D$500,"Active",Roster!$C$4:$C$500,"&lt;="&amp;$J517))</f>
        <v/>
      </c>
      <c r="C517">
        <f>IF($J517="","",SUMIFS('Hours Log'!$C:$C,'Hours Log'!$A:$A,"&gt;="&amp;$J517,'Hours Log'!$A:$A,"&lt;"&amp;$J517+7)+SUMIFS('Hours Log'!$D:$D,'Hours Log'!$A:$A,"&gt;="&amp;$J517,'Hours Log'!$A:$A,"&lt;"&amp;$J517+7))</f>
        <v/>
      </c>
      <c r="D517">
        <f>IF($J517="","",SUMIFS('Hours Log'!$D:$D,'Hours Log'!$A:$A,"&gt;="&amp;$J517,'Hours Log'!$A:$A,"&lt;"&amp;$J517+7))</f>
        <v/>
      </c>
      <c r="E517">
        <f>IF($J517="","",IFERROR(C517/(B517*40),0))</f>
        <v/>
      </c>
      <c r="F517">
        <f>IF($J517="","",0)</f>
        <v/>
      </c>
      <c r="G517">
        <f>IF($J517="","",SUMIFS('Hours Log'!$E:$E,'Hours Log'!$A:$A,"&gt;="&amp;$J517,'Hours Log'!$A:$A,"&lt;"&amp;$J517+7))</f>
        <v/>
      </c>
      <c r="J517">
        <f>IF(COUNT('Hours Log'!$A$4:$A$5000)=0,"",IF(MIN('Hours Log'!$A$4:$A$5000)+7*(ROW()-10)&gt;MAX('Hours Log'!$A$4:$A$5000),"",MIN('Hours Log'!$A$4:$A$5000)+7*(ROW()-10)))</f>
        <v/>
      </c>
    </row>
    <row r="518">
      <c r="A518">
        <f>IF($J518="","",YEAR($J518-WEEKDAY($J518,2)+4)&amp;"-W"&amp;TEXT(WEEKNUM($J518,21),"00"))</f>
        <v/>
      </c>
      <c r="B518" s="41">
        <f>IF($J518="","",COUNTIFS(Roster!$D$4:$D$500,"Active",Roster!$C$4:$C$500,"&lt;="&amp;$J518))</f>
        <v/>
      </c>
      <c r="C518">
        <f>IF($J518="","",SUMIFS('Hours Log'!$C:$C,'Hours Log'!$A:$A,"&gt;="&amp;$J518,'Hours Log'!$A:$A,"&lt;"&amp;$J518+7)+SUMIFS('Hours Log'!$D:$D,'Hours Log'!$A:$A,"&gt;="&amp;$J518,'Hours Log'!$A:$A,"&lt;"&amp;$J518+7))</f>
        <v/>
      </c>
      <c r="D518">
        <f>IF($J518="","",SUMIFS('Hours Log'!$D:$D,'Hours Log'!$A:$A,"&gt;="&amp;$J518,'Hours Log'!$A:$A,"&lt;"&amp;$J518+7))</f>
        <v/>
      </c>
      <c r="E518">
        <f>IF($J518="","",IFERROR(C518/(B518*40),0))</f>
        <v/>
      </c>
      <c r="F518">
        <f>IF($J518="","",0)</f>
        <v/>
      </c>
      <c r="G518">
        <f>IF($J518="","",SUMIFS('Hours Log'!$E:$E,'Hours Log'!$A:$A,"&gt;="&amp;$J518,'Hours Log'!$A:$A,"&lt;"&amp;$J518+7))</f>
        <v/>
      </c>
      <c r="J518">
        <f>IF(COUNT('Hours Log'!$A$4:$A$5000)=0,"",IF(MIN('Hours Log'!$A$4:$A$5000)+7*(ROW()-10)&gt;MAX('Hours Log'!$A$4:$A$5000),"",MIN('Hours Log'!$A$4:$A$5000)+7*(ROW()-10)))</f>
        <v/>
      </c>
    </row>
    <row r="519">
      <c r="A519">
        <f>IF($J519="","",YEAR($J519-WEEKDAY($J519,2)+4)&amp;"-W"&amp;TEXT(WEEKNUM($J519,21),"00"))</f>
        <v/>
      </c>
      <c r="B519" s="41">
        <f>IF($J519="","",COUNTIFS(Roster!$D$4:$D$500,"Active",Roster!$C$4:$C$500,"&lt;="&amp;$J519))</f>
        <v/>
      </c>
      <c r="C519">
        <f>IF($J519="","",SUMIFS('Hours Log'!$C:$C,'Hours Log'!$A:$A,"&gt;="&amp;$J519,'Hours Log'!$A:$A,"&lt;"&amp;$J519+7)+SUMIFS('Hours Log'!$D:$D,'Hours Log'!$A:$A,"&gt;="&amp;$J519,'Hours Log'!$A:$A,"&lt;"&amp;$J519+7))</f>
        <v/>
      </c>
      <c r="D519">
        <f>IF($J519="","",SUMIFS('Hours Log'!$D:$D,'Hours Log'!$A:$A,"&gt;="&amp;$J519,'Hours Log'!$A:$A,"&lt;"&amp;$J519+7))</f>
        <v/>
      </c>
      <c r="E519">
        <f>IF($J519="","",IFERROR(C519/(B519*40),0))</f>
        <v/>
      </c>
      <c r="F519">
        <f>IF($J519="","",0)</f>
        <v/>
      </c>
      <c r="G519">
        <f>IF($J519="","",SUMIFS('Hours Log'!$E:$E,'Hours Log'!$A:$A,"&gt;="&amp;$J519,'Hours Log'!$A:$A,"&lt;"&amp;$J519+7))</f>
        <v/>
      </c>
      <c r="J519">
        <f>IF(COUNT('Hours Log'!$A$4:$A$5000)=0,"",IF(MIN('Hours Log'!$A$4:$A$5000)+7*(ROW()-10)&gt;MAX('Hours Log'!$A$4:$A$5000),"",MIN('Hours Log'!$A$4:$A$5000)+7*(ROW()-10)))</f>
        <v/>
      </c>
    </row>
    <row r="520">
      <c r="A520">
        <f>IF($J520="","",YEAR($J520-WEEKDAY($J520,2)+4)&amp;"-W"&amp;TEXT(WEEKNUM($J520,21),"00"))</f>
        <v/>
      </c>
      <c r="B520" s="41">
        <f>IF($J520="","",COUNTIFS(Roster!$D$4:$D$500,"Active",Roster!$C$4:$C$500,"&lt;="&amp;$J520))</f>
        <v/>
      </c>
      <c r="C520">
        <f>IF($J520="","",SUMIFS('Hours Log'!$C:$C,'Hours Log'!$A:$A,"&gt;="&amp;$J520,'Hours Log'!$A:$A,"&lt;"&amp;$J520+7)+SUMIFS('Hours Log'!$D:$D,'Hours Log'!$A:$A,"&gt;="&amp;$J520,'Hours Log'!$A:$A,"&lt;"&amp;$J520+7))</f>
        <v/>
      </c>
      <c r="D520">
        <f>IF($J520="","",SUMIFS('Hours Log'!$D:$D,'Hours Log'!$A:$A,"&gt;="&amp;$J520,'Hours Log'!$A:$A,"&lt;"&amp;$J520+7))</f>
        <v/>
      </c>
      <c r="E520">
        <f>IF($J520="","",IFERROR(C520/(B520*40),0))</f>
        <v/>
      </c>
      <c r="F520">
        <f>IF($J520="","",0)</f>
        <v/>
      </c>
      <c r="G520">
        <f>IF($J520="","",SUMIFS('Hours Log'!$E:$E,'Hours Log'!$A:$A,"&gt;="&amp;$J520,'Hours Log'!$A:$A,"&lt;"&amp;$J520+7))</f>
        <v/>
      </c>
      <c r="J520">
        <f>IF(COUNT('Hours Log'!$A$4:$A$5000)=0,"",IF(MIN('Hours Log'!$A$4:$A$5000)+7*(ROW()-10)&gt;MAX('Hours Log'!$A$4:$A$5000),"",MIN('Hours Log'!$A$4:$A$5000)+7*(ROW()-10)))</f>
        <v/>
      </c>
    </row>
    <row r="521">
      <c r="A521">
        <f>IF($J521="","",YEAR($J521-WEEKDAY($J521,2)+4)&amp;"-W"&amp;TEXT(WEEKNUM($J521,21),"00"))</f>
        <v/>
      </c>
      <c r="B521" s="41">
        <f>IF($J521="","",COUNTIFS(Roster!$D$4:$D$500,"Active",Roster!$C$4:$C$500,"&lt;="&amp;$J521))</f>
        <v/>
      </c>
      <c r="C521">
        <f>IF($J521="","",SUMIFS('Hours Log'!$C:$C,'Hours Log'!$A:$A,"&gt;="&amp;$J521,'Hours Log'!$A:$A,"&lt;"&amp;$J521+7)+SUMIFS('Hours Log'!$D:$D,'Hours Log'!$A:$A,"&gt;="&amp;$J521,'Hours Log'!$A:$A,"&lt;"&amp;$J521+7))</f>
        <v/>
      </c>
      <c r="D521">
        <f>IF($J521="","",SUMIFS('Hours Log'!$D:$D,'Hours Log'!$A:$A,"&gt;="&amp;$J521,'Hours Log'!$A:$A,"&lt;"&amp;$J521+7))</f>
        <v/>
      </c>
      <c r="E521">
        <f>IF($J521="","",IFERROR(C521/(B521*40),0))</f>
        <v/>
      </c>
      <c r="F521">
        <f>IF($J521="","",0)</f>
        <v/>
      </c>
      <c r="G521">
        <f>IF($J521="","",SUMIFS('Hours Log'!$E:$E,'Hours Log'!$A:$A,"&gt;="&amp;$J521,'Hours Log'!$A:$A,"&lt;"&amp;$J521+7))</f>
        <v/>
      </c>
      <c r="J521">
        <f>IF(COUNT('Hours Log'!$A$4:$A$5000)=0,"",IF(MIN('Hours Log'!$A$4:$A$5000)+7*(ROW()-10)&gt;MAX('Hours Log'!$A$4:$A$5000),"",MIN('Hours Log'!$A$4:$A$5000)+7*(ROW()-10)))</f>
        <v/>
      </c>
    </row>
    <row r="522">
      <c r="A522">
        <f>IF($J522="","",YEAR($J522-WEEKDAY($J522,2)+4)&amp;"-W"&amp;TEXT(WEEKNUM($J522,21),"00"))</f>
        <v/>
      </c>
      <c r="B522" s="41">
        <f>IF($J522="","",COUNTIFS(Roster!$D$4:$D$500,"Active",Roster!$C$4:$C$500,"&lt;="&amp;$J522))</f>
        <v/>
      </c>
      <c r="C522">
        <f>IF($J522="","",SUMIFS('Hours Log'!$C:$C,'Hours Log'!$A:$A,"&gt;="&amp;$J522,'Hours Log'!$A:$A,"&lt;"&amp;$J522+7)+SUMIFS('Hours Log'!$D:$D,'Hours Log'!$A:$A,"&gt;="&amp;$J522,'Hours Log'!$A:$A,"&lt;"&amp;$J522+7))</f>
        <v/>
      </c>
      <c r="D522">
        <f>IF($J522="","",SUMIFS('Hours Log'!$D:$D,'Hours Log'!$A:$A,"&gt;="&amp;$J522,'Hours Log'!$A:$A,"&lt;"&amp;$J522+7))</f>
        <v/>
      </c>
      <c r="E522">
        <f>IF($J522="","",IFERROR(C522/(B522*40),0))</f>
        <v/>
      </c>
      <c r="F522">
        <f>IF($J522="","",0)</f>
        <v/>
      </c>
      <c r="G522">
        <f>IF($J522="","",SUMIFS('Hours Log'!$E:$E,'Hours Log'!$A:$A,"&gt;="&amp;$J522,'Hours Log'!$A:$A,"&lt;"&amp;$J522+7))</f>
        <v/>
      </c>
      <c r="J522">
        <f>IF(COUNT('Hours Log'!$A$4:$A$5000)=0,"",IF(MIN('Hours Log'!$A$4:$A$5000)+7*(ROW()-10)&gt;MAX('Hours Log'!$A$4:$A$5000),"",MIN('Hours Log'!$A$4:$A$5000)+7*(ROW()-10)))</f>
        <v/>
      </c>
    </row>
    <row r="523">
      <c r="A523">
        <f>IF($J523="","",YEAR($J523-WEEKDAY($J523,2)+4)&amp;"-W"&amp;TEXT(WEEKNUM($J523,21),"00"))</f>
        <v/>
      </c>
      <c r="B523" s="41">
        <f>IF($J523="","",COUNTIFS(Roster!$D$4:$D$500,"Active",Roster!$C$4:$C$500,"&lt;="&amp;$J523))</f>
        <v/>
      </c>
      <c r="C523">
        <f>IF($J523="","",SUMIFS('Hours Log'!$C:$C,'Hours Log'!$A:$A,"&gt;="&amp;$J523,'Hours Log'!$A:$A,"&lt;"&amp;$J523+7)+SUMIFS('Hours Log'!$D:$D,'Hours Log'!$A:$A,"&gt;="&amp;$J523,'Hours Log'!$A:$A,"&lt;"&amp;$J523+7))</f>
        <v/>
      </c>
      <c r="D523">
        <f>IF($J523="","",SUMIFS('Hours Log'!$D:$D,'Hours Log'!$A:$A,"&gt;="&amp;$J523,'Hours Log'!$A:$A,"&lt;"&amp;$J523+7))</f>
        <v/>
      </c>
      <c r="E523">
        <f>IF($J523="","",IFERROR(C523/(B523*40),0))</f>
        <v/>
      </c>
      <c r="F523">
        <f>IF($J523="","",0)</f>
        <v/>
      </c>
      <c r="G523">
        <f>IF($J523="","",SUMIFS('Hours Log'!$E:$E,'Hours Log'!$A:$A,"&gt;="&amp;$J523,'Hours Log'!$A:$A,"&lt;"&amp;$J523+7))</f>
        <v/>
      </c>
      <c r="J523">
        <f>IF(COUNT('Hours Log'!$A$4:$A$5000)=0,"",IF(MIN('Hours Log'!$A$4:$A$5000)+7*(ROW()-10)&gt;MAX('Hours Log'!$A$4:$A$5000),"",MIN('Hours Log'!$A$4:$A$5000)+7*(ROW()-10)))</f>
        <v/>
      </c>
    </row>
    <row r="524">
      <c r="A524">
        <f>IF($J524="","",YEAR($J524-WEEKDAY($J524,2)+4)&amp;"-W"&amp;TEXT(WEEKNUM($J524,21),"00"))</f>
        <v/>
      </c>
      <c r="B524" s="41">
        <f>IF($J524="","",COUNTIFS(Roster!$D$4:$D$500,"Active",Roster!$C$4:$C$500,"&lt;="&amp;$J524))</f>
        <v/>
      </c>
      <c r="C524">
        <f>IF($J524="","",SUMIFS('Hours Log'!$C:$C,'Hours Log'!$A:$A,"&gt;="&amp;$J524,'Hours Log'!$A:$A,"&lt;"&amp;$J524+7)+SUMIFS('Hours Log'!$D:$D,'Hours Log'!$A:$A,"&gt;="&amp;$J524,'Hours Log'!$A:$A,"&lt;"&amp;$J524+7))</f>
        <v/>
      </c>
      <c r="D524">
        <f>IF($J524="","",SUMIFS('Hours Log'!$D:$D,'Hours Log'!$A:$A,"&gt;="&amp;$J524,'Hours Log'!$A:$A,"&lt;"&amp;$J524+7))</f>
        <v/>
      </c>
      <c r="E524">
        <f>IF($J524="","",IFERROR(C524/(B524*40),0))</f>
        <v/>
      </c>
      <c r="F524">
        <f>IF($J524="","",0)</f>
        <v/>
      </c>
      <c r="G524">
        <f>IF($J524="","",SUMIFS('Hours Log'!$E:$E,'Hours Log'!$A:$A,"&gt;="&amp;$J524,'Hours Log'!$A:$A,"&lt;"&amp;$J524+7))</f>
        <v/>
      </c>
      <c r="J524">
        <f>IF(COUNT('Hours Log'!$A$4:$A$5000)=0,"",IF(MIN('Hours Log'!$A$4:$A$5000)+7*(ROW()-10)&gt;MAX('Hours Log'!$A$4:$A$5000),"",MIN('Hours Log'!$A$4:$A$5000)+7*(ROW()-10)))</f>
        <v/>
      </c>
    </row>
    <row r="525">
      <c r="A525">
        <f>IF($J525="","",YEAR($J525-WEEKDAY($J525,2)+4)&amp;"-W"&amp;TEXT(WEEKNUM($J525,21),"00"))</f>
        <v/>
      </c>
      <c r="B525" s="41">
        <f>IF($J525="","",COUNTIFS(Roster!$D$4:$D$500,"Active",Roster!$C$4:$C$500,"&lt;="&amp;$J525))</f>
        <v/>
      </c>
      <c r="C525">
        <f>IF($J525="","",SUMIFS('Hours Log'!$C:$C,'Hours Log'!$A:$A,"&gt;="&amp;$J525,'Hours Log'!$A:$A,"&lt;"&amp;$J525+7)+SUMIFS('Hours Log'!$D:$D,'Hours Log'!$A:$A,"&gt;="&amp;$J525,'Hours Log'!$A:$A,"&lt;"&amp;$J525+7))</f>
        <v/>
      </c>
      <c r="D525">
        <f>IF($J525="","",SUMIFS('Hours Log'!$D:$D,'Hours Log'!$A:$A,"&gt;="&amp;$J525,'Hours Log'!$A:$A,"&lt;"&amp;$J525+7))</f>
        <v/>
      </c>
      <c r="E525">
        <f>IF($J525="","",IFERROR(C525/(B525*40),0))</f>
        <v/>
      </c>
      <c r="F525">
        <f>IF($J525="","",0)</f>
        <v/>
      </c>
      <c r="G525">
        <f>IF($J525="","",SUMIFS('Hours Log'!$E:$E,'Hours Log'!$A:$A,"&gt;="&amp;$J525,'Hours Log'!$A:$A,"&lt;"&amp;$J525+7))</f>
        <v/>
      </c>
      <c r="J525">
        <f>IF(COUNT('Hours Log'!$A$4:$A$5000)=0,"",IF(MIN('Hours Log'!$A$4:$A$5000)+7*(ROW()-10)&gt;MAX('Hours Log'!$A$4:$A$5000),"",MIN('Hours Log'!$A$4:$A$5000)+7*(ROW()-10)))</f>
        <v/>
      </c>
    </row>
    <row r="526">
      <c r="A526">
        <f>IF($J526="","",YEAR($J526-WEEKDAY($J526,2)+4)&amp;"-W"&amp;TEXT(WEEKNUM($J526,21),"00"))</f>
        <v/>
      </c>
      <c r="B526" s="41">
        <f>IF($J526="","",COUNTIFS(Roster!$D$4:$D$500,"Active",Roster!$C$4:$C$500,"&lt;="&amp;$J526))</f>
        <v/>
      </c>
      <c r="C526">
        <f>IF($J526="","",SUMIFS('Hours Log'!$C:$C,'Hours Log'!$A:$A,"&gt;="&amp;$J526,'Hours Log'!$A:$A,"&lt;"&amp;$J526+7)+SUMIFS('Hours Log'!$D:$D,'Hours Log'!$A:$A,"&gt;="&amp;$J526,'Hours Log'!$A:$A,"&lt;"&amp;$J526+7))</f>
        <v/>
      </c>
      <c r="D526">
        <f>IF($J526="","",SUMIFS('Hours Log'!$D:$D,'Hours Log'!$A:$A,"&gt;="&amp;$J526,'Hours Log'!$A:$A,"&lt;"&amp;$J526+7))</f>
        <v/>
      </c>
      <c r="E526">
        <f>IF($J526="","",IFERROR(C526/(B526*40),0))</f>
        <v/>
      </c>
      <c r="F526">
        <f>IF($J526="","",0)</f>
        <v/>
      </c>
      <c r="G526">
        <f>IF($J526="","",SUMIFS('Hours Log'!$E:$E,'Hours Log'!$A:$A,"&gt;="&amp;$J526,'Hours Log'!$A:$A,"&lt;"&amp;$J526+7))</f>
        <v/>
      </c>
      <c r="J526">
        <f>IF(COUNT('Hours Log'!$A$4:$A$5000)=0,"",IF(MIN('Hours Log'!$A$4:$A$5000)+7*(ROW()-10)&gt;MAX('Hours Log'!$A$4:$A$5000),"",MIN('Hours Log'!$A$4:$A$5000)+7*(ROW()-10)))</f>
        <v/>
      </c>
    </row>
    <row r="527">
      <c r="A527">
        <f>IF($J527="","",YEAR($J527-WEEKDAY($J527,2)+4)&amp;"-W"&amp;TEXT(WEEKNUM($J527,21),"00"))</f>
        <v/>
      </c>
      <c r="B527" s="41">
        <f>IF($J527="","",COUNTIFS(Roster!$D$4:$D$500,"Active",Roster!$C$4:$C$500,"&lt;="&amp;$J527))</f>
        <v/>
      </c>
      <c r="C527">
        <f>IF($J527="","",SUMIFS('Hours Log'!$C:$C,'Hours Log'!$A:$A,"&gt;="&amp;$J527,'Hours Log'!$A:$A,"&lt;"&amp;$J527+7)+SUMIFS('Hours Log'!$D:$D,'Hours Log'!$A:$A,"&gt;="&amp;$J527,'Hours Log'!$A:$A,"&lt;"&amp;$J527+7))</f>
        <v/>
      </c>
      <c r="D527">
        <f>IF($J527="","",SUMIFS('Hours Log'!$D:$D,'Hours Log'!$A:$A,"&gt;="&amp;$J527,'Hours Log'!$A:$A,"&lt;"&amp;$J527+7))</f>
        <v/>
      </c>
      <c r="E527">
        <f>IF($J527="","",IFERROR(C527/(B527*40),0))</f>
        <v/>
      </c>
      <c r="F527">
        <f>IF($J527="","",0)</f>
        <v/>
      </c>
      <c r="G527">
        <f>IF($J527="","",SUMIFS('Hours Log'!$E:$E,'Hours Log'!$A:$A,"&gt;="&amp;$J527,'Hours Log'!$A:$A,"&lt;"&amp;$J527+7))</f>
        <v/>
      </c>
      <c r="J527">
        <f>IF(COUNT('Hours Log'!$A$4:$A$5000)=0,"",IF(MIN('Hours Log'!$A$4:$A$5000)+7*(ROW()-10)&gt;MAX('Hours Log'!$A$4:$A$5000),"",MIN('Hours Log'!$A$4:$A$5000)+7*(ROW()-10)))</f>
        <v/>
      </c>
    </row>
    <row r="528">
      <c r="A528">
        <f>IF($J528="","",YEAR($J528-WEEKDAY($J528,2)+4)&amp;"-W"&amp;TEXT(WEEKNUM($J528,21),"00"))</f>
        <v/>
      </c>
      <c r="B528" s="41">
        <f>IF($J528="","",COUNTIFS(Roster!$D$4:$D$500,"Active",Roster!$C$4:$C$500,"&lt;="&amp;$J528))</f>
        <v/>
      </c>
      <c r="C528">
        <f>IF($J528="","",SUMIFS('Hours Log'!$C:$C,'Hours Log'!$A:$A,"&gt;="&amp;$J528,'Hours Log'!$A:$A,"&lt;"&amp;$J528+7)+SUMIFS('Hours Log'!$D:$D,'Hours Log'!$A:$A,"&gt;="&amp;$J528,'Hours Log'!$A:$A,"&lt;"&amp;$J528+7))</f>
        <v/>
      </c>
      <c r="D528">
        <f>IF($J528="","",SUMIFS('Hours Log'!$D:$D,'Hours Log'!$A:$A,"&gt;="&amp;$J528,'Hours Log'!$A:$A,"&lt;"&amp;$J528+7))</f>
        <v/>
      </c>
      <c r="E528">
        <f>IF($J528="","",IFERROR(C528/(B528*40),0))</f>
        <v/>
      </c>
      <c r="F528">
        <f>IF($J528="","",0)</f>
        <v/>
      </c>
      <c r="G528">
        <f>IF($J528="","",SUMIFS('Hours Log'!$E:$E,'Hours Log'!$A:$A,"&gt;="&amp;$J528,'Hours Log'!$A:$A,"&lt;"&amp;$J528+7))</f>
        <v/>
      </c>
      <c r="J528">
        <f>IF(COUNT('Hours Log'!$A$4:$A$5000)=0,"",IF(MIN('Hours Log'!$A$4:$A$5000)+7*(ROW()-10)&gt;MAX('Hours Log'!$A$4:$A$5000),"",MIN('Hours Log'!$A$4:$A$5000)+7*(ROW()-10)))</f>
        <v/>
      </c>
    </row>
    <row r="529">
      <c r="A529">
        <f>IF($J529="","",YEAR($J529-WEEKDAY($J529,2)+4)&amp;"-W"&amp;TEXT(WEEKNUM($J529,21),"00"))</f>
        <v/>
      </c>
      <c r="B529" s="41">
        <f>IF($J529="","",COUNTIFS(Roster!$D$4:$D$500,"Active",Roster!$C$4:$C$500,"&lt;="&amp;$J529))</f>
        <v/>
      </c>
      <c r="C529">
        <f>IF($J529="","",SUMIFS('Hours Log'!$C:$C,'Hours Log'!$A:$A,"&gt;="&amp;$J529,'Hours Log'!$A:$A,"&lt;"&amp;$J529+7)+SUMIFS('Hours Log'!$D:$D,'Hours Log'!$A:$A,"&gt;="&amp;$J529,'Hours Log'!$A:$A,"&lt;"&amp;$J529+7))</f>
        <v/>
      </c>
      <c r="D529">
        <f>IF($J529="","",SUMIFS('Hours Log'!$D:$D,'Hours Log'!$A:$A,"&gt;="&amp;$J529,'Hours Log'!$A:$A,"&lt;"&amp;$J529+7))</f>
        <v/>
      </c>
      <c r="E529">
        <f>IF($J529="","",IFERROR(C529/(B529*40),0))</f>
        <v/>
      </c>
      <c r="F529">
        <f>IF($J529="","",0)</f>
        <v/>
      </c>
      <c r="G529">
        <f>IF($J529="","",SUMIFS('Hours Log'!$E:$E,'Hours Log'!$A:$A,"&gt;="&amp;$J529,'Hours Log'!$A:$A,"&lt;"&amp;$J529+7))</f>
        <v/>
      </c>
      <c r="J529">
        <f>IF(COUNT('Hours Log'!$A$4:$A$5000)=0,"",IF(MIN('Hours Log'!$A$4:$A$5000)+7*(ROW()-10)&gt;MAX('Hours Log'!$A$4:$A$5000),"",MIN('Hours Log'!$A$4:$A$5000)+7*(ROW()-10)))</f>
        <v/>
      </c>
    </row>
    <row r="530">
      <c r="A530">
        <f>IF($J530="","",YEAR($J530-WEEKDAY($J530,2)+4)&amp;"-W"&amp;TEXT(WEEKNUM($J530,21),"00"))</f>
        <v/>
      </c>
      <c r="B530" s="41">
        <f>IF($J530="","",COUNTIFS(Roster!$D$4:$D$500,"Active",Roster!$C$4:$C$500,"&lt;="&amp;$J530))</f>
        <v/>
      </c>
      <c r="C530">
        <f>IF($J530="","",SUMIFS('Hours Log'!$C:$C,'Hours Log'!$A:$A,"&gt;="&amp;$J530,'Hours Log'!$A:$A,"&lt;"&amp;$J530+7)+SUMIFS('Hours Log'!$D:$D,'Hours Log'!$A:$A,"&gt;="&amp;$J530,'Hours Log'!$A:$A,"&lt;"&amp;$J530+7))</f>
        <v/>
      </c>
      <c r="D530">
        <f>IF($J530="","",SUMIFS('Hours Log'!$D:$D,'Hours Log'!$A:$A,"&gt;="&amp;$J530,'Hours Log'!$A:$A,"&lt;"&amp;$J530+7))</f>
        <v/>
      </c>
      <c r="E530">
        <f>IF($J530="","",IFERROR(C530/(B530*40),0))</f>
        <v/>
      </c>
      <c r="F530">
        <f>IF($J530="","",0)</f>
        <v/>
      </c>
      <c r="G530">
        <f>IF($J530="","",SUMIFS('Hours Log'!$E:$E,'Hours Log'!$A:$A,"&gt;="&amp;$J530,'Hours Log'!$A:$A,"&lt;"&amp;$J530+7))</f>
        <v/>
      </c>
      <c r="J530">
        <f>IF(COUNT('Hours Log'!$A$4:$A$5000)=0,"",IF(MIN('Hours Log'!$A$4:$A$5000)+7*(ROW()-10)&gt;MAX('Hours Log'!$A$4:$A$5000),"",MIN('Hours Log'!$A$4:$A$5000)+7*(ROW()-10)))</f>
        <v/>
      </c>
    </row>
    <row r="531">
      <c r="A531">
        <f>IF($J531="","",YEAR($J531-WEEKDAY($J531,2)+4)&amp;"-W"&amp;TEXT(WEEKNUM($J531,21),"00"))</f>
        <v/>
      </c>
      <c r="B531" s="41">
        <f>IF($J531="","",COUNTIFS(Roster!$D$4:$D$500,"Active",Roster!$C$4:$C$500,"&lt;="&amp;$J531))</f>
        <v/>
      </c>
      <c r="C531">
        <f>IF($J531="","",SUMIFS('Hours Log'!$C:$C,'Hours Log'!$A:$A,"&gt;="&amp;$J531,'Hours Log'!$A:$A,"&lt;"&amp;$J531+7)+SUMIFS('Hours Log'!$D:$D,'Hours Log'!$A:$A,"&gt;="&amp;$J531,'Hours Log'!$A:$A,"&lt;"&amp;$J531+7))</f>
        <v/>
      </c>
      <c r="D531">
        <f>IF($J531="","",SUMIFS('Hours Log'!$D:$D,'Hours Log'!$A:$A,"&gt;="&amp;$J531,'Hours Log'!$A:$A,"&lt;"&amp;$J531+7))</f>
        <v/>
      </c>
      <c r="E531">
        <f>IF($J531="","",IFERROR(C531/(B531*40),0))</f>
        <v/>
      </c>
      <c r="F531">
        <f>IF($J531="","",0)</f>
        <v/>
      </c>
      <c r="G531">
        <f>IF($J531="","",SUMIFS('Hours Log'!$E:$E,'Hours Log'!$A:$A,"&gt;="&amp;$J531,'Hours Log'!$A:$A,"&lt;"&amp;$J531+7))</f>
        <v/>
      </c>
      <c r="J531">
        <f>IF(COUNT('Hours Log'!$A$4:$A$5000)=0,"",IF(MIN('Hours Log'!$A$4:$A$5000)+7*(ROW()-10)&gt;MAX('Hours Log'!$A$4:$A$5000),"",MIN('Hours Log'!$A$4:$A$5000)+7*(ROW()-10)))</f>
        <v/>
      </c>
    </row>
    <row r="532">
      <c r="A532">
        <f>IF($J532="","",YEAR($J532-WEEKDAY($J532,2)+4)&amp;"-W"&amp;TEXT(WEEKNUM($J532,21),"00"))</f>
        <v/>
      </c>
      <c r="B532" s="41">
        <f>IF($J532="","",COUNTIFS(Roster!$D$4:$D$500,"Active",Roster!$C$4:$C$500,"&lt;="&amp;$J532))</f>
        <v/>
      </c>
      <c r="C532">
        <f>IF($J532="","",SUMIFS('Hours Log'!$C:$C,'Hours Log'!$A:$A,"&gt;="&amp;$J532,'Hours Log'!$A:$A,"&lt;"&amp;$J532+7)+SUMIFS('Hours Log'!$D:$D,'Hours Log'!$A:$A,"&gt;="&amp;$J532,'Hours Log'!$A:$A,"&lt;"&amp;$J532+7))</f>
        <v/>
      </c>
      <c r="D532">
        <f>IF($J532="","",SUMIFS('Hours Log'!$D:$D,'Hours Log'!$A:$A,"&gt;="&amp;$J532,'Hours Log'!$A:$A,"&lt;"&amp;$J532+7))</f>
        <v/>
      </c>
      <c r="E532">
        <f>IF($J532="","",IFERROR(C532/(B532*40),0))</f>
        <v/>
      </c>
      <c r="F532">
        <f>IF($J532="","",0)</f>
        <v/>
      </c>
      <c r="G532">
        <f>IF($J532="","",SUMIFS('Hours Log'!$E:$E,'Hours Log'!$A:$A,"&gt;="&amp;$J532,'Hours Log'!$A:$A,"&lt;"&amp;$J532+7))</f>
        <v/>
      </c>
      <c r="J532">
        <f>IF(COUNT('Hours Log'!$A$4:$A$5000)=0,"",IF(MIN('Hours Log'!$A$4:$A$5000)+7*(ROW()-10)&gt;MAX('Hours Log'!$A$4:$A$5000),"",MIN('Hours Log'!$A$4:$A$5000)+7*(ROW()-10)))</f>
        <v/>
      </c>
    </row>
    <row r="533">
      <c r="A533">
        <f>IF($J533="","",YEAR($J533-WEEKDAY($J533,2)+4)&amp;"-W"&amp;TEXT(WEEKNUM($J533,21),"00"))</f>
        <v/>
      </c>
      <c r="B533" s="41">
        <f>IF($J533="","",COUNTIFS(Roster!$D$4:$D$500,"Active",Roster!$C$4:$C$500,"&lt;="&amp;$J533))</f>
        <v/>
      </c>
      <c r="C533">
        <f>IF($J533="","",SUMIFS('Hours Log'!$C:$C,'Hours Log'!$A:$A,"&gt;="&amp;$J533,'Hours Log'!$A:$A,"&lt;"&amp;$J533+7)+SUMIFS('Hours Log'!$D:$D,'Hours Log'!$A:$A,"&gt;="&amp;$J533,'Hours Log'!$A:$A,"&lt;"&amp;$J533+7))</f>
        <v/>
      </c>
      <c r="D533">
        <f>IF($J533="","",SUMIFS('Hours Log'!$D:$D,'Hours Log'!$A:$A,"&gt;="&amp;$J533,'Hours Log'!$A:$A,"&lt;"&amp;$J533+7))</f>
        <v/>
      </c>
      <c r="E533">
        <f>IF($J533="","",IFERROR(C533/(B533*40),0))</f>
        <v/>
      </c>
      <c r="F533">
        <f>IF($J533="","",0)</f>
        <v/>
      </c>
      <c r="G533">
        <f>IF($J533="","",SUMIFS('Hours Log'!$E:$E,'Hours Log'!$A:$A,"&gt;="&amp;$J533,'Hours Log'!$A:$A,"&lt;"&amp;$J533+7))</f>
        <v/>
      </c>
      <c r="J533">
        <f>IF(COUNT('Hours Log'!$A$4:$A$5000)=0,"",IF(MIN('Hours Log'!$A$4:$A$5000)+7*(ROW()-10)&gt;MAX('Hours Log'!$A$4:$A$5000),"",MIN('Hours Log'!$A$4:$A$5000)+7*(ROW()-10)))</f>
        <v/>
      </c>
    </row>
    <row r="534">
      <c r="A534">
        <f>IF($J534="","",YEAR($J534-WEEKDAY($J534,2)+4)&amp;"-W"&amp;TEXT(WEEKNUM($J534,21),"00"))</f>
        <v/>
      </c>
      <c r="B534" s="41">
        <f>IF($J534="","",COUNTIFS(Roster!$D$4:$D$500,"Active",Roster!$C$4:$C$500,"&lt;="&amp;$J534))</f>
        <v/>
      </c>
      <c r="C534">
        <f>IF($J534="","",SUMIFS('Hours Log'!$C:$C,'Hours Log'!$A:$A,"&gt;="&amp;$J534,'Hours Log'!$A:$A,"&lt;"&amp;$J534+7)+SUMIFS('Hours Log'!$D:$D,'Hours Log'!$A:$A,"&gt;="&amp;$J534,'Hours Log'!$A:$A,"&lt;"&amp;$J534+7))</f>
        <v/>
      </c>
      <c r="D534">
        <f>IF($J534="","",SUMIFS('Hours Log'!$D:$D,'Hours Log'!$A:$A,"&gt;="&amp;$J534,'Hours Log'!$A:$A,"&lt;"&amp;$J534+7))</f>
        <v/>
      </c>
      <c r="E534">
        <f>IF($J534="","",IFERROR(C534/(B534*40),0))</f>
        <v/>
      </c>
      <c r="F534">
        <f>IF($J534="","",0)</f>
        <v/>
      </c>
      <c r="G534">
        <f>IF($J534="","",SUMIFS('Hours Log'!$E:$E,'Hours Log'!$A:$A,"&gt;="&amp;$J534,'Hours Log'!$A:$A,"&lt;"&amp;$J534+7))</f>
        <v/>
      </c>
      <c r="J534">
        <f>IF(COUNT('Hours Log'!$A$4:$A$5000)=0,"",IF(MIN('Hours Log'!$A$4:$A$5000)+7*(ROW()-10)&gt;MAX('Hours Log'!$A$4:$A$5000),"",MIN('Hours Log'!$A$4:$A$5000)+7*(ROW()-10)))</f>
        <v/>
      </c>
    </row>
    <row r="535">
      <c r="A535">
        <f>IF($J535="","",YEAR($J535-WEEKDAY($J535,2)+4)&amp;"-W"&amp;TEXT(WEEKNUM($J535,21),"00"))</f>
        <v/>
      </c>
      <c r="B535" s="41">
        <f>IF($J535="","",COUNTIFS(Roster!$D$4:$D$500,"Active",Roster!$C$4:$C$500,"&lt;="&amp;$J535))</f>
        <v/>
      </c>
      <c r="C535">
        <f>IF($J535="","",SUMIFS('Hours Log'!$C:$C,'Hours Log'!$A:$A,"&gt;="&amp;$J535,'Hours Log'!$A:$A,"&lt;"&amp;$J535+7)+SUMIFS('Hours Log'!$D:$D,'Hours Log'!$A:$A,"&gt;="&amp;$J535,'Hours Log'!$A:$A,"&lt;"&amp;$J535+7))</f>
        <v/>
      </c>
      <c r="D535">
        <f>IF($J535="","",SUMIFS('Hours Log'!$D:$D,'Hours Log'!$A:$A,"&gt;="&amp;$J535,'Hours Log'!$A:$A,"&lt;"&amp;$J535+7))</f>
        <v/>
      </c>
      <c r="E535">
        <f>IF($J535="","",IFERROR(C535/(B535*40),0))</f>
        <v/>
      </c>
      <c r="F535">
        <f>IF($J535="","",0)</f>
        <v/>
      </c>
      <c r="G535">
        <f>IF($J535="","",SUMIFS('Hours Log'!$E:$E,'Hours Log'!$A:$A,"&gt;="&amp;$J535,'Hours Log'!$A:$A,"&lt;"&amp;$J535+7))</f>
        <v/>
      </c>
      <c r="J535">
        <f>IF(COUNT('Hours Log'!$A$4:$A$5000)=0,"",IF(MIN('Hours Log'!$A$4:$A$5000)+7*(ROW()-10)&gt;MAX('Hours Log'!$A$4:$A$5000),"",MIN('Hours Log'!$A$4:$A$5000)+7*(ROW()-10)))</f>
        <v/>
      </c>
    </row>
    <row r="536">
      <c r="A536">
        <f>IF($J536="","",YEAR($J536-WEEKDAY($J536,2)+4)&amp;"-W"&amp;TEXT(WEEKNUM($J536,21),"00"))</f>
        <v/>
      </c>
      <c r="B536" s="41">
        <f>IF($J536="","",COUNTIFS(Roster!$D$4:$D$500,"Active",Roster!$C$4:$C$500,"&lt;="&amp;$J536))</f>
        <v/>
      </c>
      <c r="C536">
        <f>IF($J536="","",SUMIFS('Hours Log'!$C:$C,'Hours Log'!$A:$A,"&gt;="&amp;$J536,'Hours Log'!$A:$A,"&lt;"&amp;$J536+7)+SUMIFS('Hours Log'!$D:$D,'Hours Log'!$A:$A,"&gt;="&amp;$J536,'Hours Log'!$A:$A,"&lt;"&amp;$J536+7))</f>
        <v/>
      </c>
      <c r="D536">
        <f>IF($J536="","",SUMIFS('Hours Log'!$D:$D,'Hours Log'!$A:$A,"&gt;="&amp;$J536,'Hours Log'!$A:$A,"&lt;"&amp;$J536+7))</f>
        <v/>
      </c>
      <c r="E536">
        <f>IF($J536="","",IFERROR(C536/(B536*40),0))</f>
        <v/>
      </c>
      <c r="F536">
        <f>IF($J536="","",0)</f>
        <v/>
      </c>
      <c r="G536">
        <f>IF($J536="","",SUMIFS('Hours Log'!$E:$E,'Hours Log'!$A:$A,"&gt;="&amp;$J536,'Hours Log'!$A:$A,"&lt;"&amp;$J536+7))</f>
        <v/>
      </c>
      <c r="J536">
        <f>IF(COUNT('Hours Log'!$A$4:$A$5000)=0,"",IF(MIN('Hours Log'!$A$4:$A$5000)+7*(ROW()-10)&gt;MAX('Hours Log'!$A$4:$A$5000),"",MIN('Hours Log'!$A$4:$A$5000)+7*(ROW()-10)))</f>
        <v/>
      </c>
    </row>
    <row r="537">
      <c r="A537">
        <f>IF($J537="","",YEAR($J537-WEEKDAY($J537,2)+4)&amp;"-W"&amp;TEXT(WEEKNUM($J537,21),"00"))</f>
        <v/>
      </c>
      <c r="B537" s="41">
        <f>IF($J537="","",COUNTIFS(Roster!$D$4:$D$500,"Active",Roster!$C$4:$C$500,"&lt;="&amp;$J537))</f>
        <v/>
      </c>
      <c r="C537">
        <f>IF($J537="","",SUMIFS('Hours Log'!$C:$C,'Hours Log'!$A:$A,"&gt;="&amp;$J537,'Hours Log'!$A:$A,"&lt;"&amp;$J537+7)+SUMIFS('Hours Log'!$D:$D,'Hours Log'!$A:$A,"&gt;="&amp;$J537,'Hours Log'!$A:$A,"&lt;"&amp;$J537+7))</f>
        <v/>
      </c>
      <c r="D537">
        <f>IF($J537="","",SUMIFS('Hours Log'!$D:$D,'Hours Log'!$A:$A,"&gt;="&amp;$J537,'Hours Log'!$A:$A,"&lt;"&amp;$J537+7))</f>
        <v/>
      </c>
      <c r="E537">
        <f>IF($J537="","",IFERROR(C537/(B537*40),0))</f>
        <v/>
      </c>
      <c r="F537">
        <f>IF($J537="","",0)</f>
        <v/>
      </c>
      <c r="G537">
        <f>IF($J537="","",SUMIFS('Hours Log'!$E:$E,'Hours Log'!$A:$A,"&gt;="&amp;$J537,'Hours Log'!$A:$A,"&lt;"&amp;$J537+7))</f>
        <v/>
      </c>
      <c r="J537">
        <f>IF(COUNT('Hours Log'!$A$4:$A$5000)=0,"",IF(MIN('Hours Log'!$A$4:$A$5000)+7*(ROW()-10)&gt;MAX('Hours Log'!$A$4:$A$5000),"",MIN('Hours Log'!$A$4:$A$5000)+7*(ROW()-10)))</f>
        <v/>
      </c>
    </row>
    <row r="538">
      <c r="A538">
        <f>IF($J538="","",YEAR($J538-WEEKDAY($J538,2)+4)&amp;"-W"&amp;TEXT(WEEKNUM($J538,21),"00"))</f>
        <v/>
      </c>
      <c r="B538" s="41">
        <f>IF($J538="","",COUNTIFS(Roster!$D$4:$D$500,"Active",Roster!$C$4:$C$500,"&lt;="&amp;$J538))</f>
        <v/>
      </c>
      <c r="C538">
        <f>IF($J538="","",SUMIFS('Hours Log'!$C:$C,'Hours Log'!$A:$A,"&gt;="&amp;$J538,'Hours Log'!$A:$A,"&lt;"&amp;$J538+7)+SUMIFS('Hours Log'!$D:$D,'Hours Log'!$A:$A,"&gt;="&amp;$J538,'Hours Log'!$A:$A,"&lt;"&amp;$J538+7))</f>
        <v/>
      </c>
      <c r="D538">
        <f>IF($J538="","",SUMIFS('Hours Log'!$D:$D,'Hours Log'!$A:$A,"&gt;="&amp;$J538,'Hours Log'!$A:$A,"&lt;"&amp;$J538+7))</f>
        <v/>
      </c>
      <c r="E538">
        <f>IF($J538="","",IFERROR(C538/(B538*40),0))</f>
        <v/>
      </c>
      <c r="F538">
        <f>IF($J538="","",0)</f>
        <v/>
      </c>
      <c r="G538">
        <f>IF($J538="","",SUMIFS('Hours Log'!$E:$E,'Hours Log'!$A:$A,"&gt;="&amp;$J538,'Hours Log'!$A:$A,"&lt;"&amp;$J538+7))</f>
        <v/>
      </c>
      <c r="J538">
        <f>IF(COUNT('Hours Log'!$A$4:$A$5000)=0,"",IF(MIN('Hours Log'!$A$4:$A$5000)+7*(ROW()-10)&gt;MAX('Hours Log'!$A$4:$A$5000),"",MIN('Hours Log'!$A$4:$A$5000)+7*(ROW()-10)))</f>
        <v/>
      </c>
    </row>
    <row r="539">
      <c r="A539">
        <f>IF($J539="","",YEAR($J539-WEEKDAY($J539,2)+4)&amp;"-W"&amp;TEXT(WEEKNUM($J539,21),"00"))</f>
        <v/>
      </c>
      <c r="B539" s="41">
        <f>IF($J539="","",COUNTIFS(Roster!$D$4:$D$500,"Active",Roster!$C$4:$C$500,"&lt;="&amp;$J539))</f>
        <v/>
      </c>
      <c r="C539">
        <f>IF($J539="","",SUMIFS('Hours Log'!$C:$C,'Hours Log'!$A:$A,"&gt;="&amp;$J539,'Hours Log'!$A:$A,"&lt;"&amp;$J539+7)+SUMIFS('Hours Log'!$D:$D,'Hours Log'!$A:$A,"&gt;="&amp;$J539,'Hours Log'!$A:$A,"&lt;"&amp;$J539+7))</f>
        <v/>
      </c>
      <c r="D539">
        <f>IF($J539="","",SUMIFS('Hours Log'!$D:$D,'Hours Log'!$A:$A,"&gt;="&amp;$J539,'Hours Log'!$A:$A,"&lt;"&amp;$J539+7))</f>
        <v/>
      </c>
      <c r="E539">
        <f>IF($J539="","",IFERROR(C539/(B539*40),0))</f>
        <v/>
      </c>
      <c r="F539">
        <f>IF($J539="","",0)</f>
        <v/>
      </c>
      <c r="G539">
        <f>IF($J539="","",SUMIFS('Hours Log'!$E:$E,'Hours Log'!$A:$A,"&gt;="&amp;$J539,'Hours Log'!$A:$A,"&lt;"&amp;$J539+7))</f>
        <v/>
      </c>
      <c r="J539">
        <f>IF(COUNT('Hours Log'!$A$4:$A$5000)=0,"",IF(MIN('Hours Log'!$A$4:$A$5000)+7*(ROW()-10)&gt;MAX('Hours Log'!$A$4:$A$5000),"",MIN('Hours Log'!$A$4:$A$5000)+7*(ROW()-10)))</f>
        <v/>
      </c>
    </row>
    <row r="540">
      <c r="A540">
        <f>IF($J540="","",YEAR($J540-WEEKDAY($J540,2)+4)&amp;"-W"&amp;TEXT(WEEKNUM($J540,21),"00"))</f>
        <v/>
      </c>
      <c r="B540" s="41">
        <f>IF($J540="","",COUNTIFS(Roster!$D$4:$D$500,"Active",Roster!$C$4:$C$500,"&lt;="&amp;$J540))</f>
        <v/>
      </c>
      <c r="C540">
        <f>IF($J540="","",SUMIFS('Hours Log'!$C:$C,'Hours Log'!$A:$A,"&gt;="&amp;$J540,'Hours Log'!$A:$A,"&lt;"&amp;$J540+7)+SUMIFS('Hours Log'!$D:$D,'Hours Log'!$A:$A,"&gt;="&amp;$J540,'Hours Log'!$A:$A,"&lt;"&amp;$J540+7))</f>
        <v/>
      </c>
      <c r="D540">
        <f>IF($J540="","",SUMIFS('Hours Log'!$D:$D,'Hours Log'!$A:$A,"&gt;="&amp;$J540,'Hours Log'!$A:$A,"&lt;"&amp;$J540+7))</f>
        <v/>
      </c>
      <c r="E540">
        <f>IF($J540="","",IFERROR(C540/(B540*40),0))</f>
        <v/>
      </c>
      <c r="F540">
        <f>IF($J540="","",0)</f>
        <v/>
      </c>
      <c r="G540">
        <f>IF($J540="","",SUMIFS('Hours Log'!$E:$E,'Hours Log'!$A:$A,"&gt;="&amp;$J540,'Hours Log'!$A:$A,"&lt;"&amp;$J540+7))</f>
        <v/>
      </c>
      <c r="J540">
        <f>IF(COUNT('Hours Log'!$A$4:$A$5000)=0,"",IF(MIN('Hours Log'!$A$4:$A$5000)+7*(ROW()-10)&gt;MAX('Hours Log'!$A$4:$A$5000),"",MIN('Hours Log'!$A$4:$A$5000)+7*(ROW()-10)))</f>
        <v/>
      </c>
    </row>
    <row r="541">
      <c r="A541">
        <f>IF($J541="","",YEAR($J541-WEEKDAY($J541,2)+4)&amp;"-W"&amp;TEXT(WEEKNUM($J541,21),"00"))</f>
        <v/>
      </c>
      <c r="B541" s="41">
        <f>IF($J541="","",COUNTIFS(Roster!$D$4:$D$500,"Active",Roster!$C$4:$C$500,"&lt;="&amp;$J541))</f>
        <v/>
      </c>
      <c r="C541">
        <f>IF($J541="","",SUMIFS('Hours Log'!$C:$C,'Hours Log'!$A:$A,"&gt;="&amp;$J541,'Hours Log'!$A:$A,"&lt;"&amp;$J541+7)+SUMIFS('Hours Log'!$D:$D,'Hours Log'!$A:$A,"&gt;="&amp;$J541,'Hours Log'!$A:$A,"&lt;"&amp;$J541+7))</f>
        <v/>
      </c>
      <c r="D541">
        <f>IF($J541="","",SUMIFS('Hours Log'!$D:$D,'Hours Log'!$A:$A,"&gt;="&amp;$J541,'Hours Log'!$A:$A,"&lt;"&amp;$J541+7))</f>
        <v/>
      </c>
      <c r="E541">
        <f>IF($J541="","",IFERROR(C541/(B541*40),0))</f>
        <v/>
      </c>
      <c r="F541">
        <f>IF($J541="","",0)</f>
        <v/>
      </c>
      <c r="G541">
        <f>IF($J541="","",SUMIFS('Hours Log'!$E:$E,'Hours Log'!$A:$A,"&gt;="&amp;$J541,'Hours Log'!$A:$A,"&lt;"&amp;$J541+7))</f>
        <v/>
      </c>
      <c r="J541">
        <f>IF(COUNT('Hours Log'!$A$4:$A$5000)=0,"",IF(MIN('Hours Log'!$A$4:$A$5000)+7*(ROW()-10)&gt;MAX('Hours Log'!$A$4:$A$5000),"",MIN('Hours Log'!$A$4:$A$5000)+7*(ROW()-10)))</f>
        <v/>
      </c>
    </row>
    <row r="542">
      <c r="A542">
        <f>IF($J542="","",YEAR($J542-WEEKDAY($J542,2)+4)&amp;"-W"&amp;TEXT(WEEKNUM($J542,21),"00"))</f>
        <v/>
      </c>
      <c r="B542" s="41">
        <f>IF($J542="","",COUNTIFS(Roster!$D$4:$D$500,"Active",Roster!$C$4:$C$500,"&lt;="&amp;$J542))</f>
        <v/>
      </c>
      <c r="C542">
        <f>IF($J542="","",SUMIFS('Hours Log'!$C:$C,'Hours Log'!$A:$A,"&gt;="&amp;$J542,'Hours Log'!$A:$A,"&lt;"&amp;$J542+7)+SUMIFS('Hours Log'!$D:$D,'Hours Log'!$A:$A,"&gt;="&amp;$J542,'Hours Log'!$A:$A,"&lt;"&amp;$J542+7))</f>
        <v/>
      </c>
      <c r="D542">
        <f>IF($J542="","",SUMIFS('Hours Log'!$D:$D,'Hours Log'!$A:$A,"&gt;="&amp;$J542,'Hours Log'!$A:$A,"&lt;"&amp;$J542+7))</f>
        <v/>
      </c>
      <c r="E542">
        <f>IF($J542="","",IFERROR(C542/(B542*40),0))</f>
        <v/>
      </c>
      <c r="F542">
        <f>IF($J542="","",0)</f>
        <v/>
      </c>
      <c r="G542">
        <f>IF($J542="","",SUMIFS('Hours Log'!$E:$E,'Hours Log'!$A:$A,"&gt;="&amp;$J542,'Hours Log'!$A:$A,"&lt;"&amp;$J542+7))</f>
        <v/>
      </c>
      <c r="J542">
        <f>IF(COUNT('Hours Log'!$A$4:$A$5000)=0,"",IF(MIN('Hours Log'!$A$4:$A$5000)+7*(ROW()-10)&gt;MAX('Hours Log'!$A$4:$A$5000),"",MIN('Hours Log'!$A$4:$A$5000)+7*(ROW()-10)))</f>
        <v/>
      </c>
    </row>
    <row r="543">
      <c r="A543">
        <f>IF($J543="","",YEAR($J543-WEEKDAY($J543,2)+4)&amp;"-W"&amp;TEXT(WEEKNUM($J543,21),"00"))</f>
        <v/>
      </c>
      <c r="B543" s="41">
        <f>IF($J543="","",COUNTIFS(Roster!$D$4:$D$500,"Active",Roster!$C$4:$C$500,"&lt;="&amp;$J543))</f>
        <v/>
      </c>
      <c r="C543">
        <f>IF($J543="","",SUMIFS('Hours Log'!$C:$C,'Hours Log'!$A:$A,"&gt;="&amp;$J543,'Hours Log'!$A:$A,"&lt;"&amp;$J543+7)+SUMIFS('Hours Log'!$D:$D,'Hours Log'!$A:$A,"&gt;="&amp;$J543,'Hours Log'!$A:$A,"&lt;"&amp;$J543+7))</f>
        <v/>
      </c>
      <c r="D543">
        <f>IF($J543="","",SUMIFS('Hours Log'!$D:$D,'Hours Log'!$A:$A,"&gt;="&amp;$J543,'Hours Log'!$A:$A,"&lt;"&amp;$J543+7))</f>
        <v/>
      </c>
      <c r="E543">
        <f>IF($J543="","",IFERROR(C543/(B543*40),0))</f>
        <v/>
      </c>
      <c r="F543">
        <f>IF($J543="","",0)</f>
        <v/>
      </c>
      <c r="G543">
        <f>IF($J543="","",SUMIFS('Hours Log'!$E:$E,'Hours Log'!$A:$A,"&gt;="&amp;$J543,'Hours Log'!$A:$A,"&lt;"&amp;$J543+7))</f>
        <v/>
      </c>
      <c r="J543">
        <f>IF(COUNT('Hours Log'!$A$4:$A$5000)=0,"",IF(MIN('Hours Log'!$A$4:$A$5000)+7*(ROW()-10)&gt;MAX('Hours Log'!$A$4:$A$5000),"",MIN('Hours Log'!$A$4:$A$5000)+7*(ROW()-10)))</f>
        <v/>
      </c>
    </row>
    <row r="544">
      <c r="A544">
        <f>IF($J544="","",YEAR($J544-WEEKDAY($J544,2)+4)&amp;"-W"&amp;TEXT(WEEKNUM($J544,21),"00"))</f>
        <v/>
      </c>
      <c r="B544" s="41">
        <f>IF($J544="","",COUNTIFS(Roster!$D$4:$D$500,"Active",Roster!$C$4:$C$500,"&lt;="&amp;$J544))</f>
        <v/>
      </c>
      <c r="C544">
        <f>IF($J544="","",SUMIFS('Hours Log'!$C:$C,'Hours Log'!$A:$A,"&gt;="&amp;$J544,'Hours Log'!$A:$A,"&lt;"&amp;$J544+7)+SUMIFS('Hours Log'!$D:$D,'Hours Log'!$A:$A,"&gt;="&amp;$J544,'Hours Log'!$A:$A,"&lt;"&amp;$J544+7))</f>
        <v/>
      </c>
      <c r="D544">
        <f>IF($J544="","",SUMIFS('Hours Log'!$D:$D,'Hours Log'!$A:$A,"&gt;="&amp;$J544,'Hours Log'!$A:$A,"&lt;"&amp;$J544+7))</f>
        <v/>
      </c>
      <c r="E544">
        <f>IF($J544="","",IFERROR(C544/(B544*40),0))</f>
        <v/>
      </c>
      <c r="F544">
        <f>IF($J544="","",0)</f>
        <v/>
      </c>
      <c r="G544">
        <f>IF($J544="","",SUMIFS('Hours Log'!$E:$E,'Hours Log'!$A:$A,"&gt;="&amp;$J544,'Hours Log'!$A:$A,"&lt;"&amp;$J544+7))</f>
        <v/>
      </c>
      <c r="J544">
        <f>IF(COUNT('Hours Log'!$A$4:$A$5000)=0,"",IF(MIN('Hours Log'!$A$4:$A$5000)+7*(ROW()-10)&gt;MAX('Hours Log'!$A$4:$A$5000),"",MIN('Hours Log'!$A$4:$A$5000)+7*(ROW()-10)))</f>
        <v/>
      </c>
    </row>
    <row r="545">
      <c r="A545">
        <f>IF($J545="","",YEAR($J545-WEEKDAY($J545,2)+4)&amp;"-W"&amp;TEXT(WEEKNUM($J545,21),"00"))</f>
        <v/>
      </c>
      <c r="B545" s="41">
        <f>IF($J545="","",COUNTIFS(Roster!$D$4:$D$500,"Active",Roster!$C$4:$C$500,"&lt;="&amp;$J545))</f>
        <v/>
      </c>
      <c r="C545">
        <f>IF($J545="","",SUMIFS('Hours Log'!$C:$C,'Hours Log'!$A:$A,"&gt;="&amp;$J545,'Hours Log'!$A:$A,"&lt;"&amp;$J545+7)+SUMIFS('Hours Log'!$D:$D,'Hours Log'!$A:$A,"&gt;="&amp;$J545,'Hours Log'!$A:$A,"&lt;"&amp;$J545+7))</f>
        <v/>
      </c>
      <c r="D545">
        <f>IF($J545="","",SUMIFS('Hours Log'!$D:$D,'Hours Log'!$A:$A,"&gt;="&amp;$J545,'Hours Log'!$A:$A,"&lt;"&amp;$J545+7))</f>
        <v/>
      </c>
      <c r="E545">
        <f>IF($J545="","",IFERROR(C545/(B545*40),0))</f>
        <v/>
      </c>
      <c r="F545">
        <f>IF($J545="","",0)</f>
        <v/>
      </c>
      <c r="G545">
        <f>IF($J545="","",SUMIFS('Hours Log'!$E:$E,'Hours Log'!$A:$A,"&gt;="&amp;$J545,'Hours Log'!$A:$A,"&lt;"&amp;$J545+7))</f>
        <v/>
      </c>
      <c r="J545">
        <f>IF(COUNT('Hours Log'!$A$4:$A$5000)=0,"",IF(MIN('Hours Log'!$A$4:$A$5000)+7*(ROW()-10)&gt;MAX('Hours Log'!$A$4:$A$5000),"",MIN('Hours Log'!$A$4:$A$5000)+7*(ROW()-10)))</f>
        <v/>
      </c>
    </row>
    <row r="546">
      <c r="A546">
        <f>IF($J546="","",YEAR($J546-WEEKDAY($J546,2)+4)&amp;"-W"&amp;TEXT(WEEKNUM($J546,21),"00"))</f>
        <v/>
      </c>
      <c r="B546" s="41">
        <f>IF($J546="","",COUNTIFS(Roster!$D$4:$D$500,"Active",Roster!$C$4:$C$500,"&lt;="&amp;$J546))</f>
        <v/>
      </c>
      <c r="C546">
        <f>IF($J546="","",SUMIFS('Hours Log'!$C:$C,'Hours Log'!$A:$A,"&gt;="&amp;$J546,'Hours Log'!$A:$A,"&lt;"&amp;$J546+7)+SUMIFS('Hours Log'!$D:$D,'Hours Log'!$A:$A,"&gt;="&amp;$J546,'Hours Log'!$A:$A,"&lt;"&amp;$J546+7))</f>
        <v/>
      </c>
      <c r="D546">
        <f>IF($J546="","",SUMIFS('Hours Log'!$D:$D,'Hours Log'!$A:$A,"&gt;="&amp;$J546,'Hours Log'!$A:$A,"&lt;"&amp;$J546+7))</f>
        <v/>
      </c>
      <c r="E546">
        <f>IF($J546="","",IFERROR(C546/(B546*40),0))</f>
        <v/>
      </c>
      <c r="F546">
        <f>IF($J546="","",0)</f>
        <v/>
      </c>
      <c r="G546">
        <f>IF($J546="","",SUMIFS('Hours Log'!$E:$E,'Hours Log'!$A:$A,"&gt;="&amp;$J546,'Hours Log'!$A:$A,"&lt;"&amp;$J546+7))</f>
        <v/>
      </c>
      <c r="J546">
        <f>IF(COUNT('Hours Log'!$A$4:$A$5000)=0,"",IF(MIN('Hours Log'!$A$4:$A$5000)+7*(ROW()-10)&gt;MAX('Hours Log'!$A$4:$A$5000),"",MIN('Hours Log'!$A$4:$A$5000)+7*(ROW()-10)))</f>
        <v/>
      </c>
    </row>
    <row r="547">
      <c r="A547">
        <f>IF($J547="","",YEAR($J547-WEEKDAY($J547,2)+4)&amp;"-W"&amp;TEXT(WEEKNUM($J547,21),"00"))</f>
        <v/>
      </c>
      <c r="B547" s="41">
        <f>IF($J547="","",COUNTIFS(Roster!$D$4:$D$500,"Active",Roster!$C$4:$C$500,"&lt;="&amp;$J547))</f>
        <v/>
      </c>
      <c r="C547">
        <f>IF($J547="","",SUMIFS('Hours Log'!$C:$C,'Hours Log'!$A:$A,"&gt;="&amp;$J547,'Hours Log'!$A:$A,"&lt;"&amp;$J547+7)+SUMIFS('Hours Log'!$D:$D,'Hours Log'!$A:$A,"&gt;="&amp;$J547,'Hours Log'!$A:$A,"&lt;"&amp;$J547+7))</f>
        <v/>
      </c>
      <c r="D547">
        <f>IF($J547="","",SUMIFS('Hours Log'!$D:$D,'Hours Log'!$A:$A,"&gt;="&amp;$J547,'Hours Log'!$A:$A,"&lt;"&amp;$J547+7))</f>
        <v/>
      </c>
      <c r="E547">
        <f>IF($J547="","",IFERROR(C547/(B547*40),0))</f>
        <v/>
      </c>
      <c r="F547">
        <f>IF($J547="","",0)</f>
        <v/>
      </c>
      <c r="G547">
        <f>IF($J547="","",SUMIFS('Hours Log'!$E:$E,'Hours Log'!$A:$A,"&gt;="&amp;$J547,'Hours Log'!$A:$A,"&lt;"&amp;$J547+7))</f>
        <v/>
      </c>
      <c r="J547">
        <f>IF(COUNT('Hours Log'!$A$4:$A$5000)=0,"",IF(MIN('Hours Log'!$A$4:$A$5000)+7*(ROW()-10)&gt;MAX('Hours Log'!$A$4:$A$5000),"",MIN('Hours Log'!$A$4:$A$5000)+7*(ROW()-10)))</f>
        <v/>
      </c>
    </row>
    <row r="548">
      <c r="A548">
        <f>IF($J548="","",YEAR($J548-WEEKDAY($J548,2)+4)&amp;"-W"&amp;TEXT(WEEKNUM($J548,21),"00"))</f>
        <v/>
      </c>
      <c r="B548" s="41">
        <f>IF($J548="","",COUNTIFS(Roster!$D$4:$D$500,"Active",Roster!$C$4:$C$500,"&lt;="&amp;$J548))</f>
        <v/>
      </c>
      <c r="C548">
        <f>IF($J548="","",SUMIFS('Hours Log'!$C:$C,'Hours Log'!$A:$A,"&gt;="&amp;$J548,'Hours Log'!$A:$A,"&lt;"&amp;$J548+7)+SUMIFS('Hours Log'!$D:$D,'Hours Log'!$A:$A,"&gt;="&amp;$J548,'Hours Log'!$A:$A,"&lt;"&amp;$J548+7))</f>
        <v/>
      </c>
      <c r="D548">
        <f>IF($J548="","",SUMIFS('Hours Log'!$D:$D,'Hours Log'!$A:$A,"&gt;="&amp;$J548,'Hours Log'!$A:$A,"&lt;"&amp;$J548+7))</f>
        <v/>
      </c>
      <c r="E548">
        <f>IF($J548="","",IFERROR(C548/(B548*40),0))</f>
        <v/>
      </c>
      <c r="F548">
        <f>IF($J548="","",0)</f>
        <v/>
      </c>
      <c r="G548">
        <f>IF($J548="","",SUMIFS('Hours Log'!$E:$E,'Hours Log'!$A:$A,"&gt;="&amp;$J548,'Hours Log'!$A:$A,"&lt;"&amp;$J548+7))</f>
        <v/>
      </c>
      <c r="J548">
        <f>IF(COUNT('Hours Log'!$A$4:$A$5000)=0,"",IF(MIN('Hours Log'!$A$4:$A$5000)+7*(ROW()-10)&gt;MAX('Hours Log'!$A$4:$A$5000),"",MIN('Hours Log'!$A$4:$A$5000)+7*(ROW()-10)))</f>
        <v/>
      </c>
    </row>
    <row r="549">
      <c r="A549">
        <f>IF($J549="","",YEAR($J549-WEEKDAY($J549,2)+4)&amp;"-W"&amp;TEXT(WEEKNUM($J549,21),"00"))</f>
        <v/>
      </c>
      <c r="B549" s="41">
        <f>IF($J549="","",COUNTIFS(Roster!$D$4:$D$500,"Active",Roster!$C$4:$C$500,"&lt;="&amp;$J549))</f>
        <v/>
      </c>
      <c r="C549">
        <f>IF($J549="","",SUMIFS('Hours Log'!$C:$C,'Hours Log'!$A:$A,"&gt;="&amp;$J549,'Hours Log'!$A:$A,"&lt;"&amp;$J549+7)+SUMIFS('Hours Log'!$D:$D,'Hours Log'!$A:$A,"&gt;="&amp;$J549,'Hours Log'!$A:$A,"&lt;"&amp;$J549+7))</f>
        <v/>
      </c>
      <c r="D549">
        <f>IF($J549="","",SUMIFS('Hours Log'!$D:$D,'Hours Log'!$A:$A,"&gt;="&amp;$J549,'Hours Log'!$A:$A,"&lt;"&amp;$J549+7))</f>
        <v/>
      </c>
      <c r="E549">
        <f>IF($J549="","",IFERROR(C549/(B549*40),0))</f>
        <v/>
      </c>
      <c r="F549">
        <f>IF($J549="","",0)</f>
        <v/>
      </c>
      <c r="G549">
        <f>IF($J549="","",SUMIFS('Hours Log'!$E:$E,'Hours Log'!$A:$A,"&gt;="&amp;$J549,'Hours Log'!$A:$A,"&lt;"&amp;$J549+7))</f>
        <v/>
      </c>
      <c r="J549">
        <f>IF(COUNT('Hours Log'!$A$4:$A$5000)=0,"",IF(MIN('Hours Log'!$A$4:$A$5000)+7*(ROW()-10)&gt;MAX('Hours Log'!$A$4:$A$5000),"",MIN('Hours Log'!$A$4:$A$5000)+7*(ROW()-10)))</f>
        <v/>
      </c>
    </row>
    <row r="550">
      <c r="A550">
        <f>IF($J550="","",YEAR($J550-WEEKDAY($J550,2)+4)&amp;"-W"&amp;TEXT(WEEKNUM($J550,21),"00"))</f>
        <v/>
      </c>
      <c r="B550" s="41">
        <f>IF($J550="","",COUNTIFS(Roster!$D$4:$D$500,"Active",Roster!$C$4:$C$500,"&lt;="&amp;$J550))</f>
        <v/>
      </c>
      <c r="C550">
        <f>IF($J550="","",SUMIFS('Hours Log'!$C:$C,'Hours Log'!$A:$A,"&gt;="&amp;$J550,'Hours Log'!$A:$A,"&lt;"&amp;$J550+7)+SUMIFS('Hours Log'!$D:$D,'Hours Log'!$A:$A,"&gt;="&amp;$J550,'Hours Log'!$A:$A,"&lt;"&amp;$J550+7))</f>
        <v/>
      </c>
      <c r="D550">
        <f>IF($J550="","",SUMIFS('Hours Log'!$D:$D,'Hours Log'!$A:$A,"&gt;="&amp;$J550,'Hours Log'!$A:$A,"&lt;"&amp;$J550+7))</f>
        <v/>
      </c>
      <c r="E550">
        <f>IF($J550="","",IFERROR(C550/(B550*40),0))</f>
        <v/>
      </c>
      <c r="F550">
        <f>IF($J550="","",0)</f>
        <v/>
      </c>
      <c r="G550">
        <f>IF($J550="","",SUMIFS('Hours Log'!$E:$E,'Hours Log'!$A:$A,"&gt;="&amp;$J550,'Hours Log'!$A:$A,"&lt;"&amp;$J550+7))</f>
        <v/>
      </c>
      <c r="J550">
        <f>IF(COUNT('Hours Log'!$A$4:$A$5000)=0,"",IF(MIN('Hours Log'!$A$4:$A$5000)+7*(ROW()-10)&gt;MAX('Hours Log'!$A$4:$A$5000),"",MIN('Hours Log'!$A$4:$A$5000)+7*(ROW()-10)))</f>
        <v/>
      </c>
    </row>
    <row r="551">
      <c r="A551">
        <f>IF($J551="","",YEAR($J551-WEEKDAY($J551,2)+4)&amp;"-W"&amp;TEXT(WEEKNUM($J551,21),"00"))</f>
        <v/>
      </c>
      <c r="B551" s="41">
        <f>IF($J551="","",COUNTIFS(Roster!$D$4:$D$500,"Active",Roster!$C$4:$C$500,"&lt;="&amp;$J551))</f>
        <v/>
      </c>
      <c r="C551">
        <f>IF($J551="","",SUMIFS('Hours Log'!$C:$C,'Hours Log'!$A:$A,"&gt;="&amp;$J551,'Hours Log'!$A:$A,"&lt;"&amp;$J551+7)+SUMIFS('Hours Log'!$D:$D,'Hours Log'!$A:$A,"&gt;="&amp;$J551,'Hours Log'!$A:$A,"&lt;"&amp;$J551+7))</f>
        <v/>
      </c>
      <c r="D551">
        <f>IF($J551="","",SUMIFS('Hours Log'!$D:$D,'Hours Log'!$A:$A,"&gt;="&amp;$J551,'Hours Log'!$A:$A,"&lt;"&amp;$J551+7))</f>
        <v/>
      </c>
      <c r="E551">
        <f>IF($J551="","",IFERROR(C551/(B551*40),0))</f>
        <v/>
      </c>
      <c r="F551">
        <f>IF($J551="","",0)</f>
        <v/>
      </c>
      <c r="G551">
        <f>IF($J551="","",SUMIFS('Hours Log'!$E:$E,'Hours Log'!$A:$A,"&gt;="&amp;$J551,'Hours Log'!$A:$A,"&lt;"&amp;$J551+7))</f>
        <v/>
      </c>
      <c r="J551">
        <f>IF(COUNT('Hours Log'!$A$4:$A$5000)=0,"",IF(MIN('Hours Log'!$A$4:$A$5000)+7*(ROW()-10)&gt;MAX('Hours Log'!$A$4:$A$5000),"",MIN('Hours Log'!$A$4:$A$5000)+7*(ROW()-10)))</f>
        <v/>
      </c>
    </row>
    <row r="552">
      <c r="A552">
        <f>IF($J552="","",YEAR($J552-WEEKDAY($J552,2)+4)&amp;"-W"&amp;TEXT(WEEKNUM($J552,21),"00"))</f>
        <v/>
      </c>
      <c r="B552" s="41">
        <f>IF($J552="","",COUNTIFS(Roster!$D$4:$D$500,"Active",Roster!$C$4:$C$500,"&lt;="&amp;$J552))</f>
        <v/>
      </c>
      <c r="C552">
        <f>IF($J552="","",SUMIFS('Hours Log'!$C:$C,'Hours Log'!$A:$A,"&gt;="&amp;$J552,'Hours Log'!$A:$A,"&lt;"&amp;$J552+7)+SUMIFS('Hours Log'!$D:$D,'Hours Log'!$A:$A,"&gt;="&amp;$J552,'Hours Log'!$A:$A,"&lt;"&amp;$J552+7))</f>
        <v/>
      </c>
      <c r="D552">
        <f>IF($J552="","",SUMIFS('Hours Log'!$D:$D,'Hours Log'!$A:$A,"&gt;="&amp;$J552,'Hours Log'!$A:$A,"&lt;"&amp;$J552+7))</f>
        <v/>
      </c>
      <c r="E552">
        <f>IF($J552="","",IFERROR(C552/(B552*40),0))</f>
        <v/>
      </c>
      <c r="F552">
        <f>IF($J552="","",0)</f>
        <v/>
      </c>
      <c r="G552">
        <f>IF($J552="","",SUMIFS('Hours Log'!$E:$E,'Hours Log'!$A:$A,"&gt;="&amp;$J552,'Hours Log'!$A:$A,"&lt;"&amp;$J552+7))</f>
        <v/>
      </c>
      <c r="J552">
        <f>IF(COUNT('Hours Log'!$A$4:$A$5000)=0,"",IF(MIN('Hours Log'!$A$4:$A$5000)+7*(ROW()-10)&gt;MAX('Hours Log'!$A$4:$A$5000),"",MIN('Hours Log'!$A$4:$A$5000)+7*(ROW()-10)))</f>
        <v/>
      </c>
    </row>
    <row r="553">
      <c r="A553">
        <f>IF($J553="","",YEAR($J553-WEEKDAY($J553,2)+4)&amp;"-W"&amp;TEXT(WEEKNUM($J553,21),"00"))</f>
        <v/>
      </c>
      <c r="B553" s="41">
        <f>IF($J553="","",COUNTIFS(Roster!$D$4:$D$500,"Active",Roster!$C$4:$C$500,"&lt;="&amp;$J553))</f>
        <v/>
      </c>
      <c r="C553">
        <f>IF($J553="","",SUMIFS('Hours Log'!$C:$C,'Hours Log'!$A:$A,"&gt;="&amp;$J553,'Hours Log'!$A:$A,"&lt;"&amp;$J553+7)+SUMIFS('Hours Log'!$D:$D,'Hours Log'!$A:$A,"&gt;="&amp;$J553,'Hours Log'!$A:$A,"&lt;"&amp;$J553+7))</f>
        <v/>
      </c>
      <c r="D553">
        <f>IF($J553="","",SUMIFS('Hours Log'!$D:$D,'Hours Log'!$A:$A,"&gt;="&amp;$J553,'Hours Log'!$A:$A,"&lt;"&amp;$J553+7))</f>
        <v/>
      </c>
      <c r="E553">
        <f>IF($J553="","",IFERROR(C553/(B553*40),0))</f>
        <v/>
      </c>
      <c r="F553">
        <f>IF($J553="","",0)</f>
        <v/>
      </c>
      <c r="G553">
        <f>IF($J553="","",SUMIFS('Hours Log'!$E:$E,'Hours Log'!$A:$A,"&gt;="&amp;$J553,'Hours Log'!$A:$A,"&lt;"&amp;$J553+7))</f>
        <v/>
      </c>
      <c r="J553">
        <f>IF(COUNT('Hours Log'!$A$4:$A$5000)=0,"",IF(MIN('Hours Log'!$A$4:$A$5000)+7*(ROW()-10)&gt;MAX('Hours Log'!$A$4:$A$5000),"",MIN('Hours Log'!$A$4:$A$5000)+7*(ROW()-10)))</f>
        <v/>
      </c>
    </row>
    <row r="554">
      <c r="A554">
        <f>IF($J554="","",YEAR($J554-WEEKDAY($J554,2)+4)&amp;"-W"&amp;TEXT(WEEKNUM($J554,21),"00"))</f>
        <v/>
      </c>
      <c r="B554" s="41">
        <f>IF($J554="","",COUNTIFS(Roster!$D$4:$D$500,"Active",Roster!$C$4:$C$500,"&lt;="&amp;$J554))</f>
        <v/>
      </c>
      <c r="C554">
        <f>IF($J554="","",SUMIFS('Hours Log'!$C:$C,'Hours Log'!$A:$A,"&gt;="&amp;$J554,'Hours Log'!$A:$A,"&lt;"&amp;$J554+7)+SUMIFS('Hours Log'!$D:$D,'Hours Log'!$A:$A,"&gt;="&amp;$J554,'Hours Log'!$A:$A,"&lt;"&amp;$J554+7))</f>
        <v/>
      </c>
      <c r="D554">
        <f>IF($J554="","",SUMIFS('Hours Log'!$D:$D,'Hours Log'!$A:$A,"&gt;="&amp;$J554,'Hours Log'!$A:$A,"&lt;"&amp;$J554+7))</f>
        <v/>
      </c>
      <c r="E554">
        <f>IF($J554="","",IFERROR(C554/(B554*40),0))</f>
        <v/>
      </c>
      <c r="F554">
        <f>IF($J554="","",0)</f>
        <v/>
      </c>
      <c r="G554">
        <f>IF($J554="","",SUMIFS('Hours Log'!$E:$E,'Hours Log'!$A:$A,"&gt;="&amp;$J554,'Hours Log'!$A:$A,"&lt;"&amp;$J554+7))</f>
        <v/>
      </c>
      <c r="J554">
        <f>IF(COUNT('Hours Log'!$A$4:$A$5000)=0,"",IF(MIN('Hours Log'!$A$4:$A$5000)+7*(ROW()-10)&gt;MAX('Hours Log'!$A$4:$A$5000),"",MIN('Hours Log'!$A$4:$A$5000)+7*(ROW()-10)))</f>
        <v/>
      </c>
    </row>
    <row r="555">
      <c r="A555">
        <f>IF($J555="","",YEAR($J555-WEEKDAY($J555,2)+4)&amp;"-W"&amp;TEXT(WEEKNUM($J555,21),"00"))</f>
        <v/>
      </c>
      <c r="B555" s="41">
        <f>IF($J555="","",COUNTIFS(Roster!$D$4:$D$500,"Active",Roster!$C$4:$C$500,"&lt;="&amp;$J555))</f>
        <v/>
      </c>
      <c r="C555">
        <f>IF($J555="","",SUMIFS('Hours Log'!$C:$C,'Hours Log'!$A:$A,"&gt;="&amp;$J555,'Hours Log'!$A:$A,"&lt;"&amp;$J555+7)+SUMIFS('Hours Log'!$D:$D,'Hours Log'!$A:$A,"&gt;="&amp;$J555,'Hours Log'!$A:$A,"&lt;"&amp;$J555+7))</f>
        <v/>
      </c>
      <c r="D555">
        <f>IF($J555="","",SUMIFS('Hours Log'!$D:$D,'Hours Log'!$A:$A,"&gt;="&amp;$J555,'Hours Log'!$A:$A,"&lt;"&amp;$J555+7))</f>
        <v/>
      </c>
      <c r="E555">
        <f>IF($J555="","",IFERROR(C555/(B555*40),0))</f>
        <v/>
      </c>
      <c r="F555">
        <f>IF($J555="","",0)</f>
        <v/>
      </c>
      <c r="G555">
        <f>IF($J555="","",SUMIFS('Hours Log'!$E:$E,'Hours Log'!$A:$A,"&gt;="&amp;$J555,'Hours Log'!$A:$A,"&lt;"&amp;$J555+7))</f>
        <v/>
      </c>
      <c r="J555">
        <f>IF(COUNT('Hours Log'!$A$4:$A$5000)=0,"",IF(MIN('Hours Log'!$A$4:$A$5000)+7*(ROW()-10)&gt;MAX('Hours Log'!$A$4:$A$5000),"",MIN('Hours Log'!$A$4:$A$5000)+7*(ROW()-10)))</f>
        <v/>
      </c>
    </row>
    <row r="556">
      <c r="A556">
        <f>IF($J556="","",YEAR($J556-WEEKDAY($J556,2)+4)&amp;"-W"&amp;TEXT(WEEKNUM($J556,21),"00"))</f>
        <v/>
      </c>
      <c r="B556" s="41">
        <f>IF($J556="","",COUNTIFS(Roster!$D$4:$D$500,"Active",Roster!$C$4:$C$500,"&lt;="&amp;$J556))</f>
        <v/>
      </c>
      <c r="C556">
        <f>IF($J556="","",SUMIFS('Hours Log'!$C:$C,'Hours Log'!$A:$A,"&gt;="&amp;$J556,'Hours Log'!$A:$A,"&lt;"&amp;$J556+7)+SUMIFS('Hours Log'!$D:$D,'Hours Log'!$A:$A,"&gt;="&amp;$J556,'Hours Log'!$A:$A,"&lt;"&amp;$J556+7))</f>
        <v/>
      </c>
      <c r="D556">
        <f>IF($J556="","",SUMIFS('Hours Log'!$D:$D,'Hours Log'!$A:$A,"&gt;="&amp;$J556,'Hours Log'!$A:$A,"&lt;"&amp;$J556+7))</f>
        <v/>
      </c>
      <c r="E556">
        <f>IF($J556="","",IFERROR(C556/(B556*40),0))</f>
        <v/>
      </c>
      <c r="F556">
        <f>IF($J556="","",0)</f>
        <v/>
      </c>
      <c r="G556">
        <f>IF($J556="","",SUMIFS('Hours Log'!$E:$E,'Hours Log'!$A:$A,"&gt;="&amp;$J556,'Hours Log'!$A:$A,"&lt;"&amp;$J556+7))</f>
        <v/>
      </c>
      <c r="J556">
        <f>IF(COUNT('Hours Log'!$A$4:$A$5000)=0,"",IF(MIN('Hours Log'!$A$4:$A$5000)+7*(ROW()-10)&gt;MAX('Hours Log'!$A$4:$A$5000),"",MIN('Hours Log'!$A$4:$A$5000)+7*(ROW()-10)))</f>
        <v/>
      </c>
    </row>
    <row r="557">
      <c r="A557">
        <f>IF($J557="","",YEAR($J557-WEEKDAY($J557,2)+4)&amp;"-W"&amp;TEXT(WEEKNUM($J557,21),"00"))</f>
        <v/>
      </c>
      <c r="B557" s="41">
        <f>IF($J557="","",COUNTIFS(Roster!$D$4:$D$500,"Active",Roster!$C$4:$C$500,"&lt;="&amp;$J557))</f>
        <v/>
      </c>
      <c r="C557">
        <f>IF($J557="","",SUMIFS('Hours Log'!$C:$C,'Hours Log'!$A:$A,"&gt;="&amp;$J557,'Hours Log'!$A:$A,"&lt;"&amp;$J557+7)+SUMIFS('Hours Log'!$D:$D,'Hours Log'!$A:$A,"&gt;="&amp;$J557,'Hours Log'!$A:$A,"&lt;"&amp;$J557+7))</f>
        <v/>
      </c>
      <c r="D557">
        <f>IF($J557="","",SUMIFS('Hours Log'!$D:$D,'Hours Log'!$A:$A,"&gt;="&amp;$J557,'Hours Log'!$A:$A,"&lt;"&amp;$J557+7))</f>
        <v/>
      </c>
      <c r="E557">
        <f>IF($J557="","",IFERROR(C557/(B557*40),0))</f>
        <v/>
      </c>
      <c r="F557">
        <f>IF($J557="","",0)</f>
        <v/>
      </c>
      <c r="G557">
        <f>IF($J557="","",SUMIFS('Hours Log'!$E:$E,'Hours Log'!$A:$A,"&gt;="&amp;$J557,'Hours Log'!$A:$A,"&lt;"&amp;$J557+7))</f>
        <v/>
      </c>
      <c r="J557">
        <f>IF(COUNT('Hours Log'!$A$4:$A$5000)=0,"",IF(MIN('Hours Log'!$A$4:$A$5000)+7*(ROW()-10)&gt;MAX('Hours Log'!$A$4:$A$5000),"",MIN('Hours Log'!$A$4:$A$5000)+7*(ROW()-10)))</f>
        <v/>
      </c>
    </row>
    <row r="558">
      <c r="A558">
        <f>IF($J558="","",YEAR($J558-WEEKDAY($J558,2)+4)&amp;"-W"&amp;TEXT(WEEKNUM($J558,21),"00"))</f>
        <v/>
      </c>
      <c r="B558" s="41">
        <f>IF($J558="","",COUNTIFS(Roster!$D$4:$D$500,"Active",Roster!$C$4:$C$500,"&lt;="&amp;$J558))</f>
        <v/>
      </c>
      <c r="C558">
        <f>IF($J558="","",SUMIFS('Hours Log'!$C:$C,'Hours Log'!$A:$A,"&gt;="&amp;$J558,'Hours Log'!$A:$A,"&lt;"&amp;$J558+7)+SUMIFS('Hours Log'!$D:$D,'Hours Log'!$A:$A,"&gt;="&amp;$J558,'Hours Log'!$A:$A,"&lt;"&amp;$J558+7))</f>
        <v/>
      </c>
      <c r="D558">
        <f>IF($J558="","",SUMIFS('Hours Log'!$D:$D,'Hours Log'!$A:$A,"&gt;="&amp;$J558,'Hours Log'!$A:$A,"&lt;"&amp;$J558+7))</f>
        <v/>
      </c>
      <c r="E558">
        <f>IF($J558="","",IFERROR(C558/(B558*40),0))</f>
        <v/>
      </c>
      <c r="F558">
        <f>IF($J558="","",0)</f>
        <v/>
      </c>
      <c r="G558">
        <f>IF($J558="","",SUMIFS('Hours Log'!$E:$E,'Hours Log'!$A:$A,"&gt;="&amp;$J558,'Hours Log'!$A:$A,"&lt;"&amp;$J558+7))</f>
        <v/>
      </c>
      <c r="J558">
        <f>IF(COUNT('Hours Log'!$A$4:$A$5000)=0,"",IF(MIN('Hours Log'!$A$4:$A$5000)+7*(ROW()-10)&gt;MAX('Hours Log'!$A$4:$A$5000),"",MIN('Hours Log'!$A$4:$A$5000)+7*(ROW()-10)))</f>
        <v/>
      </c>
    </row>
    <row r="559">
      <c r="A559">
        <f>IF($J559="","",YEAR($J559-WEEKDAY($J559,2)+4)&amp;"-W"&amp;TEXT(WEEKNUM($J559,21),"00"))</f>
        <v/>
      </c>
      <c r="B559" s="41">
        <f>IF($J559="","",COUNTIFS(Roster!$D$4:$D$500,"Active",Roster!$C$4:$C$500,"&lt;="&amp;$J559))</f>
        <v/>
      </c>
      <c r="C559">
        <f>IF($J559="","",SUMIFS('Hours Log'!$C:$C,'Hours Log'!$A:$A,"&gt;="&amp;$J559,'Hours Log'!$A:$A,"&lt;"&amp;$J559+7)+SUMIFS('Hours Log'!$D:$D,'Hours Log'!$A:$A,"&gt;="&amp;$J559,'Hours Log'!$A:$A,"&lt;"&amp;$J559+7))</f>
        <v/>
      </c>
      <c r="D559">
        <f>IF($J559="","",SUMIFS('Hours Log'!$D:$D,'Hours Log'!$A:$A,"&gt;="&amp;$J559,'Hours Log'!$A:$A,"&lt;"&amp;$J559+7))</f>
        <v/>
      </c>
      <c r="E559">
        <f>IF($J559="","",IFERROR(C559/(B559*40),0))</f>
        <v/>
      </c>
      <c r="F559">
        <f>IF($J559="","",0)</f>
        <v/>
      </c>
      <c r="G559">
        <f>IF($J559="","",SUMIFS('Hours Log'!$E:$E,'Hours Log'!$A:$A,"&gt;="&amp;$J559,'Hours Log'!$A:$A,"&lt;"&amp;$J559+7))</f>
        <v/>
      </c>
      <c r="J559">
        <f>IF(COUNT('Hours Log'!$A$4:$A$5000)=0,"",IF(MIN('Hours Log'!$A$4:$A$5000)+7*(ROW()-10)&gt;MAX('Hours Log'!$A$4:$A$5000),"",MIN('Hours Log'!$A$4:$A$5000)+7*(ROW()-10)))</f>
        <v/>
      </c>
    </row>
    <row r="560">
      <c r="A560">
        <f>IF($J560="","",YEAR($J560-WEEKDAY($J560,2)+4)&amp;"-W"&amp;TEXT(WEEKNUM($J560,21),"00"))</f>
        <v/>
      </c>
      <c r="B560" s="41">
        <f>IF($J560="","",COUNTIFS(Roster!$D$4:$D$500,"Active",Roster!$C$4:$C$500,"&lt;="&amp;$J560))</f>
        <v/>
      </c>
      <c r="C560">
        <f>IF($J560="","",SUMIFS('Hours Log'!$C:$C,'Hours Log'!$A:$A,"&gt;="&amp;$J560,'Hours Log'!$A:$A,"&lt;"&amp;$J560+7)+SUMIFS('Hours Log'!$D:$D,'Hours Log'!$A:$A,"&gt;="&amp;$J560,'Hours Log'!$A:$A,"&lt;"&amp;$J560+7))</f>
        <v/>
      </c>
      <c r="D560">
        <f>IF($J560="","",SUMIFS('Hours Log'!$D:$D,'Hours Log'!$A:$A,"&gt;="&amp;$J560,'Hours Log'!$A:$A,"&lt;"&amp;$J560+7))</f>
        <v/>
      </c>
      <c r="E560">
        <f>IF($J560="","",IFERROR(C560/(B560*40),0))</f>
        <v/>
      </c>
      <c r="F560">
        <f>IF($J560="","",0)</f>
        <v/>
      </c>
      <c r="G560">
        <f>IF($J560="","",SUMIFS('Hours Log'!$E:$E,'Hours Log'!$A:$A,"&gt;="&amp;$J560,'Hours Log'!$A:$A,"&lt;"&amp;$J560+7))</f>
        <v/>
      </c>
      <c r="J560">
        <f>IF(COUNT('Hours Log'!$A$4:$A$5000)=0,"",IF(MIN('Hours Log'!$A$4:$A$5000)+7*(ROW()-10)&gt;MAX('Hours Log'!$A$4:$A$5000),"",MIN('Hours Log'!$A$4:$A$5000)+7*(ROW()-10)))</f>
        <v/>
      </c>
    </row>
    <row r="561">
      <c r="A561">
        <f>IF($J561="","",YEAR($J561-WEEKDAY($J561,2)+4)&amp;"-W"&amp;TEXT(WEEKNUM($J561,21),"00"))</f>
        <v/>
      </c>
      <c r="B561" s="41">
        <f>IF($J561="","",COUNTIFS(Roster!$D$4:$D$500,"Active",Roster!$C$4:$C$500,"&lt;="&amp;$J561))</f>
        <v/>
      </c>
      <c r="C561">
        <f>IF($J561="","",SUMIFS('Hours Log'!$C:$C,'Hours Log'!$A:$A,"&gt;="&amp;$J561,'Hours Log'!$A:$A,"&lt;"&amp;$J561+7)+SUMIFS('Hours Log'!$D:$D,'Hours Log'!$A:$A,"&gt;="&amp;$J561,'Hours Log'!$A:$A,"&lt;"&amp;$J561+7))</f>
        <v/>
      </c>
      <c r="D561">
        <f>IF($J561="","",SUMIFS('Hours Log'!$D:$D,'Hours Log'!$A:$A,"&gt;="&amp;$J561,'Hours Log'!$A:$A,"&lt;"&amp;$J561+7))</f>
        <v/>
      </c>
      <c r="E561">
        <f>IF($J561="","",IFERROR(C561/(B561*40),0))</f>
        <v/>
      </c>
      <c r="F561">
        <f>IF($J561="","",0)</f>
        <v/>
      </c>
      <c r="G561">
        <f>IF($J561="","",SUMIFS('Hours Log'!$E:$E,'Hours Log'!$A:$A,"&gt;="&amp;$J561,'Hours Log'!$A:$A,"&lt;"&amp;$J561+7))</f>
        <v/>
      </c>
      <c r="J561">
        <f>IF(COUNT('Hours Log'!$A$4:$A$5000)=0,"",IF(MIN('Hours Log'!$A$4:$A$5000)+7*(ROW()-10)&gt;MAX('Hours Log'!$A$4:$A$5000),"",MIN('Hours Log'!$A$4:$A$5000)+7*(ROW()-10)))</f>
        <v/>
      </c>
    </row>
    <row r="562">
      <c r="A562">
        <f>IF($J562="","",YEAR($J562-WEEKDAY($J562,2)+4)&amp;"-W"&amp;TEXT(WEEKNUM($J562,21),"00"))</f>
        <v/>
      </c>
      <c r="B562" s="41">
        <f>IF($J562="","",COUNTIFS(Roster!$D$4:$D$500,"Active",Roster!$C$4:$C$500,"&lt;="&amp;$J562))</f>
        <v/>
      </c>
      <c r="C562">
        <f>IF($J562="","",SUMIFS('Hours Log'!$C:$C,'Hours Log'!$A:$A,"&gt;="&amp;$J562,'Hours Log'!$A:$A,"&lt;"&amp;$J562+7)+SUMIFS('Hours Log'!$D:$D,'Hours Log'!$A:$A,"&gt;="&amp;$J562,'Hours Log'!$A:$A,"&lt;"&amp;$J562+7))</f>
        <v/>
      </c>
      <c r="D562">
        <f>IF($J562="","",SUMIFS('Hours Log'!$D:$D,'Hours Log'!$A:$A,"&gt;="&amp;$J562,'Hours Log'!$A:$A,"&lt;"&amp;$J562+7))</f>
        <v/>
      </c>
      <c r="E562">
        <f>IF($J562="","",IFERROR(C562/(B562*40),0))</f>
        <v/>
      </c>
      <c r="F562">
        <f>IF($J562="","",0)</f>
        <v/>
      </c>
      <c r="G562">
        <f>IF($J562="","",SUMIFS('Hours Log'!$E:$E,'Hours Log'!$A:$A,"&gt;="&amp;$J562,'Hours Log'!$A:$A,"&lt;"&amp;$J562+7))</f>
        <v/>
      </c>
      <c r="J562">
        <f>IF(COUNT('Hours Log'!$A$4:$A$5000)=0,"",IF(MIN('Hours Log'!$A$4:$A$5000)+7*(ROW()-10)&gt;MAX('Hours Log'!$A$4:$A$5000),"",MIN('Hours Log'!$A$4:$A$5000)+7*(ROW()-10)))</f>
        <v/>
      </c>
    </row>
    <row r="563">
      <c r="A563">
        <f>IF($J563="","",YEAR($J563-WEEKDAY($J563,2)+4)&amp;"-W"&amp;TEXT(WEEKNUM($J563,21),"00"))</f>
        <v/>
      </c>
      <c r="B563" s="41">
        <f>IF($J563="","",COUNTIFS(Roster!$D$4:$D$500,"Active",Roster!$C$4:$C$500,"&lt;="&amp;$J563))</f>
        <v/>
      </c>
      <c r="C563">
        <f>IF($J563="","",SUMIFS('Hours Log'!$C:$C,'Hours Log'!$A:$A,"&gt;="&amp;$J563,'Hours Log'!$A:$A,"&lt;"&amp;$J563+7)+SUMIFS('Hours Log'!$D:$D,'Hours Log'!$A:$A,"&gt;="&amp;$J563,'Hours Log'!$A:$A,"&lt;"&amp;$J563+7))</f>
        <v/>
      </c>
      <c r="D563">
        <f>IF($J563="","",SUMIFS('Hours Log'!$D:$D,'Hours Log'!$A:$A,"&gt;="&amp;$J563,'Hours Log'!$A:$A,"&lt;"&amp;$J563+7))</f>
        <v/>
      </c>
      <c r="E563">
        <f>IF($J563="","",IFERROR(C563/(B563*40),0))</f>
        <v/>
      </c>
      <c r="F563">
        <f>IF($J563="","",0)</f>
        <v/>
      </c>
      <c r="G563">
        <f>IF($J563="","",SUMIFS('Hours Log'!$E:$E,'Hours Log'!$A:$A,"&gt;="&amp;$J563,'Hours Log'!$A:$A,"&lt;"&amp;$J563+7))</f>
        <v/>
      </c>
      <c r="J563">
        <f>IF(COUNT('Hours Log'!$A$4:$A$5000)=0,"",IF(MIN('Hours Log'!$A$4:$A$5000)+7*(ROW()-10)&gt;MAX('Hours Log'!$A$4:$A$5000),"",MIN('Hours Log'!$A$4:$A$5000)+7*(ROW()-10)))</f>
        <v/>
      </c>
    </row>
    <row r="564">
      <c r="A564">
        <f>IF($J564="","",YEAR($J564-WEEKDAY($J564,2)+4)&amp;"-W"&amp;TEXT(WEEKNUM($J564,21),"00"))</f>
        <v/>
      </c>
      <c r="B564" s="41">
        <f>IF($J564="","",COUNTIFS(Roster!$D$4:$D$500,"Active",Roster!$C$4:$C$500,"&lt;="&amp;$J564))</f>
        <v/>
      </c>
      <c r="C564">
        <f>IF($J564="","",SUMIFS('Hours Log'!$C:$C,'Hours Log'!$A:$A,"&gt;="&amp;$J564,'Hours Log'!$A:$A,"&lt;"&amp;$J564+7)+SUMIFS('Hours Log'!$D:$D,'Hours Log'!$A:$A,"&gt;="&amp;$J564,'Hours Log'!$A:$A,"&lt;"&amp;$J564+7))</f>
        <v/>
      </c>
      <c r="D564">
        <f>IF($J564="","",SUMIFS('Hours Log'!$D:$D,'Hours Log'!$A:$A,"&gt;="&amp;$J564,'Hours Log'!$A:$A,"&lt;"&amp;$J564+7))</f>
        <v/>
      </c>
      <c r="E564">
        <f>IF($J564="","",IFERROR(C564/(B564*40),0))</f>
        <v/>
      </c>
      <c r="F564">
        <f>IF($J564="","",0)</f>
        <v/>
      </c>
      <c r="G564">
        <f>IF($J564="","",SUMIFS('Hours Log'!$E:$E,'Hours Log'!$A:$A,"&gt;="&amp;$J564,'Hours Log'!$A:$A,"&lt;"&amp;$J564+7))</f>
        <v/>
      </c>
      <c r="J564">
        <f>IF(COUNT('Hours Log'!$A$4:$A$5000)=0,"",IF(MIN('Hours Log'!$A$4:$A$5000)+7*(ROW()-10)&gt;MAX('Hours Log'!$A$4:$A$5000),"",MIN('Hours Log'!$A$4:$A$5000)+7*(ROW()-10)))</f>
        <v/>
      </c>
    </row>
    <row r="565">
      <c r="A565">
        <f>IF($J565="","",YEAR($J565-WEEKDAY($J565,2)+4)&amp;"-W"&amp;TEXT(WEEKNUM($J565,21),"00"))</f>
        <v/>
      </c>
      <c r="B565" s="41">
        <f>IF($J565="","",COUNTIFS(Roster!$D$4:$D$500,"Active",Roster!$C$4:$C$500,"&lt;="&amp;$J565))</f>
        <v/>
      </c>
      <c r="C565">
        <f>IF($J565="","",SUMIFS('Hours Log'!$C:$C,'Hours Log'!$A:$A,"&gt;="&amp;$J565,'Hours Log'!$A:$A,"&lt;"&amp;$J565+7)+SUMIFS('Hours Log'!$D:$D,'Hours Log'!$A:$A,"&gt;="&amp;$J565,'Hours Log'!$A:$A,"&lt;"&amp;$J565+7))</f>
        <v/>
      </c>
      <c r="D565">
        <f>IF($J565="","",SUMIFS('Hours Log'!$D:$D,'Hours Log'!$A:$A,"&gt;="&amp;$J565,'Hours Log'!$A:$A,"&lt;"&amp;$J565+7))</f>
        <v/>
      </c>
      <c r="E565">
        <f>IF($J565="","",IFERROR(C565/(B565*40),0))</f>
        <v/>
      </c>
      <c r="F565">
        <f>IF($J565="","",0)</f>
        <v/>
      </c>
      <c r="G565">
        <f>IF($J565="","",SUMIFS('Hours Log'!$E:$E,'Hours Log'!$A:$A,"&gt;="&amp;$J565,'Hours Log'!$A:$A,"&lt;"&amp;$J565+7))</f>
        <v/>
      </c>
      <c r="J565">
        <f>IF(COUNT('Hours Log'!$A$4:$A$5000)=0,"",IF(MIN('Hours Log'!$A$4:$A$5000)+7*(ROW()-10)&gt;MAX('Hours Log'!$A$4:$A$5000),"",MIN('Hours Log'!$A$4:$A$5000)+7*(ROW()-10)))</f>
        <v/>
      </c>
    </row>
    <row r="566">
      <c r="A566">
        <f>IF($J566="","",YEAR($J566-WEEKDAY($J566,2)+4)&amp;"-W"&amp;TEXT(WEEKNUM($J566,21),"00"))</f>
        <v/>
      </c>
      <c r="B566" s="41">
        <f>IF($J566="","",COUNTIFS(Roster!$D$4:$D$500,"Active",Roster!$C$4:$C$500,"&lt;="&amp;$J566))</f>
        <v/>
      </c>
      <c r="C566">
        <f>IF($J566="","",SUMIFS('Hours Log'!$C:$C,'Hours Log'!$A:$A,"&gt;="&amp;$J566,'Hours Log'!$A:$A,"&lt;"&amp;$J566+7)+SUMIFS('Hours Log'!$D:$D,'Hours Log'!$A:$A,"&gt;="&amp;$J566,'Hours Log'!$A:$A,"&lt;"&amp;$J566+7))</f>
        <v/>
      </c>
      <c r="D566">
        <f>IF($J566="","",SUMIFS('Hours Log'!$D:$D,'Hours Log'!$A:$A,"&gt;="&amp;$J566,'Hours Log'!$A:$A,"&lt;"&amp;$J566+7))</f>
        <v/>
      </c>
      <c r="E566">
        <f>IF($J566="","",IFERROR(C566/(B566*40),0))</f>
        <v/>
      </c>
      <c r="F566">
        <f>IF($J566="","",0)</f>
        <v/>
      </c>
      <c r="G566">
        <f>IF($J566="","",SUMIFS('Hours Log'!$E:$E,'Hours Log'!$A:$A,"&gt;="&amp;$J566,'Hours Log'!$A:$A,"&lt;"&amp;$J566+7))</f>
        <v/>
      </c>
      <c r="J566">
        <f>IF(COUNT('Hours Log'!$A$4:$A$5000)=0,"",IF(MIN('Hours Log'!$A$4:$A$5000)+7*(ROW()-10)&gt;MAX('Hours Log'!$A$4:$A$5000),"",MIN('Hours Log'!$A$4:$A$5000)+7*(ROW()-10)))</f>
        <v/>
      </c>
    </row>
    <row r="567">
      <c r="A567">
        <f>IF($J567="","",YEAR($J567-WEEKDAY($J567,2)+4)&amp;"-W"&amp;TEXT(WEEKNUM($J567,21),"00"))</f>
        <v/>
      </c>
      <c r="B567" s="41">
        <f>IF($J567="","",COUNTIFS(Roster!$D$4:$D$500,"Active",Roster!$C$4:$C$500,"&lt;="&amp;$J567))</f>
        <v/>
      </c>
      <c r="C567">
        <f>IF($J567="","",SUMIFS('Hours Log'!$C:$C,'Hours Log'!$A:$A,"&gt;="&amp;$J567,'Hours Log'!$A:$A,"&lt;"&amp;$J567+7)+SUMIFS('Hours Log'!$D:$D,'Hours Log'!$A:$A,"&gt;="&amp;$J567,'Hours Log'!$A:$A,"&lt;"&amp;$J567+7))</f>
        <v/>
      </c>
      <c r="D567">
        <f>IF($J567="","",SUMIFS('Hours Log'!$D:$D,'Hours Log'!$A:$A,"&gt;="&amp;$J567,'Hours Log'!$A:$A,"&lt;"&amp;$J567+7))</f>
        <v/>
      </c>
      <c r="E567">
        <f>IF($J567="","",IFERROR(C567/(B567*40),0))</f>
        <v/>
      </c>
      <c r="F567">
        <f>IF($J567="","",0)</f>
        <v/>
      </c>
      <c r="G567">
        <f>IF($J567="","",SUMIFS('Hours Log'!$E:$E,'Hours Log'!$A:$A,"&gt;="&amp;$J567,'Hours Log'!$A:$A,"&lt;"&amp;$J567+7))</f>
        <v/>
      </c>
      <c r="J567">
        <f>IF(COUNT('Hours Log'!$A$4:$A$5000)=0,"",IF(MIN('Hours Log'!$A$4:$A$5000)+7*(ROW()-10)&gt;MAX('Hours Log'!$A$4:$A$5000),"",MIN('Hours Log'!$A$4:$A$5000)+7*(ROW()-10)))</f>
        <v/>
      </c>
    </row>
    <row r="568">
      <c r="A568">
        <f>IF($J568="","",YEAR($J568-WEEKDAY($J568,2)+4)&amp;"-W"&amp;TEXT(WEEKNUM($J568,21),"00"))</f>
        <v/>
      </c>
      <c r="B568" s="41">
        <f>IF($J568="","",COUNTIFS(Roster!$D$4:$D$500,"Active",Roster!$C$4:$C$500,"&lt;="&amp;$J568))</f>
        <v/>
      </c>
      <c r="C568">
        <f>IF($J568="","",SUMIFS('Hours Log'!$C:$C,'Hours Log'!$A:$A,"&gt;="&amp;$J568,'Hours Log'!$A:$A,"&lt;"&amp;$J568+7)+SUMIFS('Hours Log'!$D:$D,'Hours Log'!$A:$A,"&gt;="&amp;$J568,'Hours Log'!$A:$A,"&lt;"&amp;$J568+7))</f>
        <v/>
      </c>
      <c r="D568">
        <f>IF($J568="","",SUMIFS('Hours Log'!$D:$D,'Hours Log'!$A:$A,"&gt;="&amp;$J568,'Hours Log'!$A:$A,"&lt;"&amp;$J568+7))</f>
        <v/>
      </c>
      <c r="E568">
        <f>IF($J568="","",IFERROR(C568/(B568*40),0))</f>
        <v/>
      </c>
      <c r="F568">
        <f>IF($J568="","",0)</f>
        <v/>
      </c>
      <c r="G568">
        <f>IF($J568="","",SUMIFS('Hours Log'!$E:$E,'Hours Log'!$A:$A,"&gt;="&amp;$J568,'Hours Log'!$A:$A,"&lt;"&amp;$J568+7))</f>
        <v/>
      </c>
      <c r="J568">
        <f>IF(COUNT('Hours Log'!$A$4:$A$5000)=0,"",IF(MIN('Hours Log'!$A$4:$A$5000)+7*(ROW()-10)&gt;MAX('Hours Log'!$A$4:$A$5000),"",MIN('Hours Log'!$A$4:$A$5000)+7*(ROW()-10)))</f>
        <v/>
      </c>
    </row>
    <row r="569">
      <c r="A569">
        <f>IF($J569="","",YEAR($J569-WEEKDAY($J569,2)+4)&amp;"-W"&amp;TEXT(WEEKNUM($J569,21),"00"))</f>
        <v/>
      </c>
      <c r="B569" s="41">
        <f>IF($J569="","",COUNTIFS(Roster!$D$4:$D$500,"Active",Roster!$C$4:$C$500,"&lt;="&amp;$J569))</f>
        <v/>
      </c>
      <c r="C569">
        <f>IF($J569="","",SUMIFS('Hours Log'!$C:$C,'Hours Log'!$A:$A,"&gt;="&amp;$J569,'Hours Log'!$A:$A,"&lt;"&amp;$J569+7)+SUMIFS('Hours Log'!$D:$D,'Hours Log'!$A:$A,"&gt;="&amp;$J569,'Hours Log'!$A:$A,"&lt;"&amp;$J569+7))</f>
        <v/>
      </c>
      <c r="D569">
        <f>IF($J569="","",SUMIFS('Hours Log'!$D:$D,'Hours Log'!$A:$A,"&gt;="&amp;$J569,'Hours Log'!$A:$A,"&lt;"&amp;$J569+7))</f>
        <v/>
      </c>
      <c r="E569">
        <f>IF($J569="","",IFERROR(C569/(B569*40),0))</f>
        <v/>
      </c>
      <c r="F569">
        <f>IF($J569="","",0)</f>
        <v/>
      </c>
      <c r="G569">
        <f>IF($J569="","",SUMIFS('Hours Log'!$E:$E,'Hours Log'!$A:$A,"&gt;="&amp;$J569,'Hours Log'!$A:$A,"&lt;"&amp;$J569+7))</f>
        <v/>
      </c>
      <c r="J569">
        <f>IF(COUNT('Hours Log'!$A$4:$A$5000)=0,"",IF(MIN('Hours Log'!$A$4:$A$5000)+7*(ROW()-10)&gt;MAX('Hours Log'!$A$4:$A$5000),"",MIN('Hours Log'!$A$4:$A$5000)+7*(ROW()-10)))</f>
        <v/>
      </c>
    </row>
    <row r="570">
      <c r="A570">
        <f>IF($J570="","",YEAR($J570-WEEKDAY($J570,2)+4)&amp;"-W"&amp;TEXT(WEEKNUM($J570,21),"00"))</f>
        <v/>
      </c>
      <c r="B570" s="41">
        <f>IF($J570="","",COUNTIFS(Roster!$D$4:$D$500,"Active",Roster!$C$4:$C$500,"&lt;="&amp;$J570))</f>
        <v/>
      </c>
      <c r="C570">
        <f>IF($J570="","",SUMIFS('Hours Log'!$C:$C,'Hours Log'!$A:$A,"&gt;="&amp;$J570,'Hours Log'!$A:$A,"&lt;"&amp;$J570+7)+SUMIFS('Hours Log'!$D:$D,'Hours Log'!$A:$A,"&gt;="&amp;$J570,'Hours Log'!$A:$A,"&lt;"&amp;$J570+7))</f>
        <v/>
      </c>
      <c r="D570">
        <f>IF($J570="","",SUMIFS('Hours Log'!$D:$D,'Hours Log'!$A:$A,"&gt;="&amp;$J570,'Hours Log'!$A:$A,"&lt;"&amp;$J570+7))</f>
        <v/>
      </c>
      <c r="E570">
        <f>IF($J570="","",IFERROR(C570/(B570*40),0))</f>
        <v/>
      </c>
      <c r="F570">
        <f>IF($J570="","",0)</f>
        <v/>
      </c>
      <c r="G570">
        <f>IF($J570="","",SUMIFS('Hours Log'!$E:$E,'Hours Log'!$A:$A,"&gt;="&amp;$J570,'Hours Log'!$A:$A,"&lt;"&amp;$J570+7))</f>
        <v/>
      </c>
      <c r="J570">
        <f>IF(COUNT('Hours Log'!$A$4:$A$5000)=0,"",IF(MIN('Hours Log'!$A$4:$A$5000)+7*(ROW()-10)&gt;MAX('Hours Log'!$A$4:$A$5000),"",MIN('Hours Log'!$A$4:$A$5000)+7*(ROW()-10)))</f>
        <v/>
      </c>
    </row>
    <row r="571">
      <c r="A571">
        <f>IF($J571="","",YEAR($J571-WEEKDAY($J571,2)+4)&amp;"-W"&amp;TEXT(WEEKNUM($J571,21),"00"))</f>
        <v/>
      </c>
      <c r="B571" s="41">
        <f>IF($J571="","",COUNTIFS(Roster!$D$4:$D$500,"Active",Roster!$C$4:$C$500,"&lt;="&amp;$J571))</f>
        <v/>
      </c>
      <c r="C571">
        <f>IF($J571="","",SUMIFS('Hours Log'!$C:$C,'Hours Log'!$A:$A,"&gt;="&amp;$J571,'Hours Log'!$A:$A,"&lt;"&amp;$J571+7)+SUMIFS('Hours Log'!$D:$D,'Hours Log'!$A:$A,"&gt;="&amp;$J571,'Hours Log'!$A:$A,"&lt;"&amp;$J571+7))</f>
        <v/>
      </c>
      <c r="D571">
        <f>IF($J571="","",SUMIFS('Hours Log'!$D:$D,'Hours Log'!$A:$A,"&gt;="&amp;$J571,'Hours Log'!$A:$A,"&lt;"&amp;$J571+7))</f>
        <v/>
      </c>
      <c r="E571">
        <f>IF($J571="","",IFERROR(C571/(B571*40),0))</f>
        <v/>
      </c>
      <c r="F571">
        <f>IF($J571="","",0)</f>
        <v/>
      </c>
      <c r="G571">
        <f>IF($J571="","",SUMIFS('Hours Log'!$E:$E,'Hours Log'!$A:$A,"&gt;="&amp;$J571,'Hours Log'!$A:$A,"&lt;"&amp;$J571+7))</f>
        <v/>
      </c>
      <c r="J571">
        <f>IF(COUNT('Hours Log'!$A$4:$A$5000)=0,"",IF(MIN('Hours Log'!$A$4:$A$5000)+7*(ROW()-10)&gt;MAX('Hours Log'!$A$4:$A$5000),"",MIN('Hours Log'!$A$4:$A$5000)+7*(ROW()-10)))</f>
        <v/>
      </c>
    </row>
    <row r="572">
      <c r="A572">
        <f>IF($J572="","",YEAR($J572-WEEKDAY($J572,2)+4)&amp;"-W"&amp;TEXT(WEEKNUM($J572,21),"00"))</f>
        <v/>
      </c>
      <c r="B572" s="41">
        <f>IF($J572="","",COUNTIFS(Roster!$D$4:$D$500,"Active",Roster!$C$4:$C$500,"&lt;="&amp;$J572))</f>
        <v/>
      </c>
      <c r="C572">
        <f>IF($J572="","",SUMIFS('Hours Log'!$C:$C,'Hours Log'!$A:$A,"&gt;="&amp;$J572,'Hours Log'!$A:$A,"&lt;"&amp;$J572+7)+SUMIFS('Hours Log'!$D:$D,'Hours Log'!$A:$A,"&gt;="&amp;$J572,'Hours Log'!$A:$A,"&lt;"&amp;$J572+7))</f>
        <v/>
      </c>
      <c r="D572">
        <f>IF($J572="","",SUMIFS('Hours Log'!$D:$D,'Hours Log'!$A:$A,"&gt;="&amp;$J572,'Hours Log'!$A:$A,"&lt;"&amp;$J572+7))</f>
        <v/>
      </c>
      <c r="E572">
        <f>IF($J572="","",IFERROR(C572/(B572*40),0))</f>
        <v/>
      </c>
      <c r="F572">
        <f>IF($J572="","",0)</f>
        <v/>
      </c>
      <c r="G572">
        <f>IF($J572="","",SUMIFS('Hours Log'!$E:$E,'Hours Log'!$A:$A,"&gt;="&amp;$J572,'Hours Log'!$A:$A,"&lt;"&amp;$J572+7))</f>
        <v/>
      </c>
      <c r="J572">
        <f>IF(COUNT('Hours Log'!$A$4:$A$5000)=0,"",IF(MIN('Hours Log'!$A$4:$A$5000)+7*(ROW()-10)&gt;MAX('Hours Log'!$A$4:$A$5000),"",MIN('Hours Log'!$A$4:$A$5000)+7*(ROW()-10)))</f>
        <v/>
      </c>
    </row>
    <row r="573">
      <c r="A573">
        <f>IF($J573="","",YEAR($J573-WEEKDAY($J573,2)+4)&amp;"-W"&amp;TEXT(WEEKNUM($J573,21),"00"))</f>
        <v/>
      </c>
      <c r="B573" s="41">
        <f>IF($J573="","",COUNTIFS(Roster!$D$4:$D$500,"Active",Roster!$C$4:$C$500,"&lt;="&amp;$J573))</f>
        <v/>
      </c>
      <c r="C573">
        <f>IF($J573="","",SUMIFS('Hours Log'!$C:$C,'Hours Log'!$A:$A,"&gt;="&amp;$J573,'Hours Log'!$A:$A,"&lt;"&amp;$J573+7)+SUMIFS('Hours Log'!$D:$D,'Hours Log'!$A:$A,"&gt;="&amp;$J573,'Hours Log'!$A:$A,"&lt;"&amp;$J573+7))</f>
        <v/>
      </c>
      <c r="D573">
        <f>IF($J573="","",SUMIFS('Hours Log'!$D:$D,'Hours Log'!$A:$A,"&gt;="&amp;$J573,'Hours Log'!$A:$A,"&lt;"&amp;$J573+7))</f>
        <v/>
      </c>
      <c r="E573">
        <f>IF($J573="","",IFERROR(C573/(B573*40),0))</f>
        <v/>
      </c>
      <c r="F573">
        <f>IF($J573="","",0)</f>
        <v/>
      </c>
      <c r="G573">
        <f>IF($J573="","",SUMIFS('Hours Log'!$E:$E,'Hours Log'!$A:$A,"&gt;="&amp;$J573,'Hours Log'!$A:$A,"&lt;"&amp;$J573+7))</f>
        <v/>
      </c>
      <c r="J573">
        <f>IF(COUNT('Hours Log'!$A$4:$A$5000)=0,"",IF(MIN('Hours Log'!$A$4:$A$5000)+7*(ROW()-10)&gt;MAX('Hours Log'!$A$4:$A$5000),"",MIN('Hours Log'!$A$4:$A$5000)+7*(ROW()-10)))</f>
        <v/>
      </c>
    </row>
    <row r="574">
      <c r="A574">
        <f>IF($J574="","",YEAR($J574-WEEKDAY($J574,2)+4)&amp;"-W"&amp;TEXT(WEEKNUM($J574,21),"00"))</f>
        <v/>
      </c>
      <c r="B574" s="41">
        <f>IF($J574="","",COUNTIFS(Roster!$D$4:$D$500,"Active",Roster!$C$4:$C$500,"&lt;="&amp;$J574))</f>
        <v/>
      </c>
      <c r="C574">
        <f>IF($J574="","",SUMIFS('Hours Log'!$C:$C,'Hours Log'!$A:$A,"&gt;="&amp;$J574,'Hours Log'!$A:$A,"&lt;"&amp;$J574+7)+SUMIFS('Hours Log'!$D:$D,'Hours Log'!$A:$A,"&gt;="&amp;$J574,'Hours Log'!$A:$A,"&lt;"&amp;$J574+7))</f>
        <v/>
      </c>
      <c r="D574">
        <f>IF($J574="","",SUMIFS('Hours Log'!$D:$D,'Hours Log'!$A:$A,"&gt;="&amp;$J574,'Hours Log'!$A:$A,"&lt;"&amp;$J574+7))</f>
        <v/>
      </c>
      <c r="E574">
        <f>IF($J574="","",IFERROR(C574/(B574*40),0))</f>
        <v/>
      </c>
      <c r="F574">
        <f>IF($J574="","",0)</f>
        <v/>
      </c>
      <c r="G574">
        <f>IF($J574="","",SUMIFS('Hours Log'!$E:$E,'Hours Log'!$A:$A,"&gt;="&amp;$J574,'Hours Log'!$A:$A,"&lt;"&amp;$J574+7))</f>
        <v/>
      </c>
      <c r="J574">
        <f>IF(COUNT('Hours Log'!$A$4:$A$5000)=0,"",IF(MIN('Hours Log'!$A$4:$A$5000)+7*(ROW()-10)&gt;MAX('Hours Log'!$A$4:$A$5000),"",MIN('Hours Log'!$A$4:$A$5000)+7*(ROW()-10)))</f>
        <v/>
      </c>
    </row>
    <row r="575">
      <c r="A575">
        <f>IF($J575="","",YEAR($J575-WEEKDAY($J575,2)+4)&amp;"-W"&amp;TEXT(WEEKNUM($J575,21),"00"))</f>
        <v/>
      </c>
      <c r="B575" s="41">
        <f>IF($J575="","",COUNTIFS(Roster!$D$4:$D$500,"Active",Roster!$C$4:$C$500,"&lt;="&amp;$J575))</f>
        <v/>
      </c>
      <c r="C575">
        <f>IF($J575="","",SUMIFS('Hours Log'!$C:$C,'Hours Log'!$A:$A,"&gt;="&amp;$J575,'Hours Log'!$A:$A,"&lt;"&amp;$J575+7)+SUMIFS('Hours Log'!$D:$D,'Hours Log'!$A:$A,"&gt;="&amp;$J575,'Hours Log'!$A:$A,"&lt;"&amp;$J575+7))</f>
        <v/>
      </c>
      <c r="D575">
        <f>IF($J575="","",SUMIFS('Hours Log'!$D:$D,'Hours Log'!$A:$A,"&gt;="&amp;$J575,'Hours Log'!$A:$A,"&lt;"&amp;$J575+7))</f>
        <v/>
      </c>
      <c r="E575">
        <f>IF($J575="","",IFERROR(C575/(B575*40),0))</f>
        <v/>
      </c>
      <c r="F575">
        <f>IF($J575="","",0)</f>
        <v/>
      </c>
      <c r="G575">
        <f>IF($J575="","",SUMIFS('Hours Log'!$E:$E,'Hours Log'!$A:$A,"&gt;="&amp;$J575,'Hours Log'!$A:$A,"&lt;"&amp;$J575+7))</f>
        <v/>
      </c>
      <c r="J575">
        <f>IF(COUNT('Hours Log'!$A$4:$A$5000)=0,"",IF(MIN('Hours Log'!$A$4:$A$5000)+7*(ROW()-10)&gt;MAX('Hours Log'!$A$4:$A$5000),"",MIN('Hours Log'!$A$4:$A$5000)+7*(ROW()-10)))</f>
        <v/>
      </c>
    </row>
    <row r="576">
      <c r="A576">
        <f>IF($J576="","",YEAR($J576-WEEKDAY($J576,2)+4)&amp;"-W"&amp;TEXT(WEEKNUM($J576,21),"00"))</f>
        <v/>
      </c>
      <c r="B576" s="41">
        <f>IF($J576="","",COUNTIFS(Roster!$D$4:$D$500,"Active",Roster!$C$4:$C$500,"&lt;="&amp;$J576))</f>
        <v/>
      </c>
      <c r="C576">
        <f>IF($J576="","",SUMIFS('Hours Log'!$C:$C,'Hours Log'!$A:$A,"&gt;="&amp;$J576,'Hours Log'!$A:$A,"&lt;"&amp;$J576+7)+SUMIFS('Hours Log'!$D:$D,'Hours Log'!$A:$A,"&gt;="&amp;$J576,'Hours Log'!$A:$A,"&lt;"&amp;$J576+7))</f>
        <v/>
      </c>
      <c r="D576">
        <f>IF($J576="","",SUMIFS('Hours Log'!$D:$D,'Hours Log'!$A:$A,"&gt;="&amp;$J576,'Hours Log'!$A:$A,"&lt;"&amp;$J576+7))</f>
        <v/>
      </c>
      <c r="E576">
        <f>IF($J576="","",IFERROR(C576/(B576*40),0))</f>
        <v/>
      </c>
      <c r="F576">
        <f>IF($J576="","",0)</f>
        <v/>
      </c>
      <c r="G576">
        <f>IF($J576="","",SUMIFS('Hours Log'!$E:$E,'Hours Log'!$A:$A,"&gt;="&amp;$J576,'Hours Log'!$A:$A,"&lt;"&amp;$J576+7))</f>
        <v/>
      </c>
      <c r="J576">
        <f>IF(COUNT('Hours Log'!$A$4:$A$5000)=0,"",IF(MIN('Hours Log'!$A$4:$A$5000)+7*(ROW()-10)&gt;MAX('Hours Log'!$A$4:$A$5000),"",MIN('Hours Log'!$A$4:$A$5000)+7*(ROW()-10)))</f>
        <v/>
      </c>
    </row>
    <row r="577">
      <c r="A577">
        <f>IF($J577="","",YEAR($J577-WEEKDAY($J577,2)+4)&amp;"-W"&amp;TEXT(WEEKNUM($J577,21),"00"))</f>
        <v/>
      </c>
      <c r="B577" s="41">
        <f>IF($J577="","",COUNTIFS(Roster!$D$4:$D$500,"Active",Roster!$C$4:$C$500,"&lt;="&amp;$J577))</f>
        <v/>
      </c>
      <c r="C577">
        <f>IF($J577="","",SUMIFS('Hours Log'!$C:$C,'Hours Log'!$A:$A,"&gt;="&amp;$J577,'Hours Log'!$A:$A,"&lt;"&amp;$J577+7)+SUMIFS('Hours Log'!$D:$D,'Hours Log'!$A:$A,"&gt;="&amp;$J577,'Hours Log'!$A:$A,"&lt;"&amp;$J577+7))</f>
        <v/>
      </c>
      <c r="D577">
        <f>IF($J577="","",SUMIFS('Hours Log'!$D:$D,'Hours Log'!$A:$A,"&gt;="&amp;$J577,'Hours Log'!$A:$A,"&lt;"&amp;$J577+7))</f>
        <v/>
      </c>
      <c r="E577">
        <f>IF($J577="","",IFERROR(C577/(B577*40),0))</f>
        <v/>
      </c>
      <c r="F577">
        <f>IF($J577="","",0)</f>
        <v/>
      </c>
      <c r="G577">
        <f>IF($J577="","",SUMIFS('Hours Log'!$E:$E,'Hours Log'!$A:$A,"&gt;="&amp;$J577,'Hours Log'!$A:$A,"&lt;"&amp;$J577+7))</f>
        <v/>
      </c>
      <c r="J577">
        <f>IF(COUNT('Hours Log'!$A$4:$A$5000)=0,"",IF(MIN('Hours Log'!$A$4:$A$5000)+7*(ROW()-10)&gt;MAX('Hours Log'!$A$4:$A$5000),"",MIN('Hours Log'!$A$4:$A$5000)+7*(ROW()-10)))</f>
        <v/>
      </c>
    </row>
    <row r="578">
      <c r="A578">
        <f>IF($J578="","",YEAR($J578-WEEKDAY($J578,2)+4)&amp;"-W"&amp;TEXT(WEEKNUM($J578,21),"00"))</f>
        <v/>
      </c>
      <c r="B578" s="41">
        <f>IF($J578="","",COUNTIFS(Roster!$D$4:$D$500,"Active",Roster!$C$4:$C$500,"&lt;="&amp;$J578))</f>
        <v/>
      </c>
      <c r="C578">
        <f>IF($J578="","",SUMIFS('Hours Log'!$C:$C,'Hours Log'!$A:$A,"&gt;="&amp;$J578,'Hours Log'!$A:$A,"&lt;"&amp;$J578+7)+SUMIFS('Hours Log'!$D:$D,'Hours Log'!$A:$A,"&gt;="&amp;$J578,'Hours Log'!$A:$A,"&lt;"&amp;$J578+7))</f>
        <v/>
      </c>
      <c r="D578">
        <f>IF($J578="","",SUMIFS('Hours Log'!$D:$D,'Hours Log'!$A:$A,"&gt;="&amp;$J578,'Hours Log'!$A:$A,"&lt;"&amp;$J578+7))</f>
        <v/>
      </c>
      <c r="E578">
        <f>IF($J578="","",IFERROR(C578/(B578*40),0))</f>
        <v/>
      </c>
      <c r="F578">
        <f>IF($J578="","",0)</f>
        <v/>
      </c>
      <c r="G578">
        <f>IF($J578="","",SUMIFS('Hours Log'!$E:$E,'Hours Log'!$A:$A,"&gt;="&amp;$J578,'Hours Log'!$A:$A,"&lt;"&amp;$J578+7))</f>
        <v/>
      </c>
      <c r="J578">
        <f>IF(COUNT('Hours Log'!$A$4:$A$5000)=0,"",IF(MIN('Hours Log'!$A$4:$A$5000)+7*(ROW()-10)&gt;MAX('Hours Log'!$A$4:$A$5000),"",MIN('Hours Log'!$A$4:$A$5000)+7*(ROW()-10)))</f>
        <v/>
      </c>
    </row>
    <row r="579">
      <c r="A579">
        <f>IF($J579="","",YEAR($J579-WEEKDAY($J579,2)+4)&amp;"-W"&amp;TEXT(WEEKNUM($J579,21),"00"))</f>
        <v/>
      </c>
      <c r="B579" s="41">
        <f>IF($J579="","",COUNTIFS(Roster!$D$4:$D$500,"Active",Roster!$C$4:$C$500,"&lt;="&amp;$J579))</f>
        <v/>
      </c>
      <c r="C579">
        <f>IF($J579="","",SUMIFS('Hours Log'!$C:$C,'Hours Log'!$A:$A,"&gt;="&amp;$J579,'Hours Log'!$A:$A,"&lt;"&amp;$J579+7)+SUMIFS('Hours Log'!$D:$D,'Hours Log'!$A:$A,"&gt;="&amp;$J579,'Hours Log'!$A:$A,"&lt;"&amp;$J579+7))</f>
        <v/>
      </c>
      <c r="D579">
        <f>IF($J579="","",SUMIFS('Hours Log'!$D:$D,'Hours Log'!$A:$A,"&gt;="&amp;$J579,'Hours Log'!$A:$A,"&lt;"&amp;$J579+7))</f>
        <v/>
      </c>
      <c r="E579">
        <f>IF($J579="","",IFERROR(C579/(B579*40),0))</f>
        <v/>
      </c>
      <c r="F579">
        <f>IF($J579="","",0)</f>
        <v/>
      </c>
      <c r="G579">
        <f>IF($J579="","",SUMIFS('Hours Log'!$E:$E,'Hours Log'!$A:$A,"&gt;="&amp;$J579,'Hours Log'!$A:$A,"&lt;"&amp;$J579+7))</f>
        <v/>
      </c>
      <c r="J579">
        <f>IF(COUNT('Hours Log'!$A$4:$A$5000)=0,"",IF(MIN('Hours Log'!$A$4:$A$5000)+7*(ROW()-10)&gt;MAX('Hours Log'!$A$4:$A$5000),"",MIN('Hours Log'!$A$4:$A$5000)+7*(ROW()-10)))</f>
        <v/>
      </c>
    </row>
    <row r="580">
      <c r="A580">
        <f>IF($J580="","",YEAR($J580-WEEKDAY($J580,2)+4)&amp;"-W"&amp;TEXT(WEEKNUM($J580,21),"00"))</f>
        <v/>
      </c>
      <c r="B580" s="41">
        <f>IF($J580="","",COUNTIFS(Roster!$D$4:$D$500,"Active",Roster!$C$4:$C$500,"&lt;="&amp;$J580))</f>
        <v/>
      </c>
      <c r="C580">
        <f>IF($J580="","",SUMIFS('Hours Log'!$C:$C,'Hours Log'!$A:$A,"&gt;="&amp;$J580,'Hours Log'!$A:$A,"&lt;"&amp;$J580+7)+SUMIFS('Hours Log'!$D:$D,'Hours Log'!$A:$A,"&gt;="&amp;$J580,'Hours Log'!$A:$A,"&lt;"&amp;$J580+7))</f>
        <v/>
      </c>
      <c r="D580">
        <f>IF($J580="","",SUMIFS('Hours Log'!$D:$D,'Hours Log'!$A:$A,"&gt;="&amp;$J580,'Hours Log'!$A:$A,"&lt;"&amp;$J580+7))</f>
        <v/>
      </c>
      <c r="E580">
        <f>IF($J580="","",IFERROR(C580/(B580*40),0))</f>
        <v/>
      </c>
      <c r="F580">
        <f>IF($J580="","",0)</f>
        <v/>
      </c>
      <c r="G580">
        <f>IF($J580="","",SUMIFS('Hours Log'!$E:$E,'Hours Log'!$A:$A,"&gt;="&amp;$J580,'Hours Log'!$A:$A,"&lt;"&amp;$J580+7))</f>
        <v/>
      </c>
      <c r="J580">
        <f>IF(COUNT('Hours Log'!$A$4:$A$5000)=0,"",IF(MIN('Hours Log'!$A$4:$A$5000)+7*(ROW()-10)&gt;MAX('Hours Log'!$A$4:$A$5000),"",MIN('Hours Log'!$A$4:$A$5000)+7*(ROW()-10)))</f>
        <v/>
      </c>
    </row>
    <row r="581">
      <c r="A581">
        <f>IF($J581="","",YEAR($J581-WEEKDAY($J581,2)+4)&amp;"-W"&amp;TEXT(WEEKNUM($J581,21),"00"))</f>
        <v/>
      </c>
      <c r="B581" s="41">
        <f>IF($J581="","",COUNTIFS(Roster!$D$4:$D$500,"Active",Roster!$C$4:$C$500,"&lt;="&amp;$J581))</f>
        <v/>
      </c>
      <c r="C581">
        <f>IF($J581="","",SUMIFS('Hours Log'!$C:$C,'Hours Log'!$A:$A,"&gt;="&amp;$J581,'Hours Log'!$A:$A,"&lt;"&amp;$J581+7)+SUMIFS('Hours Log'!$D:$D,'Hours Log'!$A:$A,"&gt;="&amp;$J581,'Hours Log'!$A:$A,"&lt;"&amp;$J581+7))</f>
        <v/>
      </c>
      <c r="D581">
        <f>IF($J581="","",SUMIFS('Hours Log'!$D:$D,'Hours Log'!$A:$A,"&gt;="&amp;$J581,'Hours Log'!$A:$A,"&lt;"&amp;$J581+7))</f>
        <v/>
      </c>
      <c r="E581">
        <f>IF($J581="","",IFERROR(C581/(B581*40),0))</f>
        <v/>
      </c>
      <c r="F581">
        <f>IF($J581="","",0)</f>
        <v/>
      </c>
      <c r="G581">
        <f>IF($J581="","",SUMIFS('Hours Log'!$E:$E,'Hours Log'!$A:$A,"&gt;="&amp;$J581,'Hours Log'!$A:$A,"&lt;"&amp;$J581+7))</f>
        <v/>
      </c>
      <c r="J581">
        <f>IF(COUNT('Hours Log'!$A$4:$A$5000)=0,"",IF(MIN('Hours Log'!$A$4:$A$5000)+7*(ROW()-10)&gt;MAX('Hours Log'!$A$4:$A$5000),"",MIN('Hours Log'!$A$4:$A$5000)+7*(ROW()-10)))</f>
        <v/>
      </c>
    </row>
    <row r="582">
      <c r="A582">
        <f>IF($J582="","",YEAR($J582-WEEKDAY($J582,2)+4)&amp;"-W"&amp;TEXT(WEEKNUM($J582,21),"00"))</f>
        <v/>
      </c>
      <c r="B582" s="41">
        <f>IF($J582="","",COUNTIFS(Roster!$D$4:$D$500,"Active",Roster!$C$4:$C$500,"&lt;="&amp;$J582))</f>
        <v/>
      </c>
      <c r="C582">
        <f>IF($J582="","",SUMIFS('Hours Log'!$C:$C,'Hours Log'!$A:$A,"&gt;="&amp;$J582,'Hours Log'!$A:$A,"&lt;"&amp;$J582+7)+SUMIFS('Hours Log'!$D:$D,'Hours Log'!$A:$A,"&gt;="&amp;$J582,'Hours Log'!$A:$A,"&lt;"&amp;$J582+7))</f>
        <v/>
      </c>
      <c r="D582">
        <f>IF($J582="","",SUMIFS('Hours Log'!$D:$D,'Hours Log'!$A:$A,"&gt;="&amp;$J582,'Hours Log'!$A:$A,"&lt;"&amp;$J582+7))</f>
        <v/>
      </c>
      <c r="E582">
        <f>IF($J582="","",IFERROR(C582/(B582*40),0))</f>
        <v/>
      </c>
      <c r="F582">
        <f>IF($J582="","",0)</f>
        <v/>
      </c>
      <c r="G582">
        <f>IF($J582="","",SUMIFS('Hours Log'!$E:$E,'Hours Log'!$A:$A,"&gt;="&amp;$J582,'Hours Log'!$A:$A,"&lt;"&amp;$J582+7))</f>
        <v/>
      </c>
      <c r="J582">
        <f>IF(COUNT('Hours Log'!$A$4:$A$5000)=0,"",IF(MIN('Hours Log'!$A$4:$A$5000)+7*(ROW()-10)&gt;MAX('Hours Log'!$A$4:$A$5000),"",MIN('Hours Log'!$A$4:$A$5000)+7*(ROW()-10)))</f>
        <v/>
      </c>
    </row>
    <row r="583">
      <c r="A583">
        <f>IF($J583="","",YEAR($J583-WEEKDAY($J583,2)+4)&amp;"-W"&amp;TEXT(WEEKNUM($J583,21),"00"))</f>
        <v/>
      </c>
      <c r="B583" s="41">
        <f>IF($J583="","",COUNTIFS(Roster!$D$4:$D$500,"Active",Roster!$C$4:$C$500,"&lt;="&amp;$J583))</f>
        <v/>
      </c>
      <c r="C583">
        <f>IF($J583="","",SUMIFS('Hours Log'!$C:$C,'Hours Log'!$A:$A,"&gt;="&amp;$J583,'Hours Log'!$A:$A,"&lt;"&amp;$J583+7)+SUMIFS('Hours Log'!$D:$D,'Hours Log'!$A:$A,"&gt;="&amp;$J583,'Hours Log'!$A:$A,"&lt;"&amp;$J583+7))</f>
        <v/>
      </c>
      <c r="D583">
        <f>IF($J583="","",SUMIFS('Hours Log'!$D:$D,'Hours Log'!$A:$A,"&gt;="&amp;$J583,'Hours Log'!$A:$A,"&lt;"&amp;$J583+7))</f>
        <v/>
      </c>
      <c r="E583">
        <f>IF($J583="","",IFERROR(C583/(B583*40),0))</f>
        <v/>
      </c>
      <c r="F583">
        <f>IF($J583="","",0)</f>
        <v/>
      </c>
      <c r="G583">
        <f>IF($J583="","",SUMIFS('Hours Log'!$E:$E,'Hours Log'!$A:$A,"&gt;="&amp;$J583,'Hours Log'!$A:$A,"&lt;"&amp;$J583+7))</f>
        <v/>
      </c>
      <c r="J583">
        <f>IF(COUNT('Hours Log'!$A$4:$A$5000)=0,"",IF(MIN('Hours Log'!$A$4:$A$5000)+7*(ROW()-10)&gt;MAX('Hours Log'!$A$4:$A$5000),"",MIN('Hours Log'!$A$4:$A$5000)+7*(ROW()-10)))</f>
        <v/>
      </c>
    </row>
    <row r="584">
      <c r="A584">
        <f>IF($J584="","",YEAR($J584-WEEKDAY($J584,2)+4)&amp;"-W"&amp;TEXT(WEEKNUM($J584,21),"00"))</f>
        <v/>
      </c>
      <c r="B584" s="41">
        <f>IF($J584="","",COUNTIFS(Roster!$D$4:$D$500,"Active",Roster!$C$4:$C$500,"&lt;="&amp;$J584))</f>
        <v/>
      </c>
      <c r="C584">
        <f>IF($J584="","",SUMIFS('Hours Log'!$C:$C,'Hours Log'!$A:$A,"&gt;="&amp;$J584,'Hours Log'!$A:$A,"&lt;"&amp;$J584+7)+SUMIFS('Hours Log'!$D:$D,'Hours Log'!$A:$A,"&gt;="&amp;$J584,'Hours Log'!$A:$A,"&lt;"&amp;$J584+7))</f>
        <v/>
      </c>
      <c r="D584">
        <f>IF($J584="","",SUMIFS('Hours Log'!$D:$D,'Hours Log'!$A:$A,"&gt;="&amp;$J584,'Hours Log'!$A:$A,"&lt;"&amp;$J584+7))</f>
        <v/>
      </c>
      <c r="E584">
        <f>IF($J584="","",IFERROR(C584/(B584*40),0))</f>
        <v/>
      </c>
      <c r="F584">
        <f>IF($J584="","",0)</f>
        <v/>
      </c>
      <c r="G584">
        <f>IF($J584="","",SUMIFS('Hours Log'!$E:$E,'Hours Log'!$A:$A,"&gt;="&amp;$J584,'Hours Log'!$A:$A,"&lt;"&amp;$J584+7))</f>
        <v/>
      </c>
      <c r="J584">
        <f>IF(COUNT('Hours Log'!$A$4:$A$5000)=0,"",IF(MIN('Hours Log'!$A$4:$A$5000)+7*(ROW()-10)&gt;MAX('Hours Log'!$A$4:$A$5000),"",MIN('Hours Log'!$A$4:$A$5000)+7*(ROW()-10)))</f>
        <v/>
      </c>
    </row>
    <row r="585">
      <c r="A585">
        <f>IF($J585="","",YEAR($J585-WEEKDAY($J585,2)+4)&amp;"-W"&amp;TEXT(WEEKNUM($J585,21),"00"))</f>
        <v/>
      </c>
      <c r="B585" s="41">
        <f>IF($J585="","",COUNTIFS(Roster!$D$4:$D$500,"Active",Roster!$C$4:$C$500,"&lt;="&amp;$J585))</f>
        <v/>
      </c>
      <c r="C585">
        <f>IF($J585="","",SUMIFS('Hours Log'!$C:$C,'Hours Log'!$A:$A,"&gt;="&amp;$J585,'Hours Log'!$A:$A,"&lt;"&amp;$J585+7)+SUMIFS('Hours Log'!$D:$D,'Hours Log'!$A:$A,"&gt;="&amp;$J585,'Hours Log'!$A:$A,"&lt;"&amp;$J585+7))</f>
        <v/>
      </c>
      <c r="D585">
        <f>IF($J585="","",SUMIFS('Hours Log'!$D:$D,'Hours Log'!$A:$A,"&gt;="&amp;$J585,'Hours Log'!$A:$A,"&lt;"&amp;$J585+7))</f>
        <v/>
      </c>
      <c r="E585">
        <f>IF($J585="","",IFERROR(C585/(B585*40),0))</f>
        <v/>
      </c>
      <c r="F585">
        <f>IF($J585="","",0)</f>
        <v/>
      </c>
      <c r="G585">
        <f>IF($J585="","",SUMIFS('Hours Log'!$E:$E,'Hours Log'!$A:$A,"&gt;="&amp;$J585,'Hours Log'!$A:$A,"&lt;"&amp;$J585+7))</f>
        <v/>
      </c>
      <c r="J585">
        <f>IF(COUNT('Hours Log'!$A$4:$A$5000)=0,"",IF(MIN('Hours Log'!$A$4:$A$5000)+7*(ROW()-10)&gt;MAX('Hours Log'!$A$4:$A$5000),"",MIN('Hours Log'!$A$4:$A$5000)+7*(ROW()-10)))</f>
        <v/>
      </c>
    </row>
    <row r="586">
      <c r="A586">
        <f>IF($J586="","",YEAR($J586-WEEKDAY($J586,2)+4)&amp;"-W"&amp;TEXT(WEEKNUM($J586,21),"00"))</f>
        <v/>
      </c>
      <c r="B586" s="41">
        <f>IF($J586="","",COUNTIFS(Roster!$D$4:$D$500,"Active",Roster!$C$4:$C$500,"&lt;="&amp;$J586))</f>
        <v/>
      </c>
      <c r="C586">
        <f>IF($J586="","",SUMIFS('Hours Log'!$C:$C,'Hours Log'!$A:$A,"&gt;="&amp;$J586,'Hours Log'!$A:$A,"&lt;"&amp;$J586+7)+SUMIFS('Hours Log'!$D:$D,'Hours Log'!$A:$A,"&gt;="&amp;$J586,'Hours Log'!$A:$A,"&lt;"&amp;$J586+7))</f>
        <v/>
      </c>
      <c r="D586">
        <f>IF($J586="","",SUMIFS('Hours Log'!$D:$D,'Hours Log'!$A:$A,"&gt;="&amp;$J586,'Hours Log'!$A:$A,"&lt;"&amp;$J586+7))</f>
        <v/>
      </c>
      <c r="E586">
        <f>IF($J586="","",IFERROR(C586/(B586*40),0))</f>
        <v/>
      </c>
      <c r="F586">
        <f>IF($J586="","",0)</f>
        <v/>
      </c>
      <c r="G586">
        <f>IF($J586="","",SUMIFS('Hours Log'!$E:$E,'Hours Log'!$A:$A,"&gt;="&amp;$J586,'Hours Log'!$A:$A,"&lt;"&amp;$J586+7))</f>
        <v/>
      </c>
      <c r="J586">
        <f>IF(COUNT('Hours Log'!$A$4:$A$5000)=0,"",IF(MIN('Hours Log'!$A$4:$A$5000)+7*(ROW()-10)&gt;MAX('Hours Log'!$A$4:$A$5000),"",MIN('Hours Log'!$A$4:$A$5000)+7*(ROW()-10)))</f>
        <v/>
      </c>
    </row>
    <row r="587">
      <c r="A587">
        <f>IF($J587="","",YEAR($J587-WEEKDAY($J587,2)+4)&amp;"-W"&amp;TEXT(WEEKNUM($J587,21),"00"))</f>
        <v/>
      </c>
      <c r="B587" s="41">
        <f>IF($J587="","",COUNTIFS(Roster!$D$4:$D$500,"Active",Roster!$C$4:$C$500,"&lt;="&amp;$J587))</f>
        <v/>
      </c>
      <c r="C587">
        <f>IF($J587="","",SUMIFS('Hours Log'!$C:$C,'Hours Log'!$A:$A,"&gt;="&amp;$J587,'Hours Log'!$A:$A,"&lt;"&amp;$J587+7)+SUMIFS('Hours Log'!$D:$D,'Hours Log'!$A:$A,"&gt;="&amp;$J587,'Hours Log'!$A:$A,"&lt;"&amp;$J587+7))</f>
        <v/>
      </c>
      <c r="D587">
        <f>IF($J587="","",SUMIFS('Hours Log'!$D:$D,'Hours Log'!$A:$A,"&gt;="&amp;$J587,'Hours Log'!$A:$A,"&lt;"&amp;$J587+7))</f>
        <v/>
      </c>
      <c r="E587">
        <f>IF($J587="","",IFERROR(C587/(B587*40),0))</f>
        <v/>
      </c>
      <c r="F587">
        <f>IF($J587="","",0)</f>
        <v/>
      </c>
      <c r="G587">
        <f>IF($J587="","",SUMIFS('Hours Log'!$E:$E,'Hours Log'!$A:$A,"&gt;="&amp;$J587,'Hours Log'!$A:$A,"&lt;"&amp;$J587+7))</f>
        <v/>
      </c>
      <c r="J587">
        <f>IF(COUNT('Hours Log'!$A$4:$A$5000)=0,"",IF(MIN('Hours Log'!$A$4:$A$5000)+7*(ROW()-10)&gt;MAX('Hours Log'!$A$4:$A$5000),"",MIN('Hours Log'!$A$4:$A$5000)+7*(ROW()-10)))</f>
        <v/>
      </c>
    </row>
    <row r="588">
      <c r="A588">
        <f>IF($J588="","",YEAR($J588-WEEKDAY($J588,2)+4)&amp;"-W"&amp;TEXT(WEEKNUM($J588,21),"00"))</f>
        <v/>
      </c>
      <c r="B588" s="41">
        <f>IF($J588="","",COUNTIFS(Roster!$D$4:$D$500,"Active",Roster!$C$4:$C$500,"&lt;="&amp;$J588))</f>
        <v/>
      </c>
      <c r="C588">
        <f>IF($J588="","",SUMIFS('Hours Log'!$C:$C,'Hours Log'!$A:$A,"&gt;="&amp;$J588,'Hours Log'!$A:$A,"&lt;"&amp;$J588+7)+SUMIFS('Hours Log'!$D:$D,'Hours Log'!$A:$A,"&gt;="&amp;$J588,'Hours Log'!$A:$A,"&lt;"&amp;$J588+7))</f>
        <v/>
      </c>
      <c r="D588">
        <f>IF($J588="","",SUMIFS('Hours Log'!$D:$D,'Hours Log'!$A:$A,"&gt;="&amp;$J588,'Hours Log'!$A:$A,"&lt;"&amp;$J588+7))</f>
        <v/>
      </c>
      <c r="E588">
        <f>IF($J588="","",IFERROR(C588/(B588*40),0))</f>
        <v/>
      </c>
      <c r="F588">
        <f>IF($J588="","",0)</f>
        <v/>
      </c>
      <c r="G588">
        <f>IF($J588="","",SUMIFS('Hours Log'!$E:$E,'Hours Log'!$A:$A,"&gt;="&amp;$J588,'Hours Log'!$A:$A,"&lt;"&amp;$J588+7))</f>
        <v/>
      </c>
      <c r="J588">
        <f>IF(COUNT('Hours Log'!$A$4:$A$5000)=0,"",IF(MIN('Hours Log'!$A$4:$A$5000)+7*(ROW()-10)&gt;MAX('Hours Log'!$A$4:$A$5000),"",MIN('Hours Log'!$A$4:$A$5000)+7*(ROW()-10)))</f>
        <v/>
      </c>
    </row>
    <row r="589">
      <c r="A589">
        <f>IF($J589="","",YEAR($J589-WEEKDAY($J589,2)+4)&amp;"-W"&amp;TEXT(WEEKNUM($J589,21),"00"))</f>
        <v/>
      </c>
      <c r="B589" s="41">
        <f>IF($J589="","",COUNTIFS(Roster!$D$4:$D$500,"Active",Roster!$C$4:$C$500,"&lt;="&amp;$J589))</f>
        <v/>
      </c>
      <c r="C589">
        <f>IF($J589="","",SUMIFS('Hours Log'!$C:$C,'Hours Log'!$A:$A,"&gt;="&amp;$J589,'Hours Log'!$A:$A,"&lt;"&amp;$J589+7)+SUMIFS('Hours Log'!$D:$D,'Hours Log'!$A:$A,"&gt;="&amp;$J589,'Hours Log'!$A:$A,"&lt;"&amp;$J589+7))</f>
        <v/>
      </c>
      <c r="D589">
        <f>IF($J589="","",SUMIFS('Hours Log'!$D:$D,'Hours Log'!$A:$A,"&gt;="&amp;$J589,'Hours Log'!$A:$A,"&lt;"&amp;$J589+7))</f>
        <v/>
      </c>
      <c r="E589">
        <f>IF($J589="","",IFERROR(C589/(B589*40),0))</f>
        <v/>
      </c>
      <c r="F589">
        <f>IF($J589="","",0)</f>
        <v/>
      </c>
      <c r="G589">
        <f>IF($J589="","",SUMIFS('Hours Log'!$E:$E,'Hours Log'!$A:$A,"&gt;="&amp;$J589,'Hours Log'!$A:$A,"&lt;"&amp;$J589+7))</f>
        <v/>
      </c>
      <c r="J589">
        <f>IF(COUNT('Hours Log'!$A$4:$A$5000)=0,"",IF(MIN('Hours Log'!$A$4:$A$5000)+7*(ROW()-10)&gt;MAX('Hours Log'!$A$4:$A$5000),"",MIN('Hours Log'!$A$4:$A$5000)+7*(ROW()-10)))</f>
        <v/>
      </c>
    </row>
    <row r="590">
      <c r="A590">
        <f>IF($J590="","",YEAR($J590-WEEKDAY($J590,2)+4)&amp;"-W"&amp;TEXT(WEEKNUM($J590,21),"00"))</f>
        <v/>
      </c>
      <c r="B590" s="41">
        <f>IF($J590="","",COUNTIFS(Roster!$D$4:$D$500,"Active",Roster!$C$4:$C$500,"&lt;="&amp;$J590))</f>
        <v/>
      </c>
      <c r="C590">
        <f>IF($J590="","",SUMIFS('Hours Log'!$C:$C,'Hours Log'!$A:$A,"&gt;="&amp;$J590,'Hours Log'!$A:$A,"&lt;"&amp;$J590+7)+SUMIFS('Hours Log'!$D:$D,'Hours Log'!$A:$A,"&gt;="&amp;$J590,'Hours Log'!$A:$A,"&lt;"&amp;$J590+7))</f>
        <v/>
      </c>
      <c r="D590">
        <f>IF($J590="","",SUMIFS('Hours Log'!$D:$D,'Hours Log'!$A:$A,"&gt;="&amp;$J590,'Hours Log'!$A:$A,"&lt;"&amp;$J590+7))</f>
        <v/>
      </c>
      <c r="E590">
        <f>IF($J590="","",IFERROR(C590/(B590*40),0))</f>
        <v/>
      </c>
      <c r="F590">
        <f>IF($J590="","",0)</f>
        <v/>
      </c>
      <c r="G590">
        <f>IF($J590="","",SUMIFS('Hours Log'!$E:$E,'Hours Log'!$A:$A,"&gt;="&amp;$J590,'Hours Log'!$A:$A,"&lt;"&amp;$J590+7))</f>
        <v/>
      </c>
      <c r="J590">
        <f>IF(COUNT('Hours Log'!$A$4:$A$5000)=0,"",IF(MIN('Hours Log'!$A$4:$A$5000)+7*(ROW()-10)&gt;MAX('Hours Log'!$A$4:$A$5000),"",MIN('Hours Log'!$A$4:$A$5000)+7*(ROW()-10)))</f>
        <v/>
      </c>
    </row>
    <row r="591">
      <c r="A591">
        <f>IF($J591="","",YEAR($J591-WEEKDAY($J591,2)+4)&amp;"-W"&amp;TEXT(WEEKNUM($J591,21),"00"))</f>
        <v/>
      </c>
      <c r="B591" s="41">
        <f>IF($J591="","",COUNTIFS(Roster!$D$4:$D$500,"Active",Roster!$C$4:$C$500,"&lt;="&amp;$J591))</f>
        <v/>
      </c>
      <c r="C591">
        <f>IF($J591="","",SUMIFS('Hours Log'!$C:$C,'Hours Log'!$A:$A,"&gt;="&amp;$J591,'Hours Log'!$A:$A,"&lt;"&amp;$J591+7)+SUMIFS('Hours Log'!$D:$D,'Hours Log'!$A:$A,"&gt;="&amp;$J591,'Hours Log'!$A:$A,"&lt;"&amp;$J591+7))</f>
        <v/>
      </c>
      <c r="D591">
        <f>IF($J591="","",SUMIFS('Hours Log'!$D:$D,'Hours Log'!$A:$A,"&gt;="&amp;$J591,'Hours Log'!$A:$A,"&lt;"&amp;$J591+7))</f>
        <v/>
      </c>
      <c r="E591">
        <f>IF($J591="","",IFERROR(C591/(B591*40),0))</f>
        <v/>
      </c>
      <c r="F591">
        <f>IF($J591="","",0)</f>
        <v/>
      </c>
      <c r="G591">
        <f>IF($J591="","",SUMIFS('Hours Log'!$E:$E,'Hours Log'!$A:$A,"&gt;="&amp;$J591,'Hours Log'!$A:$A,"&lt;"&amp;$J591+7))</f>
        <v/>
      </c>
      <c r="J591">
        <f>IF(COUNT('Hours Log'!$A$4:$A$5000)=0,"",IF(MIN('Hours Log'!$A$4:$A$5000)+7*(ROW()-10)&gt;MAX('Hours Log'!$A$4:$A$5000),"",MIN('Hours Log'!$A$4:$A$5000)+7*(ROW()-10)))</f>
        <v/>
      </c>
    </row>
    <row r="592">
      <c r="A592">
        <f>IF($J592="","",YEAR($J592-WEEKDAY($J592,2)+4)&amp;"-W"&amp;TEXT(WEEKNUM($J592,21),"00"))</f>
        <v/>
      </c>
      <c r="B592" s="41">
        <f>IF($J592="","",COUNTIFS(Roster!$D$4:$D$500,"Active",Roster!$C$4:$C$500,"&lt;="&amp;$J592))</f>
        <v/>
      </c>
      <c r="C592">
        <f>IF($J592="","",SUMIFS('Hours Log'!$C:$C,'Hours Log'!$A:$A,"&gt;="&amp;$J592,'Hours Log'!$A:$A,"&lt;"&amp;$J592+7)+SUMIFS('Hours Log'!$D:$D,'Hours Log'!$A:$A,"&gt;="&amp;$J592,'Hours Log'!$A:$A,"&lt;"&amp;$J592+7))</f>
        <v/>
      </c>
      <c r="D592">
        <f>IF($J592="","",SUMIFS('Hours Log'!$D:$D,'Hours Log'!$A:$A,"&gt;="&amp;$J592,'Hours Log'!$A:$A,"&lt;"&amp;$J592+7))</f>
        <v/>
      </c>
      <c r="E592">
        <f>IF($J592="","",IFERROR(C592/(B592*40),0))</f>
        <v/>
      </c>
      <c r="F592">
        <f>IF($J592="","",0)</f>
        <v/>
      </c>
      <c r="G592">
        <f>IF($J592="","",SUMIFS('Hours Log'!$E:$E,'Hours Log'!$A:$A,"&gt;="&amp;$J592,'Hours Log'!$A:$A,"&lt;"&amp;$J592+7))</f>
        <v/>
      </c>
      <c r="J592">
        <f>IF(COUNT('Hours Log'!$A$4:$A$5000)=0,"",IF(MIN('Hours Log'!$A$4:$A$5000)+7*(ROW()-10)&gt;MAX('Hours Log'!$A$4:$A$5000),"",MIN('Hours Log'!$A$4:$A$5000)+7*(ROW()-10)))</f>
        <v/>
      </c>
    </row>
    <row r="593">
      <c r="A593">
        <f>IF($J593="","",YEAR($J593-WEEKDAY($J593,2)+4)&amp;"-W"&amp;TEXT(WEEKNUM($J593,21),"00"))</f>
        <v/>
      </c>
      <c r="B593" s="41">
        <f>IF($J593="","",COUNTIFS(Roster!$D$4:$D$500,"Active",Roster!$C$4:$C$500,"&lt;="&amp;$J593))</f>
        <v/>
      </c>
      <c r="C593">
        <f>IF($J593="","",SUMIFS('Hours Log'!$C:$C,'Hours Log'!$A:$A,"&gt;="&amp;$J593,'Hours Log'!$A:$A,"&lt;"&amp;$J593+7)+SUMIFS('Hours Log'!$D:$D,'Hours Log'!$A:$A,"&gt;="&amp;$J593,'Hours Log'!$A:$A,"&lt;"&amp;$J593+7))</f>
        <v/>
      </c>
      <c r="D593">
        <f>IF($J593="","",SUMIFS('Hours Log'!$D:$D,'Hours Log'!$A:$A,"&gt;="&amp;$J593,'Hours Log'!$A:$A,"&lt;"&amp;$J593+7))</f>
        <v/>
      </c>
      <c r="E593">
        <f>IF($J593="","",IFERROR(C593/(B593*40),0))</f>
        <v/>
      </c>
      <c r="F593">
        <f>IF($J593="","",0)</f>
        <v/>
      </c>
      <c r="G593">
        <f>IF($J593="","",SUMIFS('Hours Log'!$E:$E,'Hours Log'!$A:$A,"&gt;="&amp;$J593,'Hours Log'!$A:$A,"&lt;"&amp;$J593+7))</f>
        <v/>
      </c>
      <c r="J593">
        <f>IF(COUNT('Hours Log'!$A$4:$A$5000)=0,"",IF(MIN('Hours Log'!$A$4:$A$5000)+7*(ROW()-10)&gt;MAX('Hours Log'!$A$4:$A$5000),"",MIN('Hours Log'!$A$4:$A$5000)+7*(ROW()-10)))</f>
        <v/>
      </c>
    </row>
    <row r="594">
      <c r="A594">
        <f>IF($J594="","",YEAR($J594-WEEKDAY($J594,2)+4)&amp;"-W"&amp;TEXT(WEEKNUM($J594,21),"00"))</f>
        <v/>
      </c>
      <c r="B594" s="41">
        <f>IF($J594="","",COUNTIFS(Roster!$D$4:$D$500,"Active",Roster!$C$4:$C$500,"&lt;="&amp;$J594))</f>
        <v/>
      </c>
      <c r="C594">
        <f>IF($J594="","",SUMIFS('Hours Log'!$C:$C,'Hours Log'!$A:$A,"&gt;="&amp;$J594,'Hours Log'!$A:$A,"&lt;"&amp;$J594+7)+SUMIFS('Hours Log'!$D:$D,'Hours Log'!$A:$A,"&gt;="&amp;$J594,'Hours Log'!$A:$A,"&lt;"&amp;$J594+7))</f>
        <v/>
      </c>
      <c r="D594">
        <f>IF($J594="","",SUMIFS('Hours Log'!$D:$D,'Hours Log'!$A:$A,"&gt;="&amp;$J594,'Hours Log'!$A:$A,"&lt;"&amp;$J594+7))</f>
        <v/>
      </c>
      <c r="E594">
        <f>IF($J594="","",IFERROR(C594/(B594*40),0))</f>
        <v/>
      </c>
      <c r="F594">
        <f>IF($J594="","",0)</f>
        <v/>
      </c>
      <c r="G594">
        <f>IF($J594="","",SUMIFS('Hours Log'!$E:$E,'Hours Log'!$A:$A,"&gt;="&amp;$J594,'Hours Log'!$A:$A,"&lt;"&amp;$J594+7))</f>
        <v/>
      </c>
      <c r="J594">
        <f>IF(COUNT('Hours Log'!$A$4:$A$5000)=0,"",IF(MIN('Hours Log'!$A$4:$A$5000)+7*(ROW()-10)&gt;MAX('Hours Log'!$A$4:$A$5000),"",MIN('Hours Log'!$A$4:$A$5000)+7*(ROW()-10)))</f>
        <v/>
      </c>
    </row>
    <row r="595">
      <c r="A595">
        <f>IF($J595="","",YEAR($J595-WEEKDAY($J595,2)+4)&amp;"-W"&amp;TEXT(WEEKNUM($J595,21),"00"))</f>
        <v/>
      </c>
      <c r="B595" s="41">
        <f>IF($J595="","",COUNTIFS(Roster!$D$4:$D$500,"Active",Roster!$C$4:$C$500,"&lt;="&amp;$J595))</f>
        <v/>
      </c>
      <c r="C595">
        <f>IF($J595="","",SUMIFS('Hours Log'!$C:$C,'Hours Log'!$A:$A,"&gt;="&amp;$J595,'Hours Log'!$A:$A,"&lt;"&amp;$J595+7)+SUMIFS('Hours Log'!$D:$D,'Hours Log'!$A:$A,"&gt;="&amp;$J595,'Hours Log'!$A:$A,"&lt;"&amp;$J595+7))</f>
        <v/>
      </c>
      <c r="D595">
        <f>IF($J595="","",SUMIFS('Hours Log'!$D:$D,'Hours Log'!$A:$A,"&gt;="&amp;$J595,'Hours Log'!$A:$A,"&lt;"&amp;$J595+7))</f>
        <v/>
      </c>
      <c r="E595">
        <f>IF($J595="","",IFERROR(C595/(B595*40),0))</f>
        <v/>
      </c>
      <c r="F595">
        <f>IF($J595="","",0)</f>
        <v/>
      </c>
      <c r="G595">
        <f>IF($J595="","",SUMIFS('Hours Log'!$E:$E,'Hours Log'!$A:$A,"&gt;="&amp;$J595,'Hours Log'!$A:$A,"&lt;"&amp;$J595+7))</f>
        <v/>
      </c>
      <c r="J595">
        <f>IF(COUNT('Hours Log'!$A$4:$A$5000)=0,"",IF(MIN('Hours Log'!$A$4:$A$5000)+7*(ROW()-10)&gt;MAX('Hours Log'!$A$4:$A$5000),"",MIN('Hours Log'!$A$4:$A$5000)+7*(ROW()-10)))</f>
        <v/>
      </c>
    </row>
    <row r="596">
      <c r="A596">
        <f>IF($J596="","",YEAR($J596-WEEKDAY($J596,2)+4)&amp;"-W"&amp;TEXT(WEEKNUM($J596,21),"00"))</f>
        <v/>
      </c>
      <c r="B596" s="41">
        <f>IF($J596="","",COUNTIFS(Roster!$D$4:$D$500,"Active",Roster!$C$4:$C$500,"&lt;="&amp;$J596))</f>
        <v/>
      </c>
      <c r="C596">
        <f>IF($J596="","",SUMIFS('Hours Log'!$C:$C,'Hours Log'!$A:$A,"&gt;="&amp;$J596,'Hours Log'!$A:$A,"&lt;"&amp;$J596+7)+SUMIFS('Hours Log'!$D:$D,'Hours Log'!$A:$A,"&gt;="&amp;$J596,'Hours Log'!$A:$A,"&lt;"&amp;$J596+7))</f>
        <v/>
      </c>
      <c r="D596">
        <f>IF($J596="","",SUMIFS('Hours Log'!$D:$D,'Hours Log'!$A:$A,"&gt;="&amp;$J596,'Hours Log'!$A:$A,"&lt;"&amp;$J596+7))</f>
        <v/>
      </c>
      <c r="E596">
        <f>IF($J596="","",IFERROR(C596/(B596*40),0))</f>
        <v/>
      </c>
      <c r="F596">
        <f>IF($J596="","",0)</f>
        <v/>
      </c>
      <c r="G596">
        <f>IF($J596="","",SUMIFS('Hours Log'!$E:$E,'Hours Log'!$A:$A,"&gt;="&amp;$J596,'Hours Log'!$A:$A,"&lt;"&amp;$J596+7))</f>
        <v/>
      </c>
      <c r="J596">
        <f>IF(COUNT('Hours Log'!$A$4:$A$5000)=0,"",IF(MIN('Hours Log'!$A$4:$A$5000)+7*(ROW()-10)&gt;MAX('Hours Log'!$A$4:$A$5000),"",MIN('Hours Log'!$A$4:$A$5000)+7*(ROW()-10)))</f>
        <v/>
      </c>
    </row>
    <row r="597">
      <c r="A597">
        <f>IF($J597="","",YEAR($J597-WEEKDAY($J597,2)+4)&amp;"-W"&amp;TEXT(WEEKNUM($J597,21),"00"))</f>
        <v/>
      </c>
      <c r="B597" s="41">
        <f>IF($J597="","",COUNTIFS(Roster!$D$4:$D$500,"Active",Roster!$C$4:$C$500,"&lt;="&amp;$J597))</f>
        <v/>
      </c>
      <c r="C597">
        <f>IF($J597="","",SUMIFS('Hours Log'!$C:$C,'Hours Log'!$A:$A,"&gt;="&amp;$J597,'Hours Log'!$A:$A,"&lt;"&amp;$J597+7)+SUMIFS('Hours Log'!$D:$D,'Hours Log'!$A:$A,"&gt;="&amp;$J597,'Hours Log'!$A:$A,"&lt;"&amp;$J597+7))</f>
        <v/>
      </c>
      <c r="D597">
        <f>IF($J597="","",SUMIFS('Hours Log'!$D:$D,'Hours Log'!$A:$A,"&gt;="&amp;$J597,'Hours Log'!$A:$A,"&lt;"&amp;$J597+7))</f>
        <v/>
      </c>
      <c r="E597">
        <f>IF($J597="","",IFERROR(C597/(B597*40),0))</f>
        <v/>
      </c>
      <c r="F597">
        <f>IF($J597="","",0)</f>
        <v/>
      </c>
      <c r="G597">
        <f>IF($J597="","",SUMIFS('Hours Log'!$E:$E,'Hours Log'!$A:$A,"&gt;="&amp;$J597,'Hours Log'!$A:$A,"&lt;"&amp;$J597+7))</f>
        <v/>
      </c>
      <c r="J597">
        <f>IF(COUNT('Hours Log'!$A$4:$A$5000)=0,"",IF(MIN('Hours Log'!$A$4:$A$5000)+7*(ROW()-10)&gt;MAX('Hours Log'!$A$4:$A$5000),"",MIN('Hours Log'!$A$4:$A$5000)+7*(ROW()-10)))</f>
        <v/>
      </c>
    </row>
    <row r="598">
      <c r="A598">
        <f>IF($J598="","",YEAR($J598-WEEKDAY($J598,2)+4)&amp;"-W"&amp;TEXT(WEEKNUM($J598,21),"00"))</f>
        <v/>
      </c>
      <c r="B598" s="41">
        <f>IF($J598="","",COUNTIFS(Roster!$D$4:$D$500,"Active",Roster!$C$4:$C$500,"&lt;="&amp;$J598))</f>
        <v/>
      </c>
      <c r="C598">
        <f>IF($J598="","",SUMIFS('Hours Log'!$C:$C,'Hours Log'!$A:$A,"&gt;="&amp;$J598,'Hours Log'!$A:$A,"&lt;"&amp;$J598+7)+SUMIFS('Hours Log'!$D:$D,'Hours Log'!$A:$A,"&gt;="&amp;$J598,'Hours Log'!$A:$A,"&lt;"&amp;$J598+7))</f>
        <v/>
      </c>
      <c r="D598">
        <f>IF($J598="","",SUMIFS('Hours Log'!$D:$D,'Hours Log'!$A:$A,"&gt;="&amp;$J598,'Hours Log'!$A:$A,"&lt;"&amp;$J598+7))</f>
        <v/>
      </c>
      <c r="E598">
        <f>IF($J598="","",IFERROR(C598/(B598*40),0))</f>
        <v/>
      </c>
      <c r="F598">
        <f>IF($J598="","",0)</f>
        <v/>
      </c>
      <c r="G598">
        <f>IF($J598="","",SUMIFS('Hours Log'!$E:$E,'Hours Log'!$A:$A,"&gt;="&amp;$J598,'Hours Log'!$A:$A,"&lt;"&amp;$J598+7))</f>
        <v/>
      </c>
      <c r="J598">
        <f>IF(COUNT('Hours Log'!$A$4:$A$5000)=0,"",IF(MIN('Hours Log'!$A$4:$A$5000)+7*(ROW()-10)&gt;MAX('Hours Log'!$A$4:$A$5000),"",MIN('Hours Log'!$A$4:$A$5000)+7*(ROW()-10)))</f>
        <v/>
      </c>
    </row>
    <row r="599">
      <c r="A599">
        <f>IF($J599="","",YEAR($J599-WEEKDAY($J599,2)+4)&amp;"-W"&amp;TEXT(WEEKNUM($J599,21),"00"))</f>
        <v/>
      </c>
      <c r="B599" s="41">
        <f>IF($J599="","",COUNTIFS(Roster!$D$4:$D$500,"Active",Roster!$C$4:$C$500,"&lt;="&amp;$J599))</f>
        <v/>
      </c>
      <c r="C599">
        <f>IF($J599="","",SUMIFS('Hours Log'!$C:$C,'Hours Log'!$A:$A,"&gt;="&amp;$J599,'Hours Log'!$A:$A,"&lt;"&amp;$J599+7)+SUMIFS('Hours Log'!$D:$D,'Hours Log'!$A:$A,"&gt;="&amp;$J599,'Hours Log'!$A:$A,"&lt;"&amp;$J599+7))</f>
        <v/>
      </c>
      <c r="D599">
        <f>IF($J599="","",SUMIFS('Hours Log'!$D:$D,'Hours Log'!$A:$A,"&gt;="&amp;$J599,'Hours Log'!$A:$A,"&lt;"&amp;$J599+7))</f>
        <v/>
      </c>
      <c r="E599">
        <f>IF($J599="","",IFERROR(C599/(B599*40),0))</f>
        <v/>
      </c>
      <c r="F599">
        <f>IF($J599="","",0)</f>
        <v/>
      </c>
      <c r="G599">
        <f>IF($J599="","",SUMIFS('Hours Log'!$E:$E,'Hours Log'!$A:$A,"&gt;="&amp;$J599,'Hours Log'!$A:$A,"&lt;"&amp;$J599+7))</f>
        <v/>
      </c>
      <c r="J599">
        <f>IF(COUNT('Hours Log'!$A$4:$A$5000)=0,"",IF(MIN('Hours Log'!$A$4:$A$5000)+7*(ROW()-10)&gt;MAX('Hours Log'!$A$4:$A$5000),"",MIN('Hours Log'!$A$4:$A$5000)+7*(ROW()-10)))</f>
        <v/>
      </c>
    </row>
    <row r="600">
      <c r="A600">
        <f>IF($J600="","",YEAR($J600-WEEKDAY($J600,2)+4)&amp;"-W"&amp;TEXT(WEEKNUM($J600,21),"00"))</f>
        <v/>
      </c>
      <c r="B600" s="41">
        <f>IF($J600="","",COUNTIFS(Roster!$D$4:$D$500,"Active",Roster!$C$4:$C$500,"&lt;="&amp;$J600))</f>
        <v/>
      </c>
      <c r="C600">
        <f>IF($J600="","",SUMIFS('Hours Log'!$C:$C,'Hours Log'!$A:$A,"&gt;="&amp;$J600,'Hours Log'!$A:$A,"&lt;"&amp;$J600+7)+SUMIFS('Hours Log'!$D:$D,'Hours Log'!$A:$A,"&gt;="&amp;$J600,'Hours Log'!$A:$A,"&lt;"&amp;$J600+7))</f>
        <v/>
      </c>
      <c r="D600">
        <f>IF($J600="","",SUMIFS('Hours Log'!$D:$D,'Hours Log'!$A:$A,"&gt;="&amp;$J600,'Hours Log'!$A:$A,"&lt;"&amp;$J600+7))</f>
        <v/>
      </c>
      <c r="E600">
        <f>IF($J600="","",IFERROR(C600/(B600*40),0))</f>
        <v/>
      </c>
      <c r="F600">
        <f>IF($J600="","",0)</f>
        <v/>
      </c>
      <c r="G600">
        <f>IF($J600="","",SUMIFS('Hours Log'!$E:$E,'Hours Log'!$A:$A,"&gt;="&amp;$J600,'Hours Log'!$A:$A,"&lt;"&amp;$J600+7))</f>
        <v/>
      </c>
      <c r="J600">
        <f>IF(COUNT('Hours Log'!$A$4:$A$5000)=0,"",IF(MIN('Hours Log'!$A$4:$A$5000)+7*(ROW()-10)&gt;MAX('Hours Log'!$A$4:$A$5000),"",MIN('Hours Log'!$A$4:$A$5000)+7*(ROW()-10)))</f>
        <v/>
      </c>
    </row>
    <row r="601">
      <c r="A601">
        <f>IF($J601="","",YEAR($J601-WEEKDAY($J601,2)+4)&amp;"-W"&amp;TEXT(WEEKNUM($J601,21),"00"))</f>
        <v/>
      </c>
      <c r="B601" s="41">
        <f>IF($J601="","",COUNTIFS(Roster!$D$4:$D$500,"Active",Roster!$C$4:$C$500,"&lt;="&amp;$J601))</f>
        <v/>
      </c>
      <c r="C601">
        <f>IF($J601="","",SUMIFS('Hours Log'!$C:$C,'Hours Log'!$A:$A,"&gt;="&amp;$J601,'Hours Log'!$A:$A,"&lt;"&amp;$J601+7)+SUMIFS('Hours Log'!$D:$D,'Hours Log'!$A:$A,"&gt;="&amp;$J601,'Hours Log'!$A:$A,"&lt;"&amp;$J601+7))</f>
        <v/>
      </c>
      <c r="D601">
        <f>IF($J601="","",SUMIFS('Hours Log'!$D:$D,'Hours Log'!$A:$A,"&gt;="&amp;$J601,'Hours Log'!$A:$A,"&lt;"&amp;$J601+7))</f>
        <v/>
      </c>
      <c r="E601">
        <f>IF($J601="","",IFERROR(C601/(B601*40),0))</f>
        <v/>
      </c>
      <c r="F601">
        <f>IF($J601="","",0)</f>
        <v/>
      </c>
      <c r="G601">
        <f>IF($J601="","",SUMIFS('Hours Log'!$E:$E,'Hours Log'!$A:$A,"&gt;="&amp;$J601,'Hours Log'!$A:$A,"&lt;"&amp;$J601+7))</f>
        <v/>
      </c>
      <c r="J601">
        <f>IF(COUNT('Hours Log'!$A$4:$A$5000)=0,"",IF(MIN('Hours Log'!$A$4:$A$5000)+7*(ROW()-10)&gt;MAX('Hours Log'!$A$4:$A$5000),"",MIN('Hours Log'!$A$4:$A$5000)+7*(ROW()-10)))</f>
        <v/>
      </c>
    </row>
    <row r="602">
      <c r="A602">
        <f>IF($J602="","",YEAR($J602-WEEKDAY($J602,2)+4)&amp;"-W"&amp;TEXT(WEEKNUM($J602,21),"00"))</f>
        <v/>
      </c>
      <c r="B602" s="41">
        <f>IF($J602="","",COUNTIFS(Roster!$D$4:$D$500,"Active",Roster!$C$4:$C$500,"&lt;="&amp;$J602))</f>
        <v/>
      </c>
      <c r="C602">
        <f>IF($J602="","",SUMIFS('Hours Log'!$C:$C,'Hours Log'!$A:$A,"&gt;="&amp;$J602,'Hours Log'!$A:$A,"&lt;"&amp;$J602+7)+SUMIFS('Hours Log'!$D:$D,'Hours Log'!$A:$A,"&gt;="&amp;$J602,'Hours Log'!$A:$A,"&lt;"&amp;$J602+7))</f>
        <v/>
      </c>
      <c r="D602">
        <f>IF($J602="","",SUMIFS('Hours Log'!$D:$D,'Hours Log'!$A:$A,"&gt;="&amp;$J602,'Hours Log'!$A:$A,"&lt;"&amp;$J602+7))</f>
        <v/>
      </c>
      <c r="E602">
        <f>IF($J602="","",IFERROR(C602/(B602*40),0))</f>
        <v/>
      </c>
      <c r="F602">
        <f>IF($J602="","",0)</f>
        <v/>
      </c>
      <c r="G602">
        <f>IF($J602="","",SUMIFS('Hours Log'!$E:$E,'Hours Log'!$A:$A,"&gt;="&amp;$J602,'Hours Log'!$A:$A,"&lt;"&amp;$J602+7))</f>
        <v/>
      </c>
      <c r="J602">
        <f>IF(COUNT('Hours Log'!$A$4:$A$5000)=0,"",IF(MIN('Hours Log'!$A$4:$A$5000)+7*(ROW()-10)&gt;MAX('Hours Log'!$A$4:$A$5000),"",MIN('Hours Log'!$A$4:$A$5000)+7*(ROW()-10)))</f>
        <v/>
      </c>
    </row>
    <row r="603">
      <c r="A603">
        <f>IF($J603="","",YEAR($J603-WEEKDAY($J603,2)+4)&amp;"-W"&amp;TEXT(WEEKNUM($J603,21),"00"))</f>
        <v/>
      </c>
      <c r="B603" s="41">
        <f>IF($J603="","",COUNTIFS(Roster!$D$4:$D$500,"Active",Roster!$C$4:$C$500,"&lt;="&amp;$J603))</f>
        <v/>
      </c>
      <c r="C603">
        <f>IF($J603="","",SUMIFS('Hours Log'!$C:$C,'Hours Log'!$A:$A,"&gt;="&amp;$J603,'Hours Log'!$A:$A,"&lt;"&amp;$J603+7)+SUMIFS('Hours Log'!$D:$D,'Hours Log'!$A:$A,"&gt;="&amp;$J603,'Hours Log'!$A:$A,"&lt;"&amp;$J603+7))</f>
        <v/>
      </c>
      <c r="D603">
        <f>IF($J603="","",SUMIFS('Hours Log'!$D:$D,'Hours Log'!$A:$A,"&gt;="&amp;$J603,'Hours Log'!$A:$A,"&lt;"&amp;$J603+7))</f>
        <v/>
      </c>
      <c r="E603">
        <f>IF($J603="","",IFERROR(C603/(B603*40),0))</f>
        <v/>
      </c>
      <c r="F603">
        <f>IF($J603="","",0)</f>
        <v/>
      </c>
      <c r="G603">
        <f>IF($J603="","",SUMIFS('Hours Log'!$E:$E,'Hours Log'!$A:$A,"&gt;="&amp;$J603,'Hours Log'!$A:$A,"&lt;"&amp;$J603+7))</f>
        <v/>
      </c>
      <c r="J603">
        <f>IF(COUNT('Hours Log'!$A$4:$A$5000)=0,"",IF(MIN('Hours Log'!$A$4:$A$5000)+7*(ROW()-10)&gt;MAX('Hours Log'!$A$4:$A$5000),"",MIN('Hours Log'!$A$4:$A$5000)+7*(ROW()-10)))</f>
        <v/>
      </c>
    </row>
    <row r="604">
      <c r="A604">
        <f>IF($J604="","",YEAR($J604-WEEKDAY($J604,2)+4)&amp;"-W"&amp;TEXT(WEEKNUM($J604,21),"00"))</f>
        <v/>
      </c>
      <c r="B604" s="41">
        <f>IF($J604="","",COUNTIFS(Roster!$D$4:$D$500,"Active",Roster!$C$4:$C$500,"&lt;="&amp;$J604))</f>
        <v/>
      </c>
      <c r="C604">
        <f>IF($J604="","",SUMIFS('Hours Log'!$C:$C,'Hours Log'!$A:$A,"&gt;="&amp;$J604,'Hours Log'!$A:$A,"&lt;"&amp;$J604+7)+SUMIFS('Hours Log'!$D:$D,'Hours Log'!$A:$A,"&gt;="&amp;$J604,'Hours Log'!$A:$A,"&lt;"&amp;$J604+7))</f>
        <v/>
      </c>
      <c r="D604">
        <f>IF($J604="","",SUMIFS('Hours Log'!$D:$D,'Hours Log'!$A:$A,"&gt;="&amp;$J604,'Hours Log'!$A:$A,"&lt;"&amp;$J604+7))</f>
        <v/>
      </c>
      <c r="E604">
        <f>IF($J604="","",IFERROR(C604/(B604*40),0))</f>
        <v/>
      </c>
      <c r="F604">
        <f>IF($J604="","",0)</f>
        <v/>
      </c>
      <c r="G604">
        <f>IF($J604="","",SUMIFS('Hours Log'!$E:$E,'Hours Log'!$A:$A,"&gt;="&amp;$J604,'Hours Log'!$A:$A,"&lt;"&amp;$J604+7))</f>
        <v/>
      </c>
      <c r="J604">
        <f>IF(COUNT('Hours Log'!$A$4:$A$5000)=0,"",IF(MIN('Hours Log'!$A$4:$A$5000)+7*(ROW()-10)&gt;MAX('Hours Log'!$A$4:$A$5000),"",MIN('Hours Log'!$A$4:$A$5000)+7*(ROW()-10)))</f>
        <v/>
      </c>
    </row>
    <row r="605">
      <c r="A605">
        <f>IF($J605="","",YEAR($J605-WEEKDAY($J605,2)+4)&amp;"-W"&amp;TEXT(WEEKNUM($J605,21),"00"))</f>
        <v/>
      </c>
      <c r="B605" s="41">
        <f>IF($J605="","",COUNTIFS(Roster!$D$4:$D$500,"Active",Roster!$C$4:$C$500,"&lt;="&amp;$J605))</f>
        <v/>
      </c>
      <c r="C605">
        <f>IF($J605="","",SUMIFS('Hours Log'!$C:$C,'Hours Log'!$A:$A,"&gt;="&amp;$J605,'Hours Log'!$A:$A,"&lt;"&amp;$J605+7)+SUMIFS('Hours Log'!$D:$D,'Hours Log'!$A:$A,"&gt;="&amp;$J605,'Hours Log'!$A:$A,"&lt;"&amp;$J605+7))</f>
        <v/>
      </c>
      <c r="D605">
        <f>IF($J605="","",SUMIFS('Hours Log'!$D:$D,'Hours Log'!$A:$A,"&gt;="&amp;$J605,'Hours Log'!$A:$A,"&lt;"&amp;$J605+7))</f>
        <v/>
      </c>
      <c r="E605">
        <f>IF($J605="","",IFERROR(C605/(B605*40),0))</f>
        <v/>
      </c>
      <c r="F605">
        <f>IF($J605="","",0)</f>
        <v/>
      </c>
      <c r="G605">
        <f>IF($J605="","",SUMIFS('Hours Log'!$E:$E,'Hours Log'!$A:$A,"&gt;="&amp;$J605,'Hours Log'!$A:$A,"&lt;"&amp;$J605+7))</f>
        <v/>
      </c>
      <c r="J605">
        <f>IF(COUNT('Hours Log'!$A$4:$A$5000)=0,"",IF(MIN('Hours Log'!$A$4:$A$5000)+7*(ROW()-10)&gt;MAX('Hours Log'!$A$4:$A$5000),"",MIN('Hours Log'!$A$4:$A$5000)+7*(ROW()-10)))</f>
        <v/>
      </c>
    </row>
    <row r="606">
      <c r="A606">
        <f>IF($J606="","",YEAR($J606-WEEKDAY($J606,2)+4)&amp;"-W"&amp;TEXT(WEEKNUM($J606,21),"00"))</f>
        <v/>
      </c>
      <c r="B606" s="41">
        <f>IF($J606="","",COUNTIFS(Roster!$D$4:$D$500,"Active",Roster!$C$4:$C$500,"&lt;="&amp;$J606))</f>
        <v/>
      </c>
      <c r="C606">
        <f>IF($J606="","",SUMIFS('Hours Log'!$C:$C,'Hours Log'!$A:$A,"&gt;="&amp;$J606,'Hours Log'!$A:$A,"&lt;"&amp;$J606+7)+SUMIFS('Hours Log'!$D:$D,'Hours Log'!$A:$A,"&gt;="&amp;$J606,'Hours Log'!$A:$A,"&lt;"&amp;$J606+7))</f>
        <v/>
      </c>
      <c r="D606">
        <f>IF($J606="","",SUMIFS('Hours Log'!$D:$D,'Hours Log'!$A:$A,"&gt;="&amp;$J606,'Hours Log'!$A:$A,"&lt;"&amp;$J606+7))</f>
        <v/>
      </c>
      <c r="E606">
        <f>IF($J606="","",IFERROR(C606/(B606*40),0))</f>
        <v/>
      </c>
      <c r="F606">
        <f>IF($J606="","",0)</f>
        <v/>
      </c>
      <c r="G606">
        <f>IF($J606="","",SUMIFS('Hours Log'!$E:$E,'Hours Log'!$A:$A,"&gt;="&amp;$J606,'Hours Log'!$A:$A,"&lt;"&amp;$J606+7))</f>
        <v/>
      </c>
      <c r="J606">
        <f>IF(COUNT('Hours Log'!$A$4:$A$5000)=0,"",IF(MIN('Hours Log'!$A$4:$A$5000)+7*(ROW()-10)&gt;MAX('Hours Log'!$A$4:$A$5000),"",MIN('Hours Log'!$A$4:$A$5000)+7*(ROW()-10)))</f>
        <v/>
      </c>
    </row>
    <row r="607">
      <c r="A607">
        <f>IF($J607="","",YEAR($J607-WEEKDAY($J607,2)+4)&amp;"-W"&amp;TEXT(WEEKNUM($J607,21),"00"))</f>
        <v/>
      </c>
      <c r="B607" s="41">
        <f>IF($J607="","",COUNTIFS(Roster!$D$4:$D$500,"Active",Roster!$C$4:$C$500,"&lt;="&amp;$J607))</f>
        <v/>
      </c>
      <c r="C607">
        <f>IF($J607="","",SUMIFS('Hours Log'!$C:$C,'Hours Log'!$A:$A,"&gt;="&amp;$J607,'Hours Log'!$A:$A,"&lt;"&amp;$J607+7)+SUMIFS('Hours Log'!$D:$D,'Hours Log'!$A:$A,"&gt;="&amp;$J607,'Hours Log'!$A:$A,"&lt;"&amp;$J607+7))</f>
        <v/>
      </c>
      <c r="D607">
        <f>IF($J607="","",SUMIFS('Hours Log'!$D:$D,'Hours Log'!$A:$A,"&gt;="&amp;$J607,'Hours Log'!$A:$A,"&lt;"&amp;$J607+7))</f>
        <v/>
      </c>
      <c r="E607">
        <f>IF($J607="","",IFERROR(C607/(B607*40),0))</f>
        <v/>
      </c>
      <c r="F607">
        <f>IF($J607="","",0)</f>
        <v/>
      </c>
      <c r="G607">
        <f>IF($J607="","",SUMIFS('Hours Log'!$E:$E,'Hours Log'!$A:$A,"&gt;="&amp;$J607,'Hours Log'!$A:$A,"&lt;"&amp;$J607+7))</f>
        <v/>
      </c>
      <c r="J607">
        <f>IF(COUNT('Hours Log'!$A$4:$A$5000)=0,"",IF(MIN('Hours Log'!$A$4:$A$5000)+7*(ROW()-10)&gt;MAX('Hours Log'!$A$4:$A$5000),"",MIN('Hours Log'!$A$4:$A$5000)+7*(ROW()-10)))</f>
        <v/>
      </c>
    </row>
    <row r="608">
      <c r="A608">
        <f>IF($J608="","",YEAR($J608-WEEKDAY($J608,2)+4)&amp;"-W"&amp;TEXT(WEEKNUM($J608,21),"00"))</f>
        <v/>
      </c>
      <c r="B608" s="41">
        <f>IF($J608="","",COUNTIFS(Roster!$D$4:$D$500,"Active",Roster!$C$4:$C$500,"&lt;="&amp;$J608))</f>
        <v/>
      </c>
      <c r="C608">
        <f>IF($J608="","",SUMIFS('Hours Log'!$C:$C,'Hours Log'!$A:$A,"&gt;="&amp;$J608,'Hours Log'!$A:$A,"&lt;"&amp;$J608+7)+SUMIFS('Hours Log'!$D:$D,'Hours Log'!$A:$A,"&gt;="&amp;$J608,'Hours Log'!$A:$A,"&lt;"&amp;$J608+7))</f>
        <v/>
      </c>
      <c r="D608">
        <f>IF($J608="","",SUMIFS('Hours Log'!$D:$D,'Hours Log'!$A:$A,"&gt;="&amp;$J608,'Hours Log'!$A:$A,"&lt;"&amp;$J608+7))</f>
        <v/>
      </c>
      <c r="E608">
        <f>IF($J608="","",IFERROR(C608/(B608*40),0))</f>
        <v/>
      </c>
      <c r="F608">
        <f>IF($J608="","",0)</f>
        <v/>
      </c>
      <c r="G608">
        <f>IF($J608="","",SUMIFS('Hours Log'!$E:$E,'Hours Log'!$A:$A,"&gt;="&amp;$J608,'Hours Log'!$A:$A,"&lt;"&amp;$J608+7))</f>
        <v/>
      </c>
      <c r="J608">
        <f>IF(COUNT('Hours Log'!$A$4:$A$5000)=0,"",IF(MIN('Hours Log'!$A$4:$A$5000)+7*(ROW()-10)&gt;MAX('Hours Log'!$A$4:$A$5000),"",MIN('Hours Log'!$A$4:$A$5000)+7*(ROW()-10)))</f>
        <v/>
      </c>
    </row>
    <row r="609">
      <c r="A609">
        <f>IF($J609="","",YEAR($J609-WEEKDAY($J609,2)+4)&amp;"-W"&amp;TEXT(WEEKNUM($J609,21),"00"))</f>
        <v/>
      </c>
      <c r="B609" s="41">
        <f>IF($J609="","",COUNTIFS(Roster!$D$4:$D$500,"Active",Roster!$C$4:$C$500,"&lt;="&amp;$J609))</f>
        <v/>
      </c>
      <c r="C609">
        <f>IF($J609="","",SUMIFS('Hours Log'!$C:$C,'Hours Log'!$A:$A,"&gt;="&amp;$J609,'Hours Log'!$A:$A,"&lt;"&amp;$J609+7)+SUMIFS('Hours Log'!$D:$D,'Hours Log'!$A:$A,"&gt;="&amp;$J609,'Hours Log'!$A:$A,"&lt;"&amp;$J609+7))</f>
        <v/>
      </c>
      <c r="D609">
        <f>IF($J609="","",SUMIFS('Hours Log'!$D:$D,'Hours Log'!$A:$A,"&gt;="&amp;$J609,'Hours Log'!$A:$A,"&lt;"&amp;$J609+7))</f>
        <v/>
      </c>
      <c r="E609">
        <f>IF($J609="","",IFERROR(C609/(B609*40),0))</f>
        <v/>
      </c>
      <c r="F609">
        <f>IF($J609="","",0)</f>
        <v/>
      </c>
      <c r="G609">
        <f>IF($J609="","",SUMIFS('Hours Log'!$E:$E,'Hours Log'!$A:$A,"&gt;="&amp;$J609,'Hours Log'!$A:$A,"&lt;"&amp;$J609+7))</f>
        <v/>
      </c>
      <c r="J609">
        <f>IF(COUNT('Hours Log'!$A$4:$A$5000)=0,"",IF(MIN('Hours Log'!$A$4:$A$5000)+7*(ROW()-10)&gt;MAX('Hours Log'!$A$4:$A$5000),"",MIN('Hours Log'!$A$4:$A$5000)+7*(ROW()-10)))</f>
        <v/>
      </c>
    </row>
    <row r="610">
      <c r="A610">
        <f>IF($J610="","",YEAR($J610-WEEKDAY($J610,2)+4)&amp;"-W"&amp;TEXT(WEEKNUM($J610,21),"00"))</f>
        <v/>
      </c>
      <c r="B610" s="41">
        <f>IF($J610="","",COUNTIFS(Roster!$D$4:$D$500,"Active",Roster!$C$4:$C$500,"&lt;="&amp;$J610))</f>
        <v/>
      </c>
      <c r="C610">
        <f>IF($J610="","",SUMIFS('Hours Log'!$C:$C,'Hours Log'!$A:$A,"&gt;="&amp;$J610,'Hours Log'!$A:$A,"&lt;"&amp;$J610+7)+SUMIFS('Hours Log'!$D:$D,'Hours Log'!$A:$A,"&gt;="&amp;$J610,'Hours Log'!$A:$A,"&lt;"&amp;$J610+7))</f>
        <v/>
      </c>
      <c r="D610">
        <f>IF($J610="","",SUMIFS('Hours Log'!$D:$D,'Hours Log'!$A:$A,"&gt;="&amp;$J610,'Hours Log'!$A:$A,"&lt;"&amp;$J610+7))</f>
        <v/>
      </c>
      <c r="E610">
        <f>IF($J610="","",IFERROR(C610/(B610*40),0))</f>
        <v/>
      </c>
      <c r="F610">
        <f>IF($J610="","",0)</f>
        <v/>
      </c>
      <c r="G610">
        <f>IF($J610="","",SUMIFS('Hours Log'!$E:$E,'Hours Log'!$A:$A,"&gt;="&amp;$J610,'Hours Log'!$A:$A,"&lt;"&amp;$J610+7))</f>
        <v/>
      </c>
      <c r="J610">
        <f>IF(COUNT('Hours Log'!$A$4:$A$5000)=0,"",IF(MIN('Hours Log'!$A$4:$A$5000)+7*(ROW()-10)&gt;MAX('Hours Log'!$A$4:$A$5000),"",MIN('Hours Log'!$A$4:$A$5000)+7*(ROW()-10)))</f>
        <v/>
      </c>
    </row>
    <row r="611">
      <c r="A611">
        <f>IF($J611="","",YEAR($J611-WEEKDAY($J611,2)+4)&amp;"-W"&amp;TEXT(WEEKNUM($J611,21),"00"))</f>
        <v/>
      </c>
      <c r="B611" s="41">
        <f>IF($J611="","",COUNTIFS(Roster!$D$4:$D$500,"Active",Roster!$C$4:$C$500,"&lt;="&amp;$J611))</f>
        <v/>
      </c>
      <c r="C611">
        <f>IF($J611="","",SUMIFS('Hours Log'!$C:$C,'Hours Log'!$A:$A,"&gt;="&amp;$J611,'Hours Log'!$A:$A,"&lt;"&amp;$J611+7)+SUMIFS('Hours Log'!$D:$D,'Hours Log'!$A:$A,"&gt;="&amp;$J611,'Hours Log'!$A:$A,"&lt;"&amp;$J611+7))</f>
        <v/>
      </c>
      <c r="D611">
        <f>IF($J611="","",SUMIFS('Hours Log'!$D:$D,'Hours Log'!$A:$A,"&gt;="&amp;$J611,'Hours Log'!$A:$A,"&lt;"&amp;$J611+7))</f>
        <v/>
      </c>
      <c r="E611">
        <f>IF($J611="","",IFERROR(C611/(B611*40),0))</f>
        <v/>
      </c>
      <c r="F611">
        <f>IF($J611="","",0)</f>
        <v/>
      </c>
      <c r="G611">
        <f>IF($J611="","",SUMIFS('Hours Log'!$E:$E,'Hours Log'!$A:$A,"&gt;="&amp;$J611,'Hours Log'!$A:$A,"&lt;"&amp;$J611+7))</f>
        <v/>
      </c>
      <c r="J611">
        <f>IF(COUNT('Hours Log'!$A$4:$A$5000)=0,"",IF(MIN('Hours Log'!$A$4:$A$5000)+7*(ROW()-10)&gt;MAX('Hours Log'!$A$4:$A$5000),"",MIN('Hours Log'!$A$4:$A$5000)+7*(ROW()-10)))</f>
        <v/>
      </c>
    </row>
    <row r="612">
      <c r="A612">
        <f>IF($J612="","",YEAR($J612-WEEKDAY($J612,2)+4)&amp;"-W"&amp;TEXT(WEEKNUM($J612,21),"00"))</f>
        <v/>
      </c>
      <c r="B612" s="41">
        <f>IF($J612="","",COUNTIFS(Roster!$D$4:$D$500,"Active",Roster!$C$4:$C$500,"&lt;="&amp;$J612))</f>
        <v/>
      </c>
      <c r="C612">
        <f>IF($J612="","",SUMIFS('Hours Log'!$C:$C,'Hours Log'!$A:$A,"&gt;="&amp;$J612,'Hours Log'!$A:$A,"&lt;"&amp;$J612+7)+SUMIFS('Hours Log'!$D:$D,'Hours Log'!$A:$A,"&gt;="&amp;$J612,'Hours Log'!$A:$A,"&lt;"&amp;$J612+7))</f>
        <v/>
      </c>
      <c r="D612">
        <f>IF($J612="","",SUMIFS('Hours Log'!$D:$D,'Hours Log'!$A:$A,"&gt;="&amp;$J612,'Hours Log'!$A:$A,"&lt;"&amp;$J612+7))</f>
        <v/>
      </c>
      <c r="E612">
        <f>IF($J612="","",IFERROR(C612/(B612*40),0))</f>
        <v/>
      </c>
      <c r="F612">
        <f>IF($J612="","",0)</f>
        <v/>
      </c>
      <c r="G612">
        <f>IF($J612="","",SUMIFS('Hours Log'!$E:$E,'Hours Log'!$A:$A,"&gt;="&amp;$J612,'Hours Log'!$A:$A,"&lt;"&amp;$J612+7))</f>
        <v/>
      </c>
      <c r="J612">
        <f>IF(COUNT('Hours Log'!$A$4:$A$5000)=0,"",IF(MIN('Hours Log'!$A$4:$A$5000)+7*(ROW()-10)&gt;MAX('Hours Log'!$A$4:$A$5000),"",MIN('Hours Log'!$A$4:$A$5000)+7*(ROW()-10)))</f>
        <v/>
      </c>
    </row>
    <row r="613">
      <c r="A613">
        <f>IF($J613="","",YEAR($J613-WEEKDAY($J613,2)+4)&amp;"-W"&amp;TEXT(WEEKNUM($J613,21),"00"))</f>
        <v/>
      </c>
      <c r="B613" s="41">
        <f>IF($J613="","",COUNTIFS(Roster!$D$4:$D$500,"Active",Roster!$C$4:$C$500,"&lt;="&amp;$J613))</f>
        <v/>
      </c>
      <c r="C613">
        <f>IF($J613="","",SUMIFS('Hours Log'!$C:$C,'Hours Log'!$A:$A,"&gt;="&amp;$J613,'Hours Log'!$A:$A,"&lt;"&amp;$J613+7)+SUMIFS('Hours Log'!$D:$D,'Hours Log'!$A:$A,"&gt;="&amp;$J613,'Hours Log'!$A:$A,"&lt;"&amp;$J613+7))</f>
        <v/>
      </c>
      <c r="D613">
        <f>IF($J613="","",SUMIFS('Hours Log'!$D:$D,'Hours Log'!$A:$A,"&gt;="&amp;$J613,'Hours Log'!$A:$A,"&lt;"&amp;$J613+7))</f>
        <v/>
      </c>
      <c r="E613">
        <f>IF($J613="","",IFERROR(C613/(B613*40),0))</f>
        <v/>
      </c>
      <c r="F613">
        <f>IF($J613="","",0)</f>
        <v/>
      </c>
      <c r="G613">
        <f>IF($J613="","",SUMIFS('Hours Log'!$E:$E,'Hours Log'!$A:$A,"&gt;="&amp;$J613,'Hours Log'!$A:$A,"&lt;"&amp;$J613+7))</f>
        <v/>
      </c>
      <c r="J613">
        <f>IF(COUNT('Hours Log'!$A$4:$A$5000)=0,"",IF(MIN('Hours Log'!$A$4:$A$5000)+7*(ROW()-10)&gt;MAX('Hours Log'!$A$4:$A$5000),"",MIN('Hours Log'!$A$4:$A$5000)+7*(ROW()-10)))</f>
        <v/>
      </c>
    </row>
    <row r="614">
      <c r="A614">
        <f>IF($J614="","",YEAR($J614-WEEKDAY($J614,2)+4)&amp;"-W"&amp;TEXT(WEEKNUM($J614,21),"00"))</f>
        <v/>
      </c>
      <c r="B614" s="41">
        <f>IF($J614="","",COUNTIFS(Roster!$D$4:$D$500,"Active",Roster!$C$4:$C$500,"&lt;="&amp;$J614))</f>
        <v/>
      </c>
      <c r="C614">
        <f>IF($J614="","",SUMIFS('Hours Log'!$C:$C,'Hours Log'!$A:$A,"&gt;="&amp;$J614,'Hours Log'!$A:$A,"&lt;"&amp;$J614+7)+SUMIFS('Hours Log'!$D:$D,'Hours Log'!$A:$A,"&gt;="&amp;$J614,'Hours Log'!$A:$A,"&lt;"&amp;$J614+7))</f>
        <v/>
      </c>
      <c r="D614">
        <f>IF($J614="","",SUMIFS('Hours Log'!$D:$D,'Hours Log'!$A:$A,"&gt;="&amp;$J614,'Hours Log'!$A:$A,"&lt;"&amp;$J614+7))</f>
        <v/>
      </c>
      <c r="E614">
        <f>IF($J614="","",IFERROR(C614/(B614*40),0))</f>
        <v/>
      </c>
      <c r="F614">
        <f>IF($J614="","",0)</f>
        <v/>
      </c>
      <c r="G614">
        <f>IF($J614="","",SUMIFS('Hours Log'!$E:$E,'Hours Log'!$A:$A,"&gt;="&amp;$J614,'Hours Log'!$A:$A,"&lt;"&amp;$J614+7))</f>
        <v/>
      </c>
      <c r="J614">
        <f>IF(COUNT('Hours Log'!$A$4:$A$5000)=0,"",IF(MIN('Hours Log'!$A$4:$A$5000)+7*(ROW()-10)&gt;MAX('Hours Log'!$A$4:$A$5000),"",MIN('Hours Log'!$A$4:$A$5000)+7*(ROW()-10)))</f>
        <v/>
      </c>
    </row>
    <row r="615">
      <c r="A615">
        <f>IF($J615="","",YEAR($J615-WEEKDAY($J615,2)+4)&amp;"-W"&amp;TEXT(WEEKNUM($J615,21),"00"))</f>
        <v/>
      </c>
      <c r="B615" s="41">
        <f>IF($J615="","",COUNTIFS(Roster!$D$4:$D$500,"Active",Roster!$C$4:$C$500,"&lt;="&amp;$J615))</f>
        <v/>
      </c>
      <c r="C615">
        <f>IF($J615="","",SUMIFS('Hours Log'!$C:$C,'Hours Log'!$A:$A,"&gt;="&amp;$J615,'Hours Log'!$A:$A,"&lt;"&amp;$J615+7)+SUMIFS('Hours Log'!$D:$D,'Hours Log'!$A:$A,"&gt;="&amp;$J615,'Hours Log'!$A:$A,"&lt;"&amp;$J615+7))</f>
        <v/>
      </c>
      <c r="D615">
        <f>IF($J615="","",SUMIFS('Hours Log'!$D:$D,'Hours Log'!$A:$A,"&gt;="&amp;$J615,'Hours Log'!$A:$A,"&lt;"&amp;$J615+7))</f>
        <v/>
      </c>
      <c r="E615">
        <f>IF($J615="","",IFERROR(C615/(B615*40),0))</f>
        <v/>
      </c>
      <c r="F615">
        <f>IF($J615="","",0)</f>
        <v/>
      </c>
      <c r="G615">
        <f>IF($J615="","",SUMIFS('Hours Log'!$E:$E,'Hours Log'!$A:$A,"&gt;="&amp;$J615,'Hours Log'!$A:$A,"&lt;"&amp;$J615+7))</f>
        <v/>
      </c>
      <c r="J615">
        <f>IF(COUNT('Hours Log'!$A$4:$A$5000)=0,"",IF(MIN('Hours Log'!$A$4:$A$5000)+7*(ROW()-10)&gt;MAX('Hours Log'!$A$4:$A$5000),"",MIN('Hours Log'!$A$4:$A$5000)+7*(ROW()-10)))</f>
        <v/>
      </c>
    </row>
    <row r="616">
      <c r="A616">
        <f>IF($J616="","",YEAR($J616-WEEKDAY($J616,2)+4)&amp;"-W"&amp;TEXT(WEEKNUM($J616,21),"00"))</f>
        <v/>
      </c>
      <c r="B616" s="41">
        <f>IF($J616="","",COUNTIFS(Roster!$D$4:$D$500,"Active",Roster!$C$4:$C$500,"&lt;="&amp;$J616))</f>
        <v/>
      </c>
      <c r="C616">
        <f>IF($J616="","",SUMIFS('Hours Log'!$C:$C,'Hours Log'!$A:$A,"&gt;="&amp;$J616,'Hours Log'!$A:$A,"&lt;"&amp;$J616+7)+SUMIFS('Hours Log'!$D:$D,'Hours Log'!$A:$A,"&gt;="&amp;$J616,'Hours Log'!$A:$A,"&lt;"&amp;$J616+7))</f>
        <v/>
      </c>
      <c r="D616">
        <f>IF($J616="","",SUMIFS('Hours Log'!$D:$D,'Hours Log'!$A:$A,"&gt;="&amp;$J616,'Hours Log'!$A:$A,"&lt;"&amp;$J616+7))</f>
        <v/>
      </c>
      <c r="E616">
        <f>IF($J616="","",IFERROR(C616/(B616*40),0))</f>
        <v/>
      </c>
      <c r="F616">
        <f>IF($J616="","",0)</f>
        <v/>
      </c>
      <c r="G616">
        <f>IF($J616="","",SUMIFS('Hours Log'!$E:$E,'Hours Log'!$A:$A,"&gt;="&amp;$J616,'Hours Log'!$A:$A,"&lt;"&amp;$J616+7))</f>
        <v/>
      </c>
      <c r="J616">
        <f>IF(COUNT('Hours Log'!$A$4:$A$5000)=0,"",IF(MIN('Hours Log'!$A$4:$A$5000)+7*(ROW()-10)&gt;MAX('Hours Log'!$A$4:$A$5000),"",MIN('Hours Log'!$A$4:$A$5000)+7*(ROW()-10)))</f>
        <v/>
      </c>
    </row>
    <row r="617">
      <c r="A617">
        <f>IF($J617="","",YEAR($J617-WEEKDAY($J617,2)+4)&amp;"-W"&amp;TEXT(WEEKNUM($J617,21),"00"))</f>
        <v/>
      </c>
      <c r="B617" s="41">
        <f>IF($J617="","",COUNTIFS(Roster!$D$4:$D$500,"Active",Roster!$C$4:$C$500,"&lt;="&amp;$J617))</f>
        <v/>
      </c>
      <c r="C617">
        <f>IF($J617="","",SUMIFS('Hours Log'!$C:$C,'Hours Log'!$A:$A,"&gt;="&amp;$J617,'Hours Log'!$A:$A,"&lt;"&amp;$J617+7)+SUMIFS('Hours Log'!$D:$D,'Hours Log'!$A:$A,"&gt;="&amp;$J617,'Hours Log'!$A:$A,"&lt;"&amp;$J617+7))</f>
        <v/>
      </c>
      <c r="D617">
        <f>IF($J617="","",SUMIFS('Hours Log'!$D:$D,'Hours Log'!$A:$A,"&gt;="&amp;$J617,'Hours Log'!$A:$A,"&lt;"&amp;$J617+7))</f>
        <v/>
      </c>
      <c r="E617">
        <f>IF($J617="","",IFERROR(C617/(B617*40),0))</f>
        <v/>
      </c>
      <c r="F617">
        <f>IF($J617="","",0)</f>
        <v/>
      </c>
      <c r="G617">
        <f>IF($J617="","",SUMIFS('Hours Log'!$E:$E,'Hours Log'!$A:$A,"&gt;="&amp;$J617,'Hours Log'!$A:$A,"&lt;"&amp;$J617+7))</f>
        <v/>
      </c>
      <c r="J617">
        <f>IF(COUNT('Hours Log'!$A$4:$A$5000)=0,"",IF(MIN('Hours Log'!$A$4:$A$5000)+7*(ROW()-10)&gt;MAX('Hours Log'!$A$4:$A$5000),"",MIN('Hours Log'!$A$4:$A$5000)+7*(ROW()-10)))</f>
        <v/>
      </c>
    </row>
    <row r="618">
      <c r="A618">
        <f>IF($J618="","",YEAR($J618-WEEKDAY($J618,2)+4)&amp;"-W"&amp;TEXT(WEEKNUM($J618,21),"00"))</f>
        <v/>
      </c>
      <c r="B618" s="41">
        <f>IF($J618="","",COUNTIFS(Roster!$D$4:$D$500,"Active",Roster!$C$4:$C$500,"&lt;="&amp;$J618))</f>
        <v/>
      </c>
      <c r="C618">
        <f>IF($J618="","",SUMIFS('Hours Log'!$C:$C,'Hours Log'!$A:$A,"&gt;="&amp;$J618,'Hours Log'!$A:$A,"&lt;"&amp;$J618+7)+SUMIFS('Hours Log'!$D:$D,'Hours Log'!$A:$A,"&gt;="&amp;$J618,'Hours Log'!$A:$A,"&lt;"&amp;$J618+7))</f>
        <v/>
      </c>
      <c r="D618">
        <f>IF($J618="","",SUMIFS('Hours Log'!$D:$D,'Hours Log'!$A:$A,"&gt;="&amp;$J618,'Hours Log'!$A:$A,"&lt;"&amp;$J618+7))</f>
        <v/>
      </c>
      <c r="E618">
        <f>IF($J618="","",IFERROR(C618/(B618*40),0))</f>
        <v/>
      </c>
      <c r="F618">
        <f>IF($J618="","",0)</f>
        <v/>
      </c>
      <c r="G618">
        <f>IF($J618="","",SUMIFS('Hours Log'!$E:$E,'Hours Log'!$A:$A,"&gt;="&amp;$J618,'Hours Log'!$A:$A,"&lt;"&amp;$J618+7))</f>
        <v/>
      </c>
      <c r="J618">
        <f>IF(COUNT('Hours Log'!$A$4:$A$5000)=0,"",IF(MIN('Hours Log'!$A$4:$A$5000)+7*(ROW()-10)&gt;MAX('Hours Log'!$A$4:$A$5000),"",MIN('Hours Log'!$A$4:$A$5000)+7*(ROW()-10)))</f>
        <v/>
      </c>
    </row>
    <row r="619">
      <c r="A619">
        <f>IF($J619="","",YEAR($J619-WEEKDAY($J619,2)+4)&amp;"-W"&amp;TEXT(WEEKNUM($J619,21),"00"))</f>
        <v/>
      </c>
      <c r="B619" s="41">
        <f>IF($J619="","",COUNTIFS(Roster!$D$4:$D$500,"Active",Roster!$C$4:$C$500,"&lt;="&amp;$J619))</f>
        <v/>
      </c>
      <c r="C619">
        <f>IF($J619="","",SUMIFS('Hours Log'!$C:$C,'Hours Log'!$A:$A,"&gt;="&amp;$J619,'Hours Log'!$A:$A,"&lt;"&amp;$J619+7)+SUMIFS('Hours Log'!$D:$D,'Hours Log'!$A:$A,"&gt;="&amp;$J619,'Hours Log'!$A:$A,"&lt;"&amp;$J619+7))</f>
        <v/>
      </c>
      <c r="D619">
        <f>IF($J619="","",SUMIFS('Hours Log'!$D:$D,'Hours Log'!$A:$A,"&gt;="&amp;$J619,'Hours Log'!$A:$A,"&lt;"&amp;$J619+7))</f>
        <v/>
      </c>
      <c r="E619">
        <f>IF($J619="","",IFERROR(C619/(B619*40),0))</f>
        <v/>
      </c>
      <c r="F619">
        <f>IF($J619="","",0)</f>
        <v/>
      </c>
      <c r="G619">
        <f>IF($J619="","",SUMIFS('Hours Log'!$E:$E,'Hours Log'!$A:$A,"&gt;="&amp;$J619,'Hours Log'!$A:$A,"&lt;"&amp;$J619+7))</f>
        <v/>
      </c>
      <c r="J619">
        <f>IF(COUNT('Hours Log'!$A$4:$A$5000)=0,"",IF(MIN('Hours Log'!$A$4:$A$5000)+7*(ROW()-10)&gt;MAX('Hours Log'!$A$4:$A$5000),"",MIN('Hours Log'!$A$4:$A$5000)+7*(ROW()-10)))</f>
        <v/>
      </c>
    </row>
    <row r="620">
      <c r="A620">
        <f>IF($J620="","",YEAR($J620-WEEKDAY($J620,2)+4)&amp;"-W"&amp;TEXT(WEEKNUM($J620,21),"00"))</f>
        <v/>
      </c>
      <c r="B620" s="41">
        <f>IF($J620="","",COUNTIFS(Roster!$D$4:$D$500,"Active",Roster!$C$4:$C$500,"&lt;="&amp;$J620))</f>
        <v/>
      </c>
      <c r="C620">
        <f>IF($J620="","",SUMIFS('Hours Log'!$C:$C,'Hours Log'!$A:$A,"&gt;="&amp;$J620,'Hours Log'!$A:$A,"&lt;"&amp;$J620+7)+SUMIFS('Hours Log'!$D:$D,'Hours Log'!$A:$A,"&gt;="&amp;$J620,'Hours Log'!$A:$A,"&lt;"&amp;$J620+7))</f>
        <v/>
      </c>
      <c r="D620">
        <f>IF($J620="","",SUMIFS('Hours Log'!$D:$D,'Hours Log'!$A:$A,"&gt;="&amp;$J620,'Hours Log'!$A:$A,"&lt;"&amp;$J620+7))</f>
        <v/>
      </c>
      <c r="E620">
        <f>IF($J620="","",IFERROR(C620/(B620*40),0))</f>
        <v/>
      </c>
      <c r="F620">
        <f>IF($J620="","",0)</f>
        <v/>
      </c>
      <c r="G620">
        <f>IF($J620="","",SUMIFS('Hours Log'!$E:$E,'Hours Log'!$A:$A,"&gt;="&amp;$J620,'Hours Log'!$A:$A,"&lt;"&amp;$J620+7))</f>
        <v/>
      </c>
      <c r="J620">
        <f>IF(COUNT('Hours Log'!$A$4:$A$5000)=0,"",IF(MIN('Hours Log'!$A$4:$A$5000)+7*(ROW()-10)&gt;MAX('Hours Log'!$A$4:$A$5000),"",MIN('Hours Log'!$A$4:$A$5000)+7*(ROW()-10)))</f>
        <v/>
      </c>
    </row>
    <row r="621">
      <c r="A621">
        <f>IF($J621="","",YEAR($J621-WEEKDAY($J621,2)+4)&amp;"-W"&amp;TEXT(WEEKNUM($J621,21),"00"))</f>
        <v/>
      </c>
      <c r="B621" s="41">
        <f>IF($J621="","",COUNTIFS(Roster!$D$4:$D$500,"Active",Roster!$C$4:$C$500,"&lt;="&amp;$J621))</f>
        <v/>
      </c>
      <c r="C621">
        <f>IF($J621="","",SUMIFS('Hours Log'!$C:$C,'Hours Log'!$A:$A,"&gt;="&amp;$J621,'Hours Log'!$A:$A,"&lt;"&amp;$J621+7)+SUMIFS('Hours Log'!$D:$D,'Hours Log'!$A:$A,"&gt;="&amp;$J621,'Hours Log'!$A:$A,"&lt;"&amp;$J621+7))</f>
        <v/>
      </c>
      <c r="D621">
        <f>IF($J621="","",SUMIFS('Hours Log'!$D:$D,'Hours Log'!$A:$A,"&gt;="&amp;$J621,'Hours Log'!$A:$A,"&lt;"&amp;$J621+7))</f>
        <v/>
      </c>
      <c r="E621">
        <f>IF($J621="","",IFERROR(C621/(B621*40),0))</f>
        <v/>
      </c>
      <c r="F621">
        <f>IF($J621="","",0)</f>
        <v/>
      </c>
      <c r="G621">
        <f>IF($J621="","",SUMIFS('Hours Log'!$E:$E,'Hours Log'!$A:$A,"&gt;="&amp;$J621,'Hours Log'!$A:$A,"&lt;"&amp;$J621+7))</f>
        <v/>
      </c>
      <c r="J621">
        <f>IF(COUNT('Hours Log'!$A$4:$A$5000)=0,"",IF(MIN('Hours Log'!$A$4:$A$5000)+7*(ROW()-10)&gt;MAX('Hours Log'!$A$4:$A$5000),"",MIN('Hours Log'!$A$4:$A$5000)+7*(ROW()-10)))</f>
        <v/>
      </c>
    </row>
    <row r="622">
      <c r="A622">
        <f>IF($J622="","",YEAR($J622-WEEKDAY($J622,2)+4)&amp;"-W"&amp;TEXT(WEEKNUM($J622,21),"00"))</f>
        <v/>
      </c>
      <c r="B622" s="41">
        <f>IF($J622="","",COUNTIFS(Roster!$D$4:$D$500,"Active",Roster!$C$4:$C$500,"&lt;="&amp;$J622))</f>
        <v/>
      </c>
      <c r="C622">
        <f>IF($J622="","",SUMIFS('Hours Log'!$C:$C,'Hours Log'!$A:$A,"&gt;="&amp;$J622,'Hours Log'!$A:$A,"&lt;"&amp;$J622+7)+SUMIFS('Hours Log'!$D:$D,'Hours Log'!$A:$A,"&gt;="&amp;$J622,'Hours Log'!$A:$A,"&lt;"&amp;$J622+7))</f>
        <v/>
      </c>
      <c r="D622">
        <f>IF($J622="","",SUMIFS('Hours Log'!$D:$D,'Hours Log'!$A:$A,"&gt;="&amp;$J622,'Hours Log'!$A:$A,"&lt;"&amp;$J622+7))</f>
        <v/>
      </c>
      <c r="E622">
        <f>IF($J622="","",IFERROR(C622/(B622*40),0))</f>
        <v/>
      </c>
      <c r="F622">
        <f>IF($J622="","",0)</f>
        <v/>
      </c>
      <c r="G622">
        <f>IF($J622="","",SUMIFS('Hours Log'!$E:$E,'Hours Log'!$A:$A,"&gt;="&amp;$J622,'Hours Log'!$A:$A,"&lt;"&amp;$J622+7))</f>
        <v/>
      </c>
      <c r="J622">
        <f>IF(COUNT('Hours Log'!$A$4:$A$5000)=0,"",IF(MIN('Hours Log'!$A$4:$A$5000)+7*(ROW()-10)&gt;MAX('Hours Log'!$A$4:$A$5000),"",MIN('Hours Log'!$A$4:$A$5000)+7*(ROW()-10)))</f>
        <v/>
      </c>
    </row>
    <row r="623">
      <c r="A623">
        <f>IF($J623="","",YEAR($J623-WEEKDAY($J623,2)+4)&amp;"-W"&amp;TEXT(WEEKNUM($J623,21),"00"))</f>
        <v/>
      </c>
      <c r="B623" s="41">
        <f>IF($J623="","",COUNTIFS(Roster!$D$4:$D$500,"Active",Roster!$C$4:$C$500,"&lt;="&amp;$J623))</f>
        <v/>
      </c>
      <c r="C623">
        <f>IF($J623="","",SUMIFS('Hours Log'!$C:$C,'Hours Log'!$A:$A,"&gt;="&amp;$J623,'Hours Log'!$A:$A,"&lt;"&amp;$J623+7)+SUMIFS('Hours Log'!$D:$D,'Hours Log'!$A:$A,"&gt;="&amp;$J623,'Hours Log'!$A:$A,"&lt;"&amp;$J623+7))</f>
        <v/>
      </c>
      <c r="D623">
        <f>IF($J623="","",SUMIFS('Hours Log'!$D:$D,'Hours Log'!$A:$A,"&gt;="&amp;$J623,'Hours Log'!$A:$A,"&lt;"&amp;$J623+7))</f>
        <v/>
      </c>
      <c r="E623">
        <f>IF($J623="","",IFERROR(C623/(B623*40),0))</f>
        <v/>
      </c>
      <c r="F623">
        <f>IF($J623="","",0)</f>
        <v/>
      </c>
      <c r="G623">
        <f>IF($J623="","",SUMIFS('Hours Log'!$E:$E,'Hours Log'!$A:$A,"&gt;="&amp;$J623,'Hours Log'!$A:$A,"&lt;"&amp;$J623+7))</f>
        <v/>
      </c>
      <c r="J623">
        <f>IF(COUNT('Hours Log'!$A$4:$A$5000)=0,"",IF(MIN('Hours Log'!$A$4:$A$5000)+7*(ROW()-10)&gt;MAX('Hours Log'!$A$4:$A$5000),"",MIN('Hours Log'!$A$4:$A$5000)+7*(ROW()-10)))</f>
        <v/>
      </c>
    </row>
    <row r="624">
      <c r="A624">
        <f>IF($J624="","",YEAR($J624-WEEKDAY($J624,2)+4)&amp;"-W"&amp;TEXT(WEEKNUM($J624,21),"00"))</f>
        <v/>
      </c>
      <c r="B624" s="41">
        <f>IF($J624="","",COUNTIFS(Roster!$D$4:$D$500,"Active",Roster!$C$4:$C$500,"&lt;="&amp;$J624))</f>
        <v/>
      </c>
      <c r="C624">
        <f>IF($J624="","",SUMIFS('Hours Log'!$C:$C,'Hours Log'!$A:$A,"&gt;="&amp;$J624,'Hours Log'!$A:$A,"&lt;"&amp;$J624+7)+SUMIFS('Hours Log'!$D:$D,'Hours Log'!$A:$A,"&gt;="&amp;$J624,'Hours Log'!$A:$A,"&lt;"&amp;$J624+7))</f>
        <v/>
      </c>
      <c r="D624">
        <f>IF($J624="","",SUMIFS('Hours Log'!$D:$D,'Hours Log'!$A:$A,"&gt;="&amp;$J624,'Hours Log'!$A:$A,"&lt;"&amp;$J624+7))</f>
        <v/>
      </c>
      <c r="E624">
        <f>IF($J624="","",IFERROR(C624/(B624*40),0))</f>
        <v/>
      </c>
      <c r="F624">
        <f>IF($J624="","",0)</f>
        <v/>
      </c>
      <c r="G624">
        <f>IF($J624="","",SUMIFS('Hours Log'!$E:$E,'Hours Log'!$A:$A,"&gt;="&amp;$J624,'Hours Log'!$A:$A,"&lt;"&amp;$J624+7))</f>
        <v/>
      </c>
      <c r="J624">
        <f>IF(COUNT('Hours Log'!$A$4:$A$5000)=0,"",IF(MIN('Hours Log'!$A$4:$A$5000)+7*(ROW()-10)&gt;MAX('Hours Log'!$A$4:$A$5000),"",MIN('Hours Log'!$A$4:$A$5000)+7*(ROW()-10)))</f>
        <v/>
      </c>
    </row>
    <row r="625">
      <c r="A625">
        <f>IF($J625="","",YEAR($J625-WEEKDAY($J625,2)+4)&amp;"-W"&amp;TEXT(WEEKNUM($J625,21),"00"))</f>
        <v/>
      </c>
      <c r="B625" s="41">
        <f>IF($J625="","",COUNTIFS(Roster!$D$4:$D$500,"Active",Roster!$C$4:$C$500,"&lt;="&amp;$J625))</f>
        <v/>
      </c>
      <c r="C625">
        <f>IF($J625="","",SUMIFS('Hours Log'!$C:$C,'Hours Log'!$A:$A,"&gt;="&amp;$J625,'Hours Log'!$A:$A,"&lt;"&amp;$J625+7)+SUMIFS('Hours Log'!$D:$D,'Hours Log'!$A:$A,"&gt;="&amp;$J625,'Hours Log'!$A:$A,"&lt;"&amp;$J625+7))</f>
        <v/>
      </c>
      <c r="D625">
        <f>IF($J625="","",SUMIFS('Hours Log'!$D:$D,'Hours Log'!$A:$A,"&gt;="&amp;$J625,'Hours Log'!$A:$A,"&lt;"&amp;$J625+7))</f>
        <v/>
      </c>
      <c r="E625">
        <f>IF($J625="","",IFERROR(C625/(B625*40),0))</f>
        <v/>
      </c>
      <c r="F625">
        <f>IF($J625="","",0)</f>
        <v/>
      </c>
      <c r="G625">
        <f>IF($J625="","",SUMIFS('Hours Log'!$E:$E,'Hours Log'!$A:$A,"&gt;="&amp;$J625,'Hours Log'!$A:$A,"&lt;"&amp;$J625+7))</f>
        <v/>
      </c>
      <c r="J625">
        <f>IF(COUNT('Hours Log'!$A$4:$A$5000)=0,"",IF(MIN('Hours Log'!$A$4:$A$5000)+7*(ROW()-10)&gt;MAX('Hours Log'!$A$4:$A$5000),"",MIN('Hours Log'!$A$4:$A$5000)+7*(ROW()-10)))</f>
        <v/>
      </c>
    </row>
    <row r="626">
      <c r="A626">
        <f>IF($J626="","",YEAR($J626-WEEKDAY($J626,2)+4)&amp;"-W"&amp;TEXT(WEEKNUM($J626,21),"00"))</f>
        <v/>
      </c>
      <c r="B626" s="41">
        <f>IF($J626="","",COUNTIFS(Roster!$D$4:$D$500,"Active",Roster!$C$4:$C$500,"&lt;="&amp;$J626))</f>
        <v/>
      </c>
      <c r="C626">
        <f>IF($J626="","",SUMIFS('Hours Log'!$C:$C,'Hours Log'!$A:$A,"&gt;="&amp;$J626,'Hours Log'!$A:$A,"&lt;"&amp;$J626+7)+SUMIFS('Hours Log'!$D:$D,'Hours Log'!$A:$A,"&gt;="&amp;$J626,'Hours Log'!$A:$A,"&lt;"&amp;$J626+7))</f>
        <v/>
      </c>
      <c r="D626">
        <f>IF($J626="","",SUMIFS('Hours Log'!$D:$D,'Hours Log'!$A:$A,"&gt;="&amp;$J626,'Hours Log'!$A:$A,"&lt;"&amp;$J626+7))</f>
        <v/>
      </c>
      <c r="E626">
        <f>IF($J626="","",IFERROR(C626/(B626*40),0))</f>
        <v/>
      </c>
      <c r="F626">
        <f>IF($J626="","",0)</f>
        <v/>
      </c>
      <c r="G626">
        <f>IF($J626="","",SUMIFS('Hours Log'!$E:$E,'Hours Log'!$A:$A,"&gt;="&amp;$J626,'Hours Log'!$A:$A,"&lt;"&amp;$J626+7))</f>
        <v/>
      </c>
      <c r="J626">
        <f>IF(COUNT('Hours Log'!$A$4:$A$5000)=0,"",IF(MIN('Hours Log'!$A$4:$A$5000)+7*(ROW()-10)&gt;MAX('Hours Log'!$A$4:$A$5000),"",MIN('Hours Log'!$A$4:$A$5000)+7*(ROW()-10)))</f>
        <v/>
      </c>
    </row>
    <row r="627">
      <c r="A627">
        <f>IF($J627="","",YEAR($J627-WEEKDAY($J627,2)+4)&amp;"-W"&amp;TEXT(WEEKNUM($J627,21),"00"))</f>
        <v/>
      </c>
      <c r="B627" s="41">
        <f>IF($J627="","",COUNTIFS(Roster!$D$4:$D$500,"Active",Roster!$C$4:$C$500,"&lt;="&amp;$J627))</f>
        <v/>
      </c>
      <c r="C627">
        <f>IF($J627="","",SUMIFS('Hours Log'!$C:$C,'Hours Log'!$A:$A,"&gt;="&amp;$J627,'Hours Log'!$A:$A,"&lt;"&amp;$J627+7)+SUMIFS('Hours Log'!$D:$D,'Hours Log'!$A:$A,"&gt;="&amp;$J627,'Hours Log'!$A:$A,"&lt;"&amp;$J627+7))</f>
        <v/>
      </c>
      <c r="D627">
        <f>IF($J627="","",SUMIFS('Hours Log'!$D:$D,'Hours Log'!$A:$A,"&gt;="&amp;$J627,'Hours Log'!$A:$A,"&lt;"&amp;$J627+7))</f>
        <v/>
      </c>
      <c r="E627">
        <f>IF($J627="","",IFERROR(C627/(B627*40),0))</f>
        <v/>
      </c>
      <c r="F627">
        <f>IF($J627="","",0)</f>
        <v/>
      </c>
      <c r="G627">
        <f>IF($J627="","",SUMIFS('Hours Log'!$E:$E,'Hours Log'!$A:$A,"&gt;="&amp;$J627,'Hours Log'!$A:$A,"&lt;"&amp;$J627+7))</f>
        <v/>
      </c>
      <c r="J627">
        <f>IF(COUNT('Hours Log'!$A$4:$A$5000)=0,"",IF(MIN('Hours Log'!$A$4:$A$5000)+7*(ROW()-10)&gt;MAX('Hours Log'!$A$4:$A$5000),"",MIN('Hours Log'!$A$4:$A$5000)+7*(ROW()-10)))</f>
        <v/>
      </c>
    </row>
    <row r="628">
      <c r="A628">
        <f>IF($J628="","",YEAR($J628-WEEKDAY($J628,2)+4)&amp;"-W"&amp;TEXT(WEEKNUM($J628,21),"00"))</f>
        <v/>
      </c>
      <c r="B628" s="41">
        <f>IF($J628="","",COUNTIFS(Roster!$D$4:$D$500,"Active",Roster!$C$4:$C$500,"&lt;="&amp;$J628))</f>
        <v/>
      </c>
      <c r="C628">
        <f>IF($J628="","",SUMIFS('Hours Log'!$C:$C,'Hours Log'!$A:$A,"&gt;="&amp;$J628,'Hours Log'!$A:$A,"&lt;"&amp;$J628+7)+SUMIFS('Hours Log'!$D:$D,'Hours Log'!$A:$A,"&gt;="&amp;$J628,'Hours Log'!$A:$A,"&lt;"&amp;$J628+7))</f>
        <v/>
      </c>
      <c r="D628">
        <f>IF($J628="","",SUMIFS('Hours Log'!$D:$D,'Hours Log'!$A:$A,"&gt;="&amp;$J628,'Hours Log'!$A:$A,"&lt;"&amp;$J628+7))</f>
        <v/>
      </c>
      <c r="E628">
        <f>IF($J628="","",IFERROR(C628/(B628*40),0))</f>
        <v/>
      </c>
      <c r="F628">
        <f>IF($J628="","",0)</f>
        <v/>
      </c>
      <c r="G628">
        <f>IF($J628="","",SUMIFS('Hours Log'!$E:$E,'Hours Log'!$A:$A,"&gt;="&amp;$J628,'Hours Log'!$A:$A,"&lt;"&amp;$J628+7))</f>
        <v/>
      </c>
      <c r="J628">
        <f>IF(COUNT('Hours Log'!$A$4:$A$5000)=0,"",IF(MIN('Hours Log'!$A$4:$A$5000)+7*(ROW()-10)&gt;MAX('Hours Log'!$A$4:$A$5000),"",MIN('Hours Log'!$A$4:$A$5000)+7*(ROW()-10)))</f>
        <v/>
      </c>
    </row>
    <row r="629">
      <c r="A629">
        <f>IF($J629="","",YEAR($J629-WEEKDAY($J629,2)+4)&amp;"-W"&amp;TEXT(WEEKNUM($J629,21),"00"))</f>
        <v/>
      </c>
      <c r="B629" s="41">
        <f>IF($J629="","",COUNTIFS(Roster!$D$4:$D$500,"Active",Roster!$C$4:$C$500,"&lt;="&amp;$J629))</f>
        <v/>
      </c>
      <c r="C629">
        <f>IF($J629="","",SUMIFS('Hours Log'!$C:$C,'Hours Log'!$A:$A,"&gt;="&amp;$J629,'Hours Log'!$A:$A,"&lt;"&amp;$J629+7)+SUMIFS('Hours Log'!$D:$D,'Hours Log'!$A:$A,"&gt;="&amp;$J629,'Hours Log'!$A:$A,"&lt;"&amp;$J629+7))</f>
        <v/>
      </c>
      <c r="D629">
        <f>IF($J629="","",SUMIFS('Hours Log'!$D:$D,'Hours Log'!$A:$A,"&gt;="&amp;$J629,'Hours Log'!$A:$A,"&lt;"&amp;$J629+7))</f>
        <v/>
      </c>
      <c r="E629">
        <f>IF($J629="","",IFERROR(C629/(B629*40),0))</f>
        <v/>
      </c>
      <c r="F629">
        <f>IF($J629="","",0)</f>
        <v/>
      </c>
      <c r="G629">
        <f>IF($J629="","",SUMIFS('Hours Log'!$E:$E,'Hours Log'!$A:$A,"&gt;="&amp;$J629,'Hours Log'!$A:$A,"&lt;"&amp;$J629+7))</f>
        <v/>
      </c>
      <c r="J629">
        <f>IF(COUNT('Hours Log'!$A$4:$A$5000)=0,"",IF(MIN('Hours Log'!$A$4:$A$5000)+7*(ROW()-10)&gt;MAX('Hours Log'!$A$4:$A$5000),"",MIN('Hours Log'!$A$4:$A$5000)+7*(ROW()-10)))</f>
        <v/>
      </c>
    </row>
    <row r="630">
      <c r="A630">
        <f>IF($J630="","",YEAR($J630-WEEKDAY($J630,2)+4)&amp;"-W"&amp;TEXT(WEEKNUM($J630,21),"00"))</f>
        <v/>
      </c>
      <c r="B630" s="41">
        <f>IF($J630="","",COUNTIFS(Roster!$D$4:$D$500,"Active",Roster!$C$4:$C$500,"&lt;="&amp;$J630))</f>
        <v/>
      </c>
      <c r="C630">
        <f>IF($J630="","",SUMIFS('Hours Log'!$C:$C,'Hours Log'!$A:$A,"&gt;="&amp;$J630,'Hours Log'!$A:$A,"&lt;"&amp;$J630+7)+SUMIFS('Hours Log'!$D:$D,'Hours Log'!$A:$A,"&gt;="&amp;$J630,'Hours Log'!$A:$A,"&lt;"&amp;$J630+7))</f>
        <v/>
      </c>
      <c r="D630">
        <f>IF($J630="","",SUMIFS('Hours Log'!$D:$D,'Hours Log'!$A:$A,"&gt;="&amp;$J630,'Hours Log'!$A:$A,"&lt;"&amp;$J630+7))</f>
        <v/>
      </c>
      <c r="E630">
        <f>IF($J630="","",IFERROR(C630/(B630*40),0))</f>
        <v/>
      </c>
      <c r="F630">
        <f>IF($J630="","",0)</f>
        <v/>
      </c>
      <c r="G630">
        <f>IF($J630="","",SUMIFS('Hours Log'!$E:$E,'Hours Log'!$A:$A,"&gt;="&amp;$J630,'Hours Log'!$A:$A,"&lt;"&amp;$J630+7))</f>
        <v/>
      </c>
      <c r="J630">
        <f>IF(COUNT('Hours Log'!$A$4:$A$5000)=0,"",IF(MIN('Hours Log'!$A$4:$A$5000)+7*(ROW()-10)&gt;MAX('Hours Log'!$A$4:$A$5000),"",MIN('Hours Log'!$A$4:$A$5000)+7*(ROW()-10)))</f>
        <v/>
      </c>
    </row>
    <row r="631">
      <c r="A631">
        <f>IF($J631="","",YEAR($J631-WEEKDAY($J631,2)+4)&amp;"-W"&amp;TEXT(WEEKNUM($J631,21),"00"))</f>
        <v/>
      </c>
      <c r="B631" s="41">
        <f>IF($J631="","",COUNTIFS(Roster!$D$4:$D$500,"Active",Roster!$C$4:$C$500,"&lt;="&amp;$J631))</f>
        <v/>
      </c>
      <c r="C631">
        <f>IF($J631="","",SUMIFS('Hours Log'!$C:$C,'Hours Log'!$A:$A,"&gt;="&amp;$J631,'Hours Log'!$A:$A,"&lt;"&amp;$J631+7)+SUMIFS('Hours Log'!$D:$D,'Hours Log'!$A:$A,"&gt;="&amp;$J631,'Hours Log'!$A:$A,"&lt;"&amp;$J631+7))</f>
        <v/>
      </c>
      <c r="D631">
        <f>IF($J631="","",SUMIFS('Hours Log'!$D:$D,'Hours Log'!$A:$A,"&gt;="&amp;$J631,'Hours Log'!$A:$A,"&lt;"&amp;$J631+7))</f>
        <v/>
      </c>
      <c r="E631">
        <f>IF($J631="","",IFERROR(C631/(B631*40),0))</f>
        <v/>
      </c>
      <c r="F631">
        <f>IF($J631="","",0)</f>
        <v/>
      </c>
      <c r="G631">
        <f>IF($J631="","",SUMIFS('Hours Log'!$E:$E,'Hours Log'!$A:$A,"&gt;="&amp;$J631,'Hours Log'!$A:$A,"&lt;"&amp;$J631+7))</f>
        <v/>
      </c>
      <c r="J631">
        <f>IF(COUNT('Hours Log'!$A$4:$A$5000)=0,"",IF(MIN('Hours Log'!$A$4:$A$5000)+7*(ROW()-10)&gt;MAX('Hours Log'!$A$4:$A$5000),"",MIN('Hours Log'!$A$4:$A$5000)+7*(ROW()-10)))</f>
        <v/>
      </c>
    </row>
    <row r="632">
      <c r="A632">
        <f>IF($J632="","",YEAR($J632-WEEKDAY($J632,2)+4)&amp;"-W"&amp;TEXT(WEEKNUM($J632,21),"00"))</f>
        <v/>
      </c>
      <c r="B632" s="41">
        <f>IF($J632="","",COUNTIFS(Roster!$D$4:$D$500,"Active",Roster!$C$4:$C$500,"&lt;="&amp;$J632))</f>
        <v/>
      </c>
      <c r="C632">
        <f>IF($J632="","",SUMIFS('Hours Log'!$C:$C,'Hours Log'!$A:$A,"&gt;="&amp;$J632,'Hours Log'!$A:$A,"&lt;"&amp;$J632+7)+SUMIFS('Hours Log'!$D:$D,'Hours Log'!$A:$A,"&gt;="&amp;$J632,'Hours Log'!$A:$A,"&lt;"&amp;$J632+7))</f>
        <v/>
      </c>
      <c r="D632">
        <f>IF($J632="","",SUMIFS('Hours Log'!$D:$D,'Hours Log'!$A:$A,"&gt;="&amp;$J632,'Hours Log'!$A:$A,"&lt;"&amp;$J632+7))</f>
        <v/>
      </c>
      <c r="E632">
        <f>IF($J632="","",IFERROR(C632/(B632*40),0))</f>
        <v/>
      </c>
      <c r="F632">
        <f>IF($J632="","",0)</f>
        <v/>
      </c>
      <c r="G632">
        <f>IF($J632="","",SUMIFS('Hours Log'!$E:$E,'Hours Log'!$A:$A,"&gt;="&amp;$J632,'Hours Log'!$A:$A,"&lt;"&amp;$J632+7))</f>
        <v/>
      </c>
      <c r="J632">
        <f>IF(COUNT('Hours Log'!$A$4:$A$5000)=0,"",IF(MIN('Hours Log'!$A$4:$A$5000)+7*(ROW()-10)&gt;MAX('Hours Log'!$A$4:$A$5000),"",MIN('Hours Log'!$A$4:$A$5000)+7*(ROW()-10)))</f>
        <v/>
      </c>
    </row>
    <row r="633">
      <c r="A633">
        <f>IF($J633="","",YEAR($J633-WEEKDAY($J633,2)+4)&amp;"-W"&amp;TEXT(WEEKNUM($J633,21),"00"))</f>
        <v/>
      </c>
      <c r="B633" s="41">
        <f>IF($J633="","",COUNTIFS(Roster!$D$4:$D$500,"Active",Roster!$C$4:$C$500,"&lt;="&amp;$J633))</f>
        <v/>
      </c>
      <c r="C633">
        <f>IF($J633="","",SUMIFS('Hours Log'!$C:$C,'Hours Log'!$A:$A,"&gt;="&amp;$J633,'Hours Log'!$A:$A,"&lt;"&amp;$J633+7)+SUMIFS('Hours Log'!$D:$D,'Hours Log'!$A:$A,"&gt;="&amp;$J633,'Hours Log'!$A:$A,"&lt;"&amp;$J633+7))</f>
        <v/>
      </c>
      <c r="D633">
        <f>IF($J633="","",SUMIFS('Hours Log'!$D:$D,'Hours Log'!$A:$A,"&gt;="&amp;$J633,'Hours Log'!$A:$A,"&lt;"&amp;$J633+7))</f>
        <v/>
      </c>
      <c r="E633">
        <f>IF($J633="","",IFERROR(C633/(B633*40),0))</f>
        <v/>
      </c>
      <c r="F633">
        <f>IF($J633="","",0)</f>
        <v/>
      </c>
      <c r="G633">
        <f>IF($J633="","",SUMIFS('Hours Log'!$E:$E,'Hours Log'!$A:$A,"&gt;="&amp;$J633,'Hours Log'!$A:$A,"&lt;"&amp;$J633+7))</f>
        <v/>
      </c>
      <c r="J633">
        <f>IF(COUNT('Hours Log'!$A$4:$A$5000)=0,"",IF(MIN('Hours Log'!$A$4:$A$5000)+7*(ROW()-10)&gt;MAX('Hours Log'!$A$4:$A$5000),"",MIN('Hours Log'!$A$4:$A$5000)+7*(ROW()-10)))</f>
        <v/>
      </c>
    </row>
    <row r="634">
      <c r="A634">
        <f>IF($J634="","",YEAR($J634-WEEKDAY($J634,2)+4)&amp;"-W"&amp;TEXT(WEEKNUM($J634,21),"00"))</f>
        <v/>
      </c>
      <c r="B634" s="41">
        <f>IF($J634="","",COUNTIFS(Roster!$D$4:$D$500,"Active",Roster!$C$4:$C$500,"&lt;="&amp;$J634))</f>
        <v/>
      </c>
      <c r="C634">
        <f>IF($J634="","",SUMIFS('Hours Log'!$C:$C,'Hours Log'!$A:$A,"&gt;="&amp;$J634,'Hours Log'!$A:$A,"&lt;"&amp;$J634+7)+SUMIFS('Hours Log'!$D:$D,'Hours Log'!$A:$A,"&gt;="&amp;$J634,'Hours Log'!$A:$A,"&lt;"&amp;$J634+7))</f>
        <v/>
      </c>
      <c r="D634">
        <f>IF($J634="","",SUMIFS('Hours Log'!$D:$D,'Hours Log'!$A:$A,"&gt;="&amp;$J634,'Hours Log'!$A:$A,"&lt;"&amp;$J634+7))</f>
        <v/>
      </c>
      <c r="E634">
        <f>IF($J634="","",IFERROR(C634/(B634*40),0))</f>
        <v/>
      </c>
      <c r="F634">
        <f>IF($J634="","",0)</f>
        <v/>
      </c>
      <c r="G634">
        <f>IF($J634="","",SUMIFS('Hours Log'!$E:$E,'Hours Log'!$A:$A,"&gt;="&amp;$J634,'Hours Log'!$A:$A,"&lt;"&amp;$J634+7))</f>
        <v/>
      </c>
      <c r="J634">
        <f>IF(COUNT('Hours Log'!$A$4:$A$5000)=0,"",IF(MIN('Hours Log'!$A$4:$A$5000)+7*(ROW()-10)&gt;MAX('Hours Log'!$A$4:$A$5000),"",MIN('Hours Log'!$A$4:$A$5000)+7*(ROW()-10)))</f>
        <v/>
      </c>
    </row>
    <row r="635">
      <c r="A635">
        <f>IF($J635="","",YEAR($J635-WEEKDAY($J635,2)+4)&amp;"-W"&amp;TEXT(WEEKNUM($J635,21),"00"))</f>
        <v/>
      </c>
      <c r="B635" s="41">
        <f>IF($J635="","",COUNTIFS(Roster!$D$4:$D$500,"Active",Roster!$C$4:$C$500,"&lt;="&amp;$J635))</f>
        <v/>
      </c>
      <c r="C635">
        <f>IF($J635="","",SUMIFS('Hours Log'!$C:$C,'Hours Log'!$A:$A,"&gt;="&amp;$J635,'Hours Log'!$A:$A,"&lt;"&amp;$J635+7)+SUMIFS('Hours Log'!$D:$D,'Hours Log'!$A:$A,"&gt;="&amp;$J635,'Hours Log'!$A:$A,"&lt;"&amp;$J635+7))</f>
        <v/>
      </c>
      <c r="D635">
        <f>IF($J635="","",SUMIFS('Hours Log'!$D:$D,'Hours Log'!$A:$A,"&gt;="&amp;$J635,'Hours Log'!$A:$A,"&lt;"&amp;$J635+7))</f>
        <v/>
      </c>
      <c r="E635">
        <f>IF($J635="","",IFERROR(C635/(B635*40),0))</f>
        <v/>
      </c>
      <c r="F635">
        <f>IF($J635="","",0)</f>
        <v/>
      </c>
      <c r="G635">
        <f>IF($J635="","",SUMIFS('Hours Log'!$E:$E,'Hours Log'!$A:$A,"&gt;="&amp;$J635,'Hours Log'!$A:$A,"&lt;"&amp;$J635+7))</f>
        <v/>
      </c>
      <c r="J635">
        <f>IF(COUNT('Hours Log'!$A$4:$A$5000)=0,"",IF(MIN('Hours Log'!$A$4:$A$5000)+7*(ROW()-10)&gt;MAX('Hours Log'!$A$4:$A$5000),"",MIN('Hours Log'!$A$4:$A$5000)+7*(ROW()-10)))</f>
        <v/>
      </c>
    </row>
    <row r="636">
      <c r="A636">
        <f>IF($J636="","",YEAR($J636-WEEKDAY($J636,2)+4)&amp;"-W"&amp;TEXT(WEEKNUM($J636,21),"00"))</f>
        <v/>
      </c>
      <c r="B636" s="41">
        <f>IF($J636="","",COUNTIFS(Roster!$D$4:$D$500,"Active",Roster!$C$4:$C$500,"&lt;="&amp;$J636))</f>
        <v/>
      </c>
      <c r="C636">
        <f>IF($J636="","",SUMIFS('Hours Log'!$C:$C,'Hours Log'!$A:$A,"&gt;="&amp;$J636,'Hours Log'!$A:$A,"&lt;"&amp;$J636+7)+SUMIFS('Hours Log'!$D:$D,'Hours Log'!$A:$A,"&gt;="&amp;$J636,'Hours Log'!$A:$A,"&lt;"&amp;$J636+7))</f>
        <v/>
      </c>
      <c r="D636">
        <f>IF($J636="","",SUMIFS('Hours Log'!$D:$D,'Hours Log'!$A:$A,"&gt;="&amp;$J636,'Hours Log'!$A:$A,"&lt;"&amp;$J636+7))</f>
        <v/>
      </c>
      <c r="E636">
        <f>IF($J636="","",IFERROR(C636/(B636*40),0))</f>
        <v/>
      </c>
      <c r="F636">
        <f>IF($J636="","",0)</f>
        <v/>
      </c>
      <c r="G636">
        <f>IF($J636="","",SUMIFS('Hours Log'!$E:$E,'Hours Log'!$A:$A,"&gt;="&amp;$J636,'Hours Log'!$A:$A,"&lt;"&amp;$J636+7))</f>
        <v/>
      </c>
      <c r="J636">
        <f>IF(COUNT('Hours Log'!$A$4:$A$5000)=0,"",IF(MIN('Hours Log'!$A$4:$A$5000)+7*(ROW()-10)&gt;MAX('Hours Log'!$A$4:$A$5000),"",MIN('Hours Log'!$A$4:$A$5000)+7*(ROW()-10)))</f>
        <v/>
      </c>
    </row>
    <row r="637">
      <c r="A637">
        <f>IF($J637="","",YEAR($J637-WEEKDAY($J637,2)+4)&amp;"-W"&amp;TEXT(WEEKNUM($J637,21),"00"))</f>
        <v/>
      </c>
      <c r="B637" s="41">
        <f>IF($J637="","",COUNTIFS(Roster!$D$4:$D$500,"Active",Roster!$C$4:$C$500,"&lt;="&amp;$J637))</f>
        <v/>
      </c>
      <c r="C637">
        <f>IF($J637="","",SUMIFS('Hours Log'!$C:$C,'Hours Log'!$A:$A,"&gt;="&amp;$J637,'Hours Log'!$A:$A,"&lt;"&amp;$J637+7)+SUMIFS('Hours Log'!$D:$D,'Hours Log'!$A:$A,"&gt;="&amp;$J637,'Hours Log'!$A:$A,"&lt;"&amp;$J637+7))</f>
        <v/>
      </c>
      <c r="D637">
        <f>IF($J637="","",SUMIFS('Hours Log'!$D:$D,'Hours Log'!$A:$A,"&gt;="&amp;$J637,'Hours Log'!$A:$A,"&lt;"&amp;$J637+7))</f>
        <v/>
      </c>
      <c r="E637">
        <f>IF($J637="","",IFERROR(C637/(B637*40),0))</f>
        <v/>
      </c>
      <c r="F637">
        <f>IF($J637="","",0)</f>
        <v/>
      </c>
      <c r="G637">
        <f>IF($J637="","",SUMIFS('Hours Log'!$E:$E,'Hours Log'!$A:$A,"&gt;="&amp;$J637,'Hours Log'!$A:$A,"&lt;"&amp;$J637+7))</f>
        <v/>
      </c>
      <c r="J637">
        <f>IF(COUNT('Hours Log'!$A$4:$A$5000)=0,"",IF(MIN('Hours Log'!$A$4:$A$5000)+7*(ROW()-10)&gt;MAX('Hours Log'!$A$4:$A$5000),"",MIN('Hours Log'!$A$4:$A$5000)+7*(ROW()-10)))</f>
        <v/>
      </c>
    </row>
    <row r="638">
      <c r="A638">
        <f>IF($J638="","",YEAR($J638-WEEKDAY($J638,2)+4)&amp;"-W"&amp;TEXT(WEEKNUM($J638,21),"00"))</f>
        <v/>
      </c>
      <c r="B638" s="41">
        <f>IF($J638="","",COUNTIFS(Roster!$D$4:$D$500,"Active",Roster!$C$4:$C$500,"&lt;="&amp;$J638))</f>
        <v/>
      </c>
      <c r="C638">
        <f>IF($J638="","",SUMIFS('Hours Log'!$C:$C,'Hours Log'!$A:$A,"&gt;="&amp;$J638,'Hours Log'!$A:$A,"&lt;"&amp;$J638+7)+SUMIFS('Hours Log'!$D:$D,'Hours Log'!$A:$A,"&gt;="&amp;$J638,'Hours Log'!$A:$A,"&lt;"&amp;$J638+7))</f>
        <v/>
      </c>
      <c r="D638">
        <f>IF($J638="","",SUMIFS('Hours Log'!$D:$D,'Hours Log'!$A:$A,"&gt;="&amp;$J638,'Hours Log'!$A:$A,"&lt;"&amp;$J638+7))</f>
        <v/>
      </c>
      <c r="E638">
        <f>IF($J638="","",IFERROR(C638/(B638*40),0))</f>
        <v/>
      </c>
      <c r="F638">
        <f>IF($J638="","",0)</f>
        <v/>
      </c>
      <c r="G638">
        <f>IF($J638="","",SUMIFS('Hours Log'!$E:$E,'Hours Log'!$A:$A,"&gt;="&amp;$J638,'Hours Log'!$A:$A,"&lt;"&amp;$J638+7))</f>
        <v/>
      </c>
      <c r="J638">
        <f>IF(COUNT('Hours Log'!$A$4:$A$5000)=0,"",IF(MIN('Hours Log'!$A$4:$A$5000)+7*(ROW()-10)&gt;MAX('Hours Log'!$A$4:$A$5000),"",MIN('Hours Log'!$A$4:$A$5000)+7*(ROW()-10)))</f>
        <v/>
      </c>
    </row>
    <row r="639">
      <c r="A639">
        <f>IF($J639="","",YEAR($J639-WEEKDAY($J639,2)+4)&amp;"-W"&amp;TEXT(WEEKNUM($J639,21),"00"))</f>
        <v/>
      </c>
      <c r="B639" s="41">
        <f>IF($J639="","",COUNTIFS(Roster!$D$4:$D$500,"Active",Roster!$C$4:$C$500,"&lt;="&amp;$J639))</f>
        <v/>
      </c>
      <c r="C639">
        <f>IF($J639="","",SUMIFS('Hours Log'!$C:$C,'Hours Log'!$A:$A,"&gt;="&amp;$J639,'Hours Log'!$A:$A,"&lt;"&amp;$J639+7)+SUMIFS('Hours Log'!$D:$D,'Hours Log'!$A:$A,"&gt;="&amp;$J639,'Hours Log'!$A:$A,"&lt;"&amp;$J639+7))</f>
        <v/>
      </c>
      <c r="D639">
        <f>IF($J639="","",SUMIFS('Hours Log'!$D:$D,'Hours Log'!$A:$A,"&gt;="&amp;$J639,'Hours Log'!$A:$A,"&lt;"&amp;$J639+7))</f>
        <v/>
      </c>
      <c r="E639">
        <f>IF($J639="","",IFERROR(C639/(B639*40),0))</f>
        <v/>
      </c>
      <c r="F639">
        <f>IF($J639="","",0)</f>
        <v/>
      </c>
      <c r="G639">
        <f>IF($J639="","",SUMIFS('Hours Log'!$E:$E,'Hours Log'!$A:$A,"&gt;="&amp;$J639,'Hours Log'!$A:$A,"&lt;"&amp;$J639+7))</f>
        <v/>
      </c>
      <c r="J639">
        <f>IF(COUNT('Hours Log'!$A$4:$A$5000)=0,"",IF(MIN('Hours Log'!$A$4:$A$5000)+7*(ROW()-10)&gt;MAX('Hours Log'!$A$4:$A$5000),"",MIN('Hours Log'!$A$4:$A$5000)+7*(ROW()-10)))</f>
        <v/>
      </c>
    </row>
    <row r="640">
      <c r="A640">
        <f>IF($J640="","",YEAR($J640-WEEKDAY($J640,2)+4)&amp;"-W"&amp;TEXT(WEEKNUM($J640,21),"00"))</f>
        <v/>
      </c>
      <c r="B640" s="41">
        <f>IF($J640="","",COUNTIFS(Roster!$D$4:$D$500,"Active",Roster!$C$4:$C$500,"&lt;="&amp;$J640))</f>
        <v/>
      </c>
      <c r="C640">
        <f>IF($J640="","",SUMIFS('Hours Log'!$C:$C,'Hours Log'!$A:$A,"&gt;="&amp;$J640,'Hours Log'!$A:$A,"&lt;"&amp;$J640+7)+SUMIFS('Hours Log'!$D:$D,'Hours Log'!$A:$A,"&gt;="&amp;$J640,'Hours Log'!$A:$A,"&lt;"&amp;$J640+7))</f>
        <v/>
      </c>
      <c r="D640">
        <f>IF($J640="","",SUMIFS('Hours Log'!$D:$D,'Hours Log'!$A:$A,"&gt;="&amp;$J640,'Hours Log'!$A:$A,"&lt;"&amp;$J640+7))</f>
        <v/>
      </c>
      <c r="E640">
        <f>IF($J640="","",IFERROR(C640/(B640*40),0))</f>
        <v/>
      </c>
      <c r="F640">
        <f>IF($J640="","",0)</f>
        <v/>
      </c>
      <c r="G640">
        <f>IF($J640="","",SUMIFS('Hours Log'!$E:$E,'Hours Log'!$A:$A,"&gt;="&amp;$J640,'Hours Log'!$A:$A,"&lt;"&amp;$J640+7))</f>
        <v/>
      </c>
      <c r="J640">
        <f>IF(COUNT('Hours Log'!$A$4:$A$5000)=0,"",IF(MIN('Hours Log'!$A$4:$A$5000)+7*(ROW()-10)&gt;MAX('Hours Log'!$A$4:$A$5000),"",MIN('Hours Log'!$A$4:$A$5000)+7*(ROW()-10)))</f>
        <v/>
      </c>
    </row>
    <row r="641">
      <c r="A641">
        <f>IF($J641="","",YEAR($J641-WEEKDAY($J641,2)+4)&amp;"-W"&amp;TEXT(WEEKNUM($J641,21),"00"))</f>
        <v/>
      </c>
      <c r="B641" s="41">
        <f>IF($J641="","",COUNTIFS(Roster!$D$4:$D$500,"Active",Roster!$C$4:$C$500,"&lt;="&amp;$J641))</f>
        <v/>
      </c>
      <c r="C641">
        <f>IF($J641="","",SUMIFS('Hours Log'!$C:$C,'Hours Log'!$A:$A,"&gt;="&amp;$J641,'Hours Log'!$A:$A,"&lt;"&amp;$J641+7)+SUMIFS('Hours Log'!$D:$D,'Hours Log'!$A:$A,"&gt;="&amp;$J641,'Hours Log'!$A:$A,"&lt;"&amp;$J641+7))</f>
        <v/>
      </c>
      <c r="D641">
        <f>IF($J641="","",SUMIFS('Hours Log'!$D:$D,'Hours Log'!$A:$A,"&gt;="&amp;$J641,'Hours Log'!$A:$A,"&lt;"&amp;$J641+7))</f>
        <v/>
      </c>
      <c r="E641">
        <f>IF($J641="","",IFERROR(C641/(B641*40),0))</f>
        <v/>
      </c>
      <c r="F641">
        <f>IF($J641="","",0)</f>
        <v/>
      </c>
      <c r="G641">
        <f>IF($J641="","",SUMIFS('Hours Log'!$E:$E,'Hours Log'!$A:$A,"&gt;="&amp;$J641,'Hours Log'!$A:$A,"&lt;"&amp;$J641+7))</f>
        <v/>
      </c>
      <c r="J641">
        <f>IF(COUNT('Hours Log'!$A$4:$A$5000)=0,"",IF(MIN('Hours Log'!$A$4:$A$5000)+7*(ROW()-10)&gt;MAX('Hours Log'!$A$4:$A$5000),"",MIN('Hours Log'!$A$4:$A$5000)+7*(ROW()-10)))</f>
        <v/>
      </c>
    </row>
    <row r="642">
      <c r="A642">
        <f>IF($J642="","",YEAR($J642-WEEKDAY($J642,2)+4)&amp;"-W"&amp;TEXT(WEEKNUM($J642,21),"00"))</f>
        <v/>
      </c>
      <c r="B642" s="41">
        <f>IF($J642="","",COUNTIFS(Roster!$D$4:$D$500,"Active",Roster!$C$4:$C$500,"&lt;="&amp;$J642))</f>
        <v/>
      </c>
      <c r="C642">
        <f>IF($J642="","",SUMIFS('Hours Log'!$C:$C,'Hours Log'!$A:$A,"&gt;="&amp;$J642,'Hours Log'!$A:$A,"&lt;"&amp;$J642+7)+SUMIFS('Hours Log'!$D:$D,'Hours Log'!$A:$A,"&gt;="&amp;$J642,'Hours Log'!$A:$A,"&lt;"&amp;$J642+7))</f>
        <v/>
      </c>
      <c r="D642">
        <f>IF($J642="","",SUMIFS('Hours Log'!$D:$D,'Hours Log'!$A:$A,"&gt;="&amp;$J642,'Hours Log'!$A:$A,"&lt;"&amp;$J642+7))</f>
        <v/>
      </c>
      <c r="E642">
        <f>IF($J642="","",IFERROR(C642/(B642*40),0))</f>
        <v/>
      </c>
      <c r="F642">
        <f>IF($J642="","",0)</f>
        <v/>
      </c>
      <c r="G642">
        <f>IF($J642="","",SUMIFS('Hours Log'!$E:$E,'Hours Log'!$A:$A,"&gt;="&amp;$J642,'Hours Log'!$A:$A,"&lt;"&amp;$J642+7))</f>
        <v/>
      </c>
      <c r="J642">
        <f>IF(COUNT('Hours Log'!$A$4:$A$5000)=0,"",IF(MIN('Hours Log'!$A$4:$A$5000)+7*(ROW()-10)&gt;MAX('Hours Log'!$A$4:$A$5000),"",MIN('Hours Log'!$A$4:$A$5000)+7*(ROW()-10)))</f>
        <v/>
      </c>
    </row>
    <row r="643">
      <c r="A643">
        <f>IF($J643="","",YEAR($J643-WEEKDAY($J643,2)+4)&amp;"-W"&amp;TEXT(WEEKNUM($J643,21),"00"))</f>
        <v/>
      </c>
      <c r="B643" s="41">
        <f>IF($J643="","",COUNTIFS(Roster!$D$4:$D$500,"Active",Roster!$C$4:$C$500,"&lt;="&amp;$J643))</f>
        <v/>
      </c>
      <c r="C643">
        <f>IF($J643="","",SUMIFS('Hours Log'!$C:$C,'Hours Log'!$A:$A,"&gt;="&amp;$J643,'Hours Log'!$A:$A,"&lt;"&amp;$J643+7)+SUMIFS('Hours Log'!$D:$D,'Hours Log'!$A:$A,"&gt;="&amp;$J643,'Hours Log'!$A:$A,"&lt;"&amp;$J643+7))</f>
        <v/>
      </c>
      <c r="D643">
        <f>IF($J643="","",SUMIFS('Hours Log'!$D:$D,'Hours Log'!$A:$A,"&gt;="&amp;$J643,'Hours Log'!$A:$A,"&lt;"&amp;$J643+7))</f>
        <v/>
      </c>
      <c r="E643">
        <f>IF($J643="","",IFERROR(C643/(B643*40),0))</f>
        <v/>
      </c>
      <c r="F643">
        <f>IF($J643="","",0)</f>
        <v/>
      </c>
      <c r="G643">
        <f>IF($J643="","",SUMIFS('Hours Log'!$E:$E,'Hours Log'!$A:$A,"&gt;="&amp;$J643,'Hours Log'!$A:$A,"&lt;"&amp;$J643+7))</f>
        <v/>
      </c>
      <c r="J643">
        <f>IF(COUNT('Hours Log'!$A$4:$A$5000)=0,"",IF(MIN('Hours Log'!$A$4:$A$5000)+7*(ROW()-10)&gt;MAX('Hours Log'!$A$4:$A$5000),"",MIN('Hours Log'!$A$4:$A$5000)+7*(ROW()-10)))</f>
        <v/>
      </c>
    </row>
    <row r="644">
      <c r="A644">
        <f>IF($J644="","",YEAR($J644-WEEKDAY($J644,2)+4)&amp;"-W"&amp;TEXT(WEEKNUM($J644,21),"00"))</f>
        <v/>
      </c>
      <c r="B644" s="41">
        <f>IF($J644="","",COUNTIFS(Roster!$D$4:$D$500,"Active",Roster!$C$4:$C$500,"&lt;="&amp;$J644))</f>
        <v/>
      </c>
      <c r="C644">
        <f>IF($J644="","",SUMIFS('Hours Log'!$C:$C,'Hours Log'!$A:$A,"&gt;="&amp;$J644,'Hours Log'!$A:$A,"&lt;"&amp;$J644+7)+SUMIFS('Hours Log'!$D:$D,'Hours Log'!$A:$A,"&gt;="&amp;$J644,'Hours Log'!$A:$A,"&lt;"&amp;$J644+7))</f>
        <v/>
      </c>
      <c r="D644">
        <f>IF($J644="","",SUMIFS('Hours Log'!$D:$D,'Hours Log'!$A:$A,"&gt;="&amp;$J644,'Hours Log'!$A:$A,"&lt;"&amp;$J644+7))</f>
        <v/>
      </c>
      <c r="E644">
        <f>IF($J644="","",IFERROR(C644/(B644*40),0))</f>
        <v/>
      </c>
      <c r="F644">
        <f>IF($J644="","",0)</f>
        <v/>
      </c>
      <c r="G644">
        <f>IF($J644="","",SUMIFS('Hours Log'!$E:$E,'Hours Log'!$A:$A,"&gt;="&amp;$J644,'Hours Log'!$A:$A,"&lt;"&amp;$J644+7))</f>
        <v/>
      </c>
      <c r="J644">
        <f>IF(COUNT('Hours Log'!$A$4:$A$5000)=0,"",IF(MIN('Hours Log'!$A$4:$A$5000)+7*(ROW()-10)&gt;MAX('Hours Log'!$A$4:$A$5000),"",MIN('Hours Log'!$A$4:$A$5000)+7*(ROW()-10)))</f>
        <v/>
      </c>
    </row>
    <row r="645">
      <c r="A645">
        <f>IF($J645="","",YEAR($J645-WEEKDAY($J645,2)+4)&amp;"-W"&amp;TEXT(WEEKNUM($J645,21),"00"))</f>
        <v/>
      </c>
      <c r="B645" s="41">
        <f>IF($J645="","",COUNTIFS(Roster!$D$4:$D$500,"Active",Roster!$C$4:$C$500,"&lt;="&amp;$J645))</f>
        <v/>
      </c>
      <c r="C645">
        <f>IF($J645="","",SUMIFS('Hours Log'!$C:$C,'Hours Log'!$A:$A,"&gt;="&amp;$J645,'Hours Log'!$A:$A,"&lt;"&amp;$J645+7)+SUMIFS('Hours Log'!$D:$D,'Hours Log'!$A:$A,"&gt;="&amp;$J645,'Hours Log'!$A:$A,"&lt;"&amp;$J645+7))</f>
        <v/>
      </c>
      <c r="D645">
        <f>IF($J645="","",SUMIFS('Hours Log'!$D:$D,'Hours Log'!$A:$A,"&gt;="&amp;$J645,'Hours Log'!$A:$A,"&lt;"&amp;$J645+7))</f>
        <v/>
      </c>
      <c r="E645">
        <f>IF($J645="","",IFERROR(C645/(B645*40),0))</f>
        <v/>
      </c>
      <c r="F645">
        <f>IF($J645="","",0)</f>
        <v/>
      </c>
      <c r="G645">
        <f>IF($J645="","",SUMIFS('Hours Log'!$E:$E,'Hours Log'!$A:$A,"&gt;="&amp;$J645,'Hours Log'!$A:$A,"&lt;"&amp;$J645+7))</f>
        <v/>
      </c>
      <c r="J645">
        <f>IF(COUNT('Hours Log'!$A$4:$A$5000)=0,"",IF(MIN('Hours Log'!$A$4:$A$5000)+7*(ROW()-10)&gt;MAX('Hours Log'!$A$4:$A$5000),"",MIN('Hours Log'!$A$4:$A$5000)+7*(ROW()-10)))</f>
        <v/>
      </c>
    </row>
    <row r="646">
      <c r="A646">
        <f>IF($J646="","",YEAR($J646-WEEKDAY($J646,2)+4)&amp;"-W"&amp;TEXT(WEEKNUM($J646,21),"00"))</f>
        <v/>
      </c>
      <c r="B646" s="41">
        <f>IF($J646="","",COUNTIFS(Roster!$D$4:$D$500,"Active",Roster!$C$4:$C$500,"&lt;="&amp;$J646))</f>
        <v/>
      </c>
      <c r="C646">
        <f>IF($J646="","",SUMIFS('Hours Log'!$C:$C,'Hours Log'!$A:$A,"&gt;="&amp;$J646,'Hours Log'!$A:$A,"&lt;"&amp;$J646+7)+SUMIFS('Hours Log'!$D:$D,'Hours Log'!$A:$A,"&gt;="&amp;$J646,'Hours Log'!$A:$A,"&lt;"&amp;$J646+7))</f>
        <v/>
      </c>
      <c r="D646">
        <f>IF($J646="","",SUMIFS('Hours Log'!$D:$D,'Hours Log'!$A:$A,"&gt;="&amp;$J646,'Hours Log'!$A:$A,"&lt;"&amp;$J646+7))</f>
        <v/>
      </c>
      <c r="E646">
        <f>IF($J646="","",IFERROR(C646/(B646*40),0))</f>
        <v/>
      </c>
      <c r="F646">
        <f>IF($J646="","",0)</f>
        <v/>
      </c>
      <c r="G646">
        <f>IF($J646="","",SUMIFS('Hours Log'!$E:$E,'Hours Log'!$A:$A,"&gt;="&amp;$J646,'Hours Log'!$A:$A,"&lt;"&amp;$J646+7))</f>
        <v/>
      </c>
      <c r="J646">
        <f>IF(COUNT('Hours Log'!$A$4:$A$5000)=0,"",IF(MIN('Hours Log'!$A$4:$A$5000)+7*(ROW()-10)&gt;MAX('Hours Log'!$A$4:$A$5000),"",MIN('Hours Log'!$A$4:$A$5000)+7*(ROW()-10)))</f>
        <v/>
      </c>
    </row>
    <row r="647">
      <c r="A647">
        <f>IF($J647="","",YEAR($J647-WEEKDAY($J647,2)+4)&amp;"-W"&amp;TEXT(WEEKNUM($J647,21),"00"))</f>
        <v/>
      </c>
      <c r="B647" s="41">
        <f>IF($J647="","",COUNTIFS(Roster!$D$4:$D$500,"Active",Roster!$C$4:$C$500,"&lt;="&amp;$J647))</f>
        <v/>
      </c>
      <c r="C647">
        <f>IF($J647="","",SUMIFS('Hours Log'!$C:$C,'Hours Log'!$A:$A,"&gt;="&amp;$J647,'Hours Log'!$A:$A,"&lt;"&amp;$J647+7)+SUMIFS('Hours Log'!$D:$D,'Hours Log'!$A:$A,"&gt;="&amp;$J647,'Hours Log'!$A:$A,"&lt;"&amp;$J647+7))</f>
        <v/>
      </c>
      <c r="D647">
        <f>IF($J647="","",SUMIFS('Hours Log'!$D:$D,'Hours Log'!$A:$A,"&gt;="&amp;$J647,'Hours Log'!$A:$A,"&lt;"&amp;$J647+7))</f>
        <v/>
      </c>
      <c r="E647">
        <f>IF($J647="","",IFERROR(C647/(B647*40),0))</f>
        <v/>
      </c>
      <c r="F647">
        <f>IF($J647="","",0)</f>
        <v/>
      </c>
      <c r="G647">
        <f>IF($J647="","",SUMIFS('Hours Log'!$E:$E,'Hours Log'!$A:$A,"&gt;="&amp;$J647,'Hours Log'!$A:$A,"&lt;"&amp;$J647+7))</f>
        <v/>
      </c>
      <c r="J647">
        <f>IF(COUNT('Hours Log'!$A$4:$A$5000)=0,"",IF(MIN('Hours Log'!$A$4:$A$5000)+7*(ROW()-10)&gt;MAX('Hours Log'!$A$4:$A$5000),"",MIN('Hours Log'!$A$4:$A$5000)+7*(ROW()-10)))</f>
        <v/>
      </c>
    </row>
    <row r="648">
      <c r="A648">
        <f>IF($J648="","",YEAR($J648-WEEKDAY($J648,2)+4)&amp;"-W"&amp;TEXT(WEEKNUM($J648,21),"00"))</f>
        <v/>
      </c>
      <c r="B648" s="41">
        <f>IF($J648="","",COUNTIFS(Roster!$D$4:$D$500,"Active",Roster!$C$4:$C$500,"&lt;="&amp;$J648))</f>
        <v/>
      </c>
      <c r="C648">
        <f>IF($J648="","",SUMIFS('Hours Log'!$C:$C,'Hours Log'!$A:$A,"&gt;="&amp;$J648,'Hours Log'!$A:$A,"&lt;"&amp;$J648+7)+SUMIFS('Hours Log'!$D:$D,'Hours Log'!$A:$A,"&gt;="&amp;$J648,'Hours Log'!$A:$A,"&lt;"&amp;$J648+7))</f>
        <v/>
      </c>
      <c r="D648">
        <f>IF($J648="","",SUMIFS('Hours Log'!$D:$D,'Hours Log'!$A:$A,"&gt;="&amp;$J648,'Hours Log'!$A:$A,"&lt;"&amp;$J648+7))</f>
        <v/>
      </c>
      <c r="E648">
        <f>IF($J648="","",IFERROR(C648/(B648*40),0))</f>
        <v/>
      </c>
      <c r="F648">
        <f>IF($J648="","",0)</f>
        <v/>
      </c>
      <c r="G648">
        <f>IF($J648="","",SUMIFS('Hours Log'!$E:$E,'Hours Log'!$A:$A,"&gt;="&amp;$J648,'Hours Log'!$A:$A,"&lt;"&amp;$J648+7))</f>
        <v/>
      </c>
      <c r="J648">
        <f>IF(COUNT('Hours Log'!$A$4:$A$5000)=0,"",IF(MIN('Hours Log'!$A$4:$A$5000)+7*(ROW()-10)&gt;MAX('Hours Log'!$A$4:$A$5000),"",MIN('Hours Log'!$A$4:$A$5000)+7*(ROW()-10)))</f>
        <v/>
      </c>
    </row>
    <row r="649">
      <c r="A649">
        <f>IF($J649="","",YEAR($J649-WEEKDAY($J649,2)+4)&amp;"-W"&amp;TEXT(WEEKNUM($J649,21),"00"))</f>
        <v/>
      </c>
      <c r="B649" s="41">
        <f>IF($J649="","",COUNTIFS(Roster!$D$4:$D$500,"Active",Roster!$C$4:$C$500,"&lt;="&amp;$J649))</f>
        <v/>
      </c>
      <c r="C649">
        <f>IF($J649="","",SUMIFS('Hours Log'!$C:$C,'Hours Log'!$A:$A,"&gt;="&amp;$J649,'Hours Log'!$A:$A,"&lt;"&amp;$J649+7)+SUMIFS('Hours Log'!$D:$D,'Hours Log'!$A:$A,"&gt;="&amp;$J649,'Hours Log'!$A:$A,"&lt;"&amp;$J649+7))</f>
        <v/>
      </c>
      <c r="D649">
        <f>IF($J649="","",SUMIFS('Hours Log'!$D:$D,'Hours Log'!$A:$A,"&gt;="&amp;$J649,'Hours Log'!$A:$A,"&lt;"&amp;$J649+7))</f>
        <v/>
      </c>
      <c r="E649">
        <f>IF($J649="","",IFERROR(C649/(B649*40),0))</f>
        <v/>
      </c>
      <c r="F649">
        <f>IF($J649="","",0)</f>
        <v/>
      </c>
      <c r="G649">
        <f>IF($J649="","",SUMIFS('Hours Log'!$E:$E,'Hours Log'!$A:$A,"&gt;="&amp;$J649,'Hours Log'!$A:$A,"&lt;"&amp;$J649+7))</f>
        <v/>
      </c>
      <c r="J649">
        <f>IF(COUNT('Hours Log'!$A$4:$A$5000)=0,"",IF(MIN('Hours Log'!$A$4:$A$5000)+7*(ROW()-10)&gt;MAX('Hours Log'!$A$4:$A$5000),"",MIN('Hours Log'!$A$4:$A$5000)+7*(ROW()-10)))</f>
        <v/>
      </c>
    </row>
    <row r="650">
      <c r="A650">
        <f>IF($J650="","",YEAR($J650-WEEKDAY($J650,2)+4)&amp;"-W"&amp;TEXT(WEEKNUM($J650,21),"00"))</f>
        <v/>
      </c>
      <c r="B650" s="41">
        <f>IF($J650="","",COUNTIFS(Roster!$D$4:$D$500,"Active",Roster!$C$4:$C$500,"&lt;="&amp;$J650))</f>
        <v/>
      </c>
      <c r="C650">
        <f>IF($J650="","",SUMIFS('Hours Log'!$C:$C,'Hours Log'!$A:$A,"&gt;="&amp;$J650,'Hours Log'!$A:$A,"&lt;"&amp;$J650+7)+SUMIFS('Hours Log'!$D:$D,'Hours Log'!$A:$A,"&gt;="&amp;$J650,'Hours Log'!$A:$A,"&lt;"&amp;$J650+7))</f>
        <v/>
      </c>
      <c r="D650">
        <f>IF($J650="","",SUMIFS('Hours Log'!$D:$D,'Hours Log'!$A:$A,"&gt;="&amp;$J650,'Hours Log'!$A:$A,"&lt;"&amp;$J650+7))</f>
        <v/>
      </c>
      <c r="E650">
        <f>IF($J650="","",IFERROR(C650/(B650*40),0))</f>
        <v/>
      </c>
      <c r="F650">
        <f>IF($J650="","",0)</f>
        <v/>
      </c>
      <c r="G650">
        <f>IF($J650="","",SUMIFS('Hours Log'!$E:$E,'Hours Log'!$A:$A,"&gt;="&amp;$J650,'Hours Log'!$A:$A,"&lt;"&amp;$J650+7))</f>
        <v/>
      </c>
      <c r="J650">
        <f>IF(COUNT('Hours Log'!$A$4:$A$5000)=0,"",IF(MIN('Hours Log'!$A$4:$A$5000)+7*(ROW()-10)&gt;MAX('Hours Log'!$A$4:$A$5000),"",MIN('Hours Log'!$A$4:$A$5000)+7*(ROW()-10)))</f>
        <v/>
      </c>
    </row>
    <row r="651">
      <c r="A651">
        <f>IF($J651="","",YEAR($J651-WEEKDAY($J651,2)+4)&amp;"-W"&amp;TEXT(WEEKNUM($J651,21),"00"))</f>
        <v/>
      </c>
      <c r="B651" s="41">
        <f>IF($J651="","",COUNTIFS(Roster!$D$4:$D$500,"Active",Roster!$C$4:$C$500,"&lt;="&amp;$J651))</f>
        <v/>
      </c>
      <c r="C651">
        <f>IF($J651="","",SUMIFS('Hours Log'!$C:$C,'Hours Log'!$A:$A,"&gt;="&amp;$J651,'Hours Log'!$A:$A,"&lt;"&amp;$J651+7)+SUMIFS('Hours Log'!$D:$D,'Hours Log'!$A:$A,"&gt;="&amp;$J651,'Hours Log'!$A:$A,"&lt;"&amp;$J651+7))</f>
        <v/>
      </c>
      <c r="D651">
        <f>IF($J651="","",SUMIFS('Hours Log'!$D:$D,'Hours Log'!$A:$A,"&gt;="&amp;$J651,'Hours Log'!$A:$A,"&lt;"&amp;$J651+7))</f>
        <v/>
      </c>
      <c r="E651">
        <f>IF($J651="","",IFERROR(C651/(B651*40),0))</f>
        <v/>
      </c>
      <c r="F651">
        <f>IF($J651="","",0)</f>
        <v/>
      </c>
      <c r="G651">
        <f>IF($J651="","",SUMIFS('Hours Log'!$E:$E,'Hours Log'!$A:$A,"&gt;="&amp;$J651,'Hours Log'!$A:$A,"&lt;"&amp;$J651+7))</f>
        <v/>
      </c>
      <c r="J651">
        <f>IF(COUNT('Hours Log'!$A$4:$A$5000)=0,"",IF(MIN('Hours Log'!$A$4:$A$5000)+7*(ROW()-10)&gt;MAX('Hours Log'!$A$4:$A$5000),"",MIN('Hours Log'!$A$4:$A$5000)+7*(ROW()-10)))</f>
        <v/>
      </c>
    </row>
    <row r="652">
      <c r="A652">
        <f>IF($J652="","",YEAR($J652-WEEKDAY($J652,2)+4)&amp;"-W"&amp;TEXT(WEEKNUM($J652,21),"00"))</f>
        <v/>
      </c>
      <c r="B652" s="41">
        <f>IF($J652="","",COUNTIFS(Roster!$D$4:$D$500,"Active",Roster!$C$4:$C$500,"&lt;="&amp;$J652))</f>
        <v/>
      </c>
      <c r="C652">
        <f>IF($J652="","",SUMIFS('Hours Log'!$C:$C,'Hours Log'!$A:$A,"&gt;="&amp;$J652,'Hours Log'!$A:$A,"&lt;"&amp;$J652+7)+SUMIFS('Hours Log'!$D:$D,'Hours Log'!$A:$A,"&gt;="&amp;$J652,'Hours Log'!$A:$A,"&lt;"&amp;$J652+7))</f>
        <v/>
      </c>
      <c r="D652">
        <f>IF($J652="","",SUMIFS('Hours Log'!$D:$D,'Hours Log'!$A:$A,"&gt;="&amp;$J652,'Hours Log'!$A:$A,"&lt;"&amp;$J652+7))</f>
        <v/>
      </c>
      <c r="E652">
        <f>IF($J652="","",IFERROR(C652/(B652*40),0))</f>
        <v/>
      </c>
      <c r="F652">
        <f>IF($J652="","",0)</f>
        <v/>
      </c>
      <c r="G652">
        <f>IF($J652="","",SUMIFS('Hours Log'!$E:$E,'Hours Log'!$A:$A,"&gt;="&amp;$J652,'Hours Log'!$A:$A,"&lt;"&amp;$J652+7))</f>
        <v/>
      </c>
      <c r="J652">
        <f>IF(COUNT('Hours Log'!$A$4:$A$5000)=0,"",IF(MIN('Hours Log'!$A$4:$A$5000)+7*(ROW()-10)&gt;MAX('Hours Log'!$A$4:$A$5000),"",MIN('Hours Log'!$A$4:$A$5000)+7*(ROW()-10)))</f>
        <v/>
      </c>
    </row>
    <row r="653">
      <c r="A653">
        <f>IF($J653="","",YEAR($J653-WEEKDAY($J653,2)+4)&amp;"-W"&amp;TEXT(WEEKNUM($J653,21),"00"))</f>
        <v/>
      </c>
      <c r="B653" s="41">
        <f>IF($J653="","",COUNTIFS(Roster!$D$4:$D$500,"Active",Roster!$C$4:$C$500,"&lt;="&amp;$J653))</f>
        <v/>
      </c>
      <c r="C653">
        <f>IF($J653="","",SUMIFS('Hours Log'!$C:$C,'Hours Log'!$A:$A,"&gt;="&amp;$J653,'Hours Log'!$A:$A,"&lt;"&amp;$J653+7)+SUMIFS('Hours Log'!$D:$D,'Hours Log'!$A:$A,"&gt;="&amp;$J653,'Hours Log'!$A:$A,"&lt;"&amp;$J653+7))</f>
        <v/>
      </c>
      <c r="D653">
        <f>IF($J653="","",SUMIFS('Hours Log'!$D:$D,'Hours Log'!$A:$A,"&gt;="&amp;$J653,'Hours Log'!$A:$A,"&lt;"&amp;$J653+7))</f>
        <v/>
      </c>
      <c r="E653">
        <f>IF($J653="","",IFERROR(C653/(B653*40),0))</f>
        <v/>
      </c>
      <c r="F653">
        <f>IF($J653="","",0)</f>
        <v/>
      </c>
      <c r="G653">
        <f>IF($J653="","",SUMIFS('Hours Log'!$E:$E,'Hours Log'!$A:$A,"&gt;="&amp;$J653,'Hours Log'!$A:$A,"&lt;"&amp;$J653+7))</f>
        <v/>
      </c>
      <c r="J653">
        <f>IF(COUNT('Hours Log'!$A$4:$A$5000)=0,"",IF(MIN('Hours Log'!$A$4:$A$5000)+7*(ROW()-10)&gt;MAX('Hours Log'!$A$4:$A$5000),"",MIN('Hours Log'!$A$4:$A$5000)+7*(ROW()-10)))</f>
        <v/>
      </c>
    </row>
    <row r="654">
      <c r="A654">
        <f>IF($J654="","",YEAR($J654-WEEKDAY($J654,2)+4)&amp;"-W"&amp;TEXT(WEEKNUM($J654,21),"00"))</f>
        <v/>
      </c>
      <c r="B654" s="41">
        <f>IF($J654="","",COUNTIFS(Roster!$D$4:$D$500,"Active",Roster!$C$4:$C$500,"&lt;="&amp;$J654))</f>
        <v/>
      </c>
      <c r="C654">
        <f>IF($J654="","",SUMIFS('Hours Log'!$C:$C,'Hours Log'!$A:$A,"&gt;="&amp;$J654,'Hours Log'!$A:$A,"&lt;"&amp;$J654+7)+SUMIFS('Hours Log'!$D:$D,'Hours Log'!$A:$A,"&gt;="&amp;$J654,'Hours Log'!$A:$A,"&lt;"&amp;$J654+7))</f>
        <v/>
      </c>
      <c r="D654">
        <f>IF($J654="","",SUMIFS('Hours Log'!$D:$D,'Hours Log'!$A:$A,"&gt;="&amp;$J654,'Hours Log'!$A:$A,"&lt;"&amp;$J654+7))</f>
        <v/>
      </c>
      <c r="E654">
        <f>IF($J654="","",IFERROR(C654/(B654*40),0))</f>
        <v/>
      </c>
      <c r="F654">
        <f>IF($J654="","",0)</f>
        <v/>
      </c>
      <c r="G654">
        <f>IF($J654="","",SUMIFS('Hours Log'!$E:$E,'Hours Log'!$A:$A,"&gt;="&amp;$J654,'Hours Log'!$A:$A,"&lt;"&amp;$J654+7))</f>
        <v/>
      </c>
      <c r="J654">
        <f>IF(COUNT('Hours Log'!$A$4:$A$5000)=0,"",IF(MIN('Hours Log'!$A$4:$A$5000)+7*(ROW()-10)&gt;MAX('Hours Log'!$A$4:$A$5000),"",MIN('Hours Log'!$A$4:$A$5000)+7*(ROW()-10)))</f>
        <v/>
      </c>
    </row>
    <row r="655">
      <c r="A655">
        <f>IF($J655="","",YEAR($J655-WEEKDAY($J655,2)+4)&amp;"-W"&amp;TEXT(WEEKNUM($J655,21),"00"))</f>
        <v/>
      </c>
      <c r="B655" s="41">
        <f>IF($J655="","",COUNTIFS(Roster!$D$4:$D$500,"Active",Roster!$C$4:$C$500,"&lt;="&amp;$J655))</f>
        <v/>
      </c>
      <c r="C655">
        <f>IF($J655="","",SUMIFS('Hours Log'!$C:$C,'Hours Log'!$A:$A,"&gt;="&amp;$J655,'Hours Log'!$A:$A,"&lt;"&amp;$J655+7)+SUMIFS('Hours Log'!$D:$D,'Hours Log'!$A:$A,"&gt;="&amp;$J655,'Hours Log'!$A:$A,"&lt;"&amp;$J655+7))</f>
        <v/>
      </c>
      <c r="D655">
        <f>IF($J655="","",SUMIFS('Hours Log'!$D:$D,'Hours Log'!$A:$A,"&gt;="&amp;$J655,'Hours Log'!$A:$A,"&lt;"&amp;$J655+7))</f>
        <v/>
      </c>
      <c r="E655">
        <f>IF($J655="","",IFERROR(C655/(B655*40),0))</f>
        <v/>
      </c>
      <c r="F655">
        <f>IF($J655="","",0)</f>
        <v/>
      </c>
      <c r="G655">
        <f>IF($J655="","",SUMIFS('Hours Log'!$E:$E,'Hours Log'!$A:$A,"&gt;="&amp;$J655,'Hours Log'!$A:$A,"&lt;"&amp;$J655+7))</f>
        <v/>
      </c>
      <c r="J655">
        <f>IF(COUNT('Hours Log'!$A$4:$A$5000)=0,"",IF(MIN('Hours Log'!$A$4:$A$5000)+7*(ROW()-10)&gt;MAX('Hours Log'!$A$4:$A$5000),"",MIN('Hours Log'!$A$4:$A$5000)+7*(ROW()-10)))</f>
        <v/>
      </c>
    </row>
    <row r="656">
      <c r="A656">
        <f>IF($J656="","",YEAR($J656-WEEKDAY($J656,2)+4)&amp;"-W"&amp;TEXT(WEEKNUM($J656,21),"00"))</f>
        <v/>
      </c>
      <c r="B656" s="41">
        <f>IF($J656="","",COUNTIFS(Roster!$D$4:$D$500,"Active",Roster!$C$4:$C$500,"&lt;="&amp;$J656))</f>
        <v/>
      </c>
      <c r="C656">
        <f>IF($J656="","",SUMIFS('Hours Log'!$C:$C,'Hours Log'!$A:$A,"&gt;="&amp;$J656,'Hours Log'!$A:$A,"&lt;"&amp;$J656+7)+SUMIFS('Hours Log'!$D:$D,'Hours Log'!$A:$A,"&gt;="&amp;$J656,'Hours Log'!$A:$A,"&lt;"&amp;$J656+7))</f>
        <v/>
      </c>
      <c r="D656">
        <f>IF($J656="","",SUMIFS('Hours Log'!$D:$D,'Hours Log'!$A:$A,"&gt;="&amp;$J656,'Hours Log'!$A:$A,"&lt;"&amp;$J656+7))</f>
        <v/>
      </c>
      <c r="E656">
        <f>IF($J656="","",IFERROR(C656/(B656*40),0))</f>
        <v/>
      </c>
      <c r="F656">
        <f>IF($J656="","",0)</f>
        <v/>
      </c>
      <c r="G656">
        <f>IF($J656="","",SUMIFS('Hours Log'!$E:$E,'Hours Log'!$A:$A,"&gt;="&amp;$J656,'Hours Log'!$A:$A,"&lt;"&amp;$J656+7))</f>
        <v/>
      </c>
      <c r="J656">
        <f>IF(COUNT('Hours Log'!$A$4:$A$5000)=0,"",IF(MIN('Hours Log'!$A$4:$A$5000)+7*(ROW()-10)&gt;MAX('Hours Log'!$A$4:$A$5000),"",MIN('Hours Log'!$A$4:$A$5000)+7*(ROW()-10)))</f>
        <v/>
      </c>
    </row>
    <row r="657">
      <c r="A657">
        <f>IF($J657="","",YEAR($J657-WEEKDAY($J657,2)+4)&amp;"-W"&amp;TEXT(WEEKNUM($J657,21),"00"))</f>
        <v/>
      </c>
      <c r="B657" s="41">
        <f>IF($J657="","",COUNTIFS(Roster!$D$4:$D$500,"Active",Roster!$C$4:$C$500,"&lt;="&amp;$J657))</f>
        <v/>
      </c>
      <c r="C657">
        <f>IF($J657="","",SUMIFS('Hours Log'!$C:$C,'Hours Log'!$A:$A,"&gt;="&amp;$J657,'Hours Log'!$A:$A,"&lt;"&amp;$J657+7)+SUMIFS('Hours Log'!$D:$D,'Hours Log'!$A:$A,"&gt;="&amp;$J657,'Hours Log'!$A:$A,"&lt;"&amp;$J657+7))</f>
        <v/>
      </c>
      <c r="D657">
        <f>IF($J657="","",SUMIFS('Hours Log'!$D:$D,'Hours Log'!$A:$A,"&gt;="&amp;$J657,'Hours Log'!$A:$A,"&lt;"&amp;$J657+7))</f>
        <v/>
      </c>
      <c r="E657">
        <f>IF($J657="","",IFERROR(C657/(B657*40),0))</f>
        <v/>
      </c>
      <c r="F657">
        <f>IF($J657="","",0)</f>
        <v/>
      </c>
      <c r="G657">
        <f>IF($J657="","",SUMIFS('Hours Log'!$E:$E,'Hours Log'!$A:$A,"&gt;="&amp;$J657,'Hours Log'!$A:$A,"&lt;"&amp;$J657+7))</f>
        <v/>
      </c>
      <c r="J657">
        <f>IF(COUNT('Hours Log'!$A$4:$A$5000)=0,"",IF(MIN('Hours Log'!$A$4:$A$5000)+7*(ROW()-10)&gt;MAX('Hours Log'!$A$4:$A$5000),"",MIN('Hours Log'!$A$4:$A$5000)+7*(ROW()-10)))</f>
        <v/>
      </c>
    </row>
    <row r="658">
      <c r="A658">
        <f>IF($J658="","",YEAR($J658-WEEKDAY($J658,2)+4)&amp;"-W"&amp;TEXT(WEEKNUM($J658,21),"00"))</f>
        <v/>
      </c>
      <c r="B658" s="41">
        <f>IF($J658="","",COUNTIFS(Roster!$D$4:$D$500,"Active",Roster!$C$4:$C$500,"&lt;="&amp;$J658))</f>
        <v/>
      </c>
      <c r="C658">
        <f>IF($J658="","",SUMIFS('Hours Log'!$C:$C,'Hours Log'!$A:$A,"&gt;="&amp;$J658,'Hours Log'!$A:$A,"&lt;"&amp;$J658+7)+SUMIFS('Hours Log'!$D:$D,'Hours Log'!$A:$A,"&gt;="&amp;$J658,'Hours Log'!$A:$A,"&lt;"&amp;$J658+7))</f>
        <v/>
      </c>
      <c r="D658">
        <f>IF($J658="","",SUMIFS('Hours Log'!$D:$D,'Hours Log'!$A:$A,"&gt;="&amp;$J658,'Hours Log'!$A:$A,"&lt;"&amp;$J658+7))</f>
        <v/>
      </c>
      <c r="E658">
        <f>IF($J658="","",IFERROR(C658/(B658*40),0))</f>
        <v/>
      </c>
      <c r="F658">
        <f>IF($J658="","",0)</f>
        <v/>
      </c>
      <c r="G658">
        <f>IF($J658="","",SUMIFS('Hours Log'!$E:$E,'Hours Log'!$A:$A,"&gt;="&amp;$J658,'Hours Log'!$A:$A,"&lt;"&amp;$J658+7))</f>
        <v/>
      </c>
      <c r="J658">
        <f>IF(COUNT('Hours Log'!$A$4:$A$5000)=0,"",IF(MIN('Hours Log'!$A$4:$A$5000)+7*(ROW()-10)&gt;MAX('Hours Log'!$A$4:$A$5000),"",MIN('Hours Log'!$A$4:$A$5000)+7*(ROW()-10)))</f>
        <v/>
      </c>
    </row>
    <row r="659">
      <c r="A659">
        <f>IF($J659="","",YEAR($J659-WEEKDAY($J659,2)+4)&amp;"-W"&amp;TEXT(WEEKNUM($J659,21),"00"))</f>
        <v/>
      </c>
      <c r="B659" s="41">
        <f>IF($J659="","",COUNTIFS(Roster!$D$4:$D$500,"Active",Roster!$C$4:$C$500,"&lt;="&amp;$J659))</f>
        <v/>
      </c>
      <c r="C659">
        <f>IF($J659="","",SUMIFS('Hours Log'!$C:$C,'Hours Log'!$A:$A,"&gt;="&amp;$J659,'Hours Log'!$A:$A,"&lt;"&amp;$J659+7)+SUMIFS('Hours Log'!$D:$D,'Hours Log'!$A:$A,"&gt;="&amp;$J659,'Hours Log'!$A:$A,"&lt;"&amp;$J659+7))</f>
        <v/>
      </c>
      <c r="D659">
        <f>IF($J659="","",SUMIFS('Hours Log'!$D:$D,'Hours Log'!$A:$A,"&gt;="&amp;$J659,'Hours Log'!$A:$A,"&lt;"&amp;$J659+7))</f>
        <v/>
      </c>
      <c r="E659">
        <f>IF($J659="","",IFERROR(C659/(B659*40),0))</f>
        <v/>
      </c>
      <c r="F659">
        <f>IF($J659="","",0)</f>
        <v/>
      </c>
      <c r="G659">
        <f>IF($J659="","",SUMIFS('Hours Log'!$E:$E,'Hours Log'!$A:$A,"&gt;="&amp;$J659,'Hours Log'!$A:$A,"&lt;"&amp;$J659+7))</f>
        <v/>
      </c>
      <c r="J659">
        <f>IF(COUNT('Hours Log'!$A$4:$A$5000)=0,"",IF(MIN('Hours Log'!$A$4:$A$5000)+7*(ROW()-10)&gt;MAX('Hours Log'!$A$4:$A$5000),"",MIN('Hours Log'!$A$4:$A$5000)+7*(ROW()-10)))</f>
        <v/>
      </c>
    </row>
    <row r="660">
      <c r="A660">
        <f>IF($J660="","",YEAR($J660-WEEKDAY($J660,2)+4)&amp;"-W"&amp;TEXT(WEEKNUM($J660,21),"00"))</f>
        <v/>
      </c>
      <c r="B660" s="41">
        <f>IF($J660="","",COUNTIFS(Roster!$D$4:$D$500,"Active",Roster!$C$4:$C$500,"&lt;="&amp;$J660))</f>
        <v/>
      </c>
      <c r="C660">
        <f>IF($J660="","",SUMIFS('Hours Log'!$C:$C,'Hours Log'!$A:$A,"&gt;="&amp;$J660,'Hours Log'!$A:$A,"&lt;"&amp;$J660+7)+SUMIFS('Hours Log'!$D:$D,'Hours Log'!$A:$A,"&gt;="&amp;$J660,'Hours Log'!$A:$A,"&lt;"&amp;$J660+7))</f>
        <v/>
      </c>
      <c r="D660">
        <f>IF($J660="","",SUMIFS('Hours Log'!$D:$D,'Hours Log'!$A:$A,"&gt;="&amp;$J660,'Hours Log'!$A:$A,"&lt;"&amp;$J660+7))</f>
        <v/>
      </c>
      <c r="E660">
        <f>IF($J660="","",IFERROR(C660/(B660*40),0))</f>
        <v/>
      </c>
      <c r="F660">
        <f>IF($J660="","",0)</f>
        <v/>
      </c>
      <c r="G660">
        <f>IF($J660="","",SUMIFS('Hours Log'!$E:$E,'Hours Log'!$A:$A,"&gt;="&amp;$J660,'Hours Log'!$A:$A,"&lt;"&amp;$J660+7))</f>
        <v/>
      </c>
      <c r="J660">
        <f>IF(COUNT('Hours Log'!$A$4:$A$5000)=0,"",IF(MIN('Hours Log'!$A$4:$A$5000)+7*(ROW()-10)&gt;MAX('Hours Log'!$A$4:$A$5000),"",MIN('Hours Log'!$A$4:$A$5000)+7*(ROW()-10)))</f>
        <v/>
      </c>
    </row>
    <row r="661">
      <c r="A661">
        <f>IF($J661="","",YEAR($J661-WEEKDAY($J661,2)+4)&amp;"-W"&amp;TEXT(WEEKNUM($J661,21),"00"))</f>
        <v/>
      </c>
      <c r="B661" s="41">
        <f>IF($J661="","",COUNTIFS(Roster!$D$4:$D$500,"Active",Roster!$C$4:$C$500,"&lt;="&amp;$J661))</f>
        <v/>
      </c>
      <c r="C661">
        <f>IF($J661="","",SUMIFS('Hours Log'!$C:$C,'Hours Log'!$A:$A,"&gt;="&amp;$J661,'Hours Log'!$A:$A,"&lt;"&amp;$J661+7)+SUMIFS('Hours Log'!$D:$D,'Hours Log'!$A:$A,"&gt;="&amp;$J661,'Hours Log'!$A:$A,"&lt;"&amp;$J661+7))</f>
        <v/>
      </c>
      <c r="D661">
        <f>IF($J661="","",SUMIFS('Hours Log'!$D:$D,'Hours Log'!$A:$A,"&gt;="&amp;$J661,'Hours Log'!$A:$A,"&lt;"&amp;$J661+7))</f>
        <v/>
      </c>
      <c r="E661">
        <f>IF($J661="","",IFERROR(C661/(B661*40),0))</f>
        <v/>
      </c>
      <c r="F661">
        <f>IF($J661="","",0)</f>
        <v/>
      </c>
      <c r="G661">
        <f>IF($J661="","",SUMIFS('Hours Log'!$E:$E,'Hours Log'!$A:$A,"&gt;="&amp;$J661,'Hours Log'!$A:$A,"&lt;"&amp;$J661+7))</f>
        <v/>
      </c>
      <c r="J661">
        <f>IF(COUNT('Hours Log'!$A$4:$A$5000)=0,"",IF(MIN('Hours Log'!$A$4:$A$5000)+7*(ROW()-10)&gt;MAX('Hours Log'!$A$4:$A$5000),"",MIN('Hours Log'!$A$4:$A$5000)+7*(ROW()-10)))</f>
        <v/>
      </c>
    </row>
    <row r="662">
      <c r="A662">
        <f>IF($J662="","",YEAR($J662-WEEKDAY($J662,2)+4)&amp;"-W"&amp;TEXT(WEEKNUM($J662,21),"00"))</f>
        <v/>
      </c>
      <c r="B662" s="41">
        <f>IF($J662="","",COUNTIFS(Roster!$D$4:$D$500,"Active",Roster!$C$4:$C$500,"&lt;="&amp;$J662))</f>
        <v/>
      </c>
      <c r="C662">
        <f>IF($J662="","",SUMIFS('Hours Log'!$C:$C,'Hours Log'!$A:$A,"&gt;="&amp;$J662,'Hours Log'!$A:$A,"&lt;"&amp;$J662+7)+SUMIFS('Hours Log'!$D:$D,'Hours Log'!$A:$A,"&gt;="&amp;$J662,'Hours Log'!$A:$A,"&lt;"&amp;$J662+7))</f>
        <v/>
      </c>
      <c r="D662">
        <f>IF($J662="","",SUMIFS('Hours Log'!$D:$D,'Hours Log'!$A:$A,"&gt;="&amp;$J662,'Hours Log'!$A:$A,"&lt;"&amp;$J662+7))</f>
        <v/>
      </c>
      <c r="E662">
        <f>IF($J662="","",IFERROR(C662/(B662*40),0))</f>
        <v/>
      </c>
      <c r="F662">
        <f>IF($J662="","",0)</f>
        <v/>
      </c>
      <c r="G662">
        <f>IF($J662="","",SUMIFS('Hours Log'!$E:$E,'Hours Log'!$A:$A,"&gt;="&amp;$J662,'Hours Log'!$A:$A,"&lt;"&amp;$J662+7))</f>
        <v/>
      </c>
      <c r="J662">
        <f>IF(COUNT('Hours Log'!$A$4:$A$5000)=0,"",IF(MIN('Hours Log'!$A$4:$A$5000)+7*(ROW()-10)&gt;MAX('Hours Log'!$A$4:$A$5000),"",MIN('Hours Log'!$A$4:$A$5000)+7*(ROW()-10)))</f>
        <v/>
      </c>
    </row>
    <row r="663">
      <c r="A663">
        <f>IF($J663="","",YEAR($J663-WEEKDAY($J663,2)+4)&amp;"-W"&amp;TEXT(WEEKNUM($J663,21),"00"))</f>
        <v/>
      </c>
      <c r="B663" s="41">
        <f>IF($J663="","",COUNTIFS(Roster!$D$4:$D$500,"Active",Roster!$C$4:$C$500,"&lt;="&amp;$J663))</f>
        <v/>
      </c>
      <c r="C663">
        <f>IF($J663="","",SUMIFS('Hours Log'!$C:$C,'Hours Log'!$A:$A,"&gt;="&amp;$J663,'Hours Log'!$A:$A,"&lt;"&amp;$J663+7)+SUMIFS('Hours Log'!$D:$D,'Hours Log'!$A:$A,"&gt;="&amp;$J663,'Hours Log'!$A:$A,"&lt;"&amp;$J663+7))</f>
        <v/>
      </c>
      <c r="D663">
        <f>IF($J663="","",SUMIFS('Hours Log'!$D:$D,'Hours Log'!$A:$A,"&gt;="&amp;$J663,'Hours Log'!$A:$A,"&lt;"&amp;$J663+7))</f>
        <v/>
      </c>
      <c r="E663">
        <f>IF($J663="","",IFERROR(C663/(B663*40),0))</f>
        <v/>
      </c>
      <c r="F663">
        <f>IF($J663="","",0)</f>
        <v/>
      </c>
      <c r="G663">
        <f>IF($J663="","",SUMIFS('Hours Log'!$E:$E,'Hours Log'!$A:$A,"&gt;="&amp;$J663,'Hours Log'!$A:$A,"&lt;"&amp;$J663+7))</f>
        <v/>
      </c>
      <c r="J663">
        <f>IF(COUNT('Hours Log'!$A$4:$A$5000)=0,"",IF(MIN('Hours Log'!$A$4:$A$5000)+7*(ROW()-10)&gt;MAX('Hours Log'!$A$4:$A$5000),"",MIN('Hours Log'!$A$4:$A$5000)+7*(ROW()-10)))</f>
        <v/>
      </c>
    </row>
    <row r="664">
      <c r="A664">
        <f>IF($J664="","",YEAR($J664-WEEKDAY($J664,2)+4)&amp;"-W"&amp;TEXT(WEEKNUM($J664,21),"00"))</f>
        <v/>
      </c>
      <c r="B664" s="41">
        <f>IF($J664="","",COUNTIFS(Roster!$D$4:$D$500,"Active",Roster!$C$4:$C$500,"&lt;="&amp;$J664))</f>
        <v/>
      </c>
      <c r="C664">
        <f>IF($J664="","",SUMIFS('Hours Log'!$C:$C,'Hours Log'!$A:$A,"&gt;="&amp;$J664,'Hours Log'!$A:$A,"&lt;"&amp;$J664+7)+SUMIFS('Hours Log'!$D:$D,'Hours Log'!$A:$A,"&gt;="&amp;$J664,'Hours Log'!$A:$A,"&lt;"&amp;$J664+7))</f>
        <v/>
      </c>
      <c r="D664">
        <f>IF($J664="","",SUMIFS('Hours Log'!$D:$D,'Hours Log'!$A:$A,"&gt;="&amp;$J664,'Hours Log'!$A:$A,"&lt;"&amp;$J664+7))</f>
        <v/>
      </c>
      <c r="E664">
        <f>IF($J664="","",IFERROR(C664/(B664*40),0))</f>
        <v/>
      </c>
      <c r="F664">
        <f>IF($J664="","",0)</f>
        <v/>
      </c>
      <c r="G664">
        <f>IF($J664="","",SUMIFS('Hours Log'!$E:$E,'Hours Log'!$A:$A,"&gt;="&amp;$J664,'Hours Log'!$A:$A,"&lt;"&amp;$J664+7))</f>
        <v/>
      </c>
      <c r="J664">
        <f>IF(COUNT('Hours Log'!$A$4:$A$5000)=0,"",IF(MIN('Hours Log'!$A$4:$A$5000)+7*(ROW()-10)&gt;MAX('Hours Log'!$A$4:$A$5000),"",MIN('Hours Log'!$A$4:$A$5000)+7*(ROW()-10)))</f>
        <v/>
      </c>
    </row>
    <row r="665">
      <c r="A665">
        <f>IF($J665="","",YEAR($J665-WEEKDAY($J665,2)+4)&amp;"-W"&amp;TEXT(WEEKNUM($J665,21),"00"))</f>
        <v/>
      </c>
      <c r="B665" s="41">
        <f>IF($J665="","",COUNTIFS(Roster!$D$4:$D$500,"Active",Roster!$C$4:$C$500,"&lt;="&amp;$J665))</f>
        <v/>
      </c>
      <c r="C665">
        <f>IF($J665="","",SUMIFS('Hours Log'!$C:$C,'Hours Log'!$A:$A,"&gt;="&amp;$J665,'Hours Log'!$A:$A,"&lt;"&amp;$J665+7)+SUMIFS('Hours Log'!$D:$D,'Hours Log'!$A:$A,"&gt;="&amp;$J665,'Hours Log'!$A:$A,"&lt;"&amp;$J665+7))</f>
        <v/>
      </c>
      <c r="D665">
        <f>IF($J665="","",SUMIFS('Hours Log'!$D:$D,'Hours Log'!$A:$A,"&gt;="&amp;$J665,'Hours Log'!$A:$A,"&lt;"&amp;$J665+7))</f>
        <v/>
      </c>
      <c r="E665">
        <f>IF($J665="","",IFERROR(C665/(B665*40),0))</f>
        <v/>
      </c>
      <c r="F665">
        <f>IF($J665="","",0)</f>
        <v/>
      </c>
      <c r="G665">
        <f>IF($J665="","",SUMIFS('Hours Log'!$E:$E,'Hours Log'!$A:$A,"&gt;="&amp;$J665,'Hours Log'!$A:$A,"&lt;"&amp;$J665+7))</f>
        <v/>
      </c>
      <c r="J665">
        <f>IF(COUNT('Hours Log'!$A$4:$A$5000)=0,"",IF(MIN('Hours Log'!$A$4:$A$5000)+7*(ROW()-10)&gt;MAX('Hours Log'!$A$4:$A$5000),"",MIN('Hours Log'!$A$4:$A$5000)+7*(ROW()-10)))</f>
        <v/>
      </c>
    </row>
    <row r="666">
      <c r="A666">
        <f>IF($J666="","",YEAR($J666-WEEKDAY($J666,2)+4)&amp;"-W"&amp;TEXT(WEEKNUM($J666,21),"00"))</f>
        <v/>
      </c>
      <c r="B666" s="41">
        <f>IF($J666="","",COUNTIFS(Roster!$D$4:$D$500,"Active",Roster!$C$4:$C$500,"&lt;="&amp;$J666))</f>
        <v/>
      </c>
      <c r="C666">
        <f>IF($J666="","",SUMIFS('Hours Log'!$C:$C,'Hours Log'!$A:$A,"&gt;="&amp;$J666,'Hours Log'!$A:$A,"&lt;"&amp;$J666+7)+SUMIFS('Hours Log'!$D:$D,'Hours Log'!$A:$A,"&gt;="&amp;$J666,'Hours Log'!$A:$A,"&lt;"&amp;$J666+7))</f>
        <v/>
      </c>
      <c r="D666">
        <f>IF($J666="","",SUMIFS('Hours Log'!$D:$D,'Hours Log'!$A:$A,"&gt;="&amp;$J666,'Hours Log'!$A:$A,"&lt;"&amp;$J666+7))</f>
        <v/>
      </c>
      <c r="E666">
        <f>IF($J666="","",IFERROR(C666/(B666*40),0))</f>
        <v/>
      </c>
      <c r="F666">
        <f>IF($J666="","",0)</f>
        <v/>
      </c>
      <c r="G666">
        <f>IF($J666="","",SUMIFS('Hours Log'!$E:$E,'Hours Log'!$A:$A,"&gt;="&amp;$J666,'Hours Log'!$A:$A,"&lt;"&amp;$J666+7))</f>
        <v/>
      </c>
      <c r="J666">
        <f>IF(COUNT('Hours Log'!$A$4:$A$5000)=0,"",IF(MIN('Hours Log'!$A$4:$A$5000)+7*(ROW()-10)&gt;MAX('Hours Log'!$A$4:$A$5000),"",MIN('Hours Log'!$A$4:$A$5000)+7*(ROW()-10)))</f>
        <v/>
      </c>
    </row>
    <row r="667">
      <c r="A667">
        <f>IF($J667="","",YEAR($J667-WEEKDAY($J667,2)+4)&amp;"-W"&amp;TEXT(WEEKNUM($J667,21),"00"))</f>
        <v/>
      </c>
      <c r="B667" s="41">
        <f>IF($J667="","",COUNTIFS(Roster!$D$4:$D$500,"Active",Roster!$C$4:$C$500,"&lt;="&amp;$J667))</f>
        <v/>
      </c>
      <c r="C667">
        <f>IF($J667="","",SUMIFS('Hours Log'!$C:$C,'Hours Log'!$A:$A,"&gt;="&amp;$J667,'Hours Log'!$A:$A,"&lt;"&amp;$J667+7)+SUMIFS('Hours Log'!$D:$D,'Hours Log'!$A:$A,"&gt;="&amp;$J667,'Hours Log'!$A:$A,"&lt;"&amp;$J667+7))</f>
        <v/>
      </c>
      <c r="D667">
        <f>IF($J667="","",SUMIFS('Hours Log'!$D:$D,'Hours Log'!$A:$A,"&gt;="&amp;$J667,'Hours Log'!$A:$A,"&lt;"&amp;$J667+7))</f>
        <v/>
      </c>
      <c r="E667">
        <f>IF($J667="","",IFERROR(C667/(B667*40),0))</f>
        <v/>
      </c>
      <c r="F667">
        <f>IF($J667="","",0)</f>
        <v/>
      </c>
      <c r="G667">
        <f>IF($J667="","",SUMIFS('Hours Log'!$E:$E,'Hours Log'!$A:$A,"&gt;="&amp;$J667,'Hours Log'!$A:$A,"&lt;"&amp;$J667+7))</f>
        <v/>
      </c>
      <c r="J667">
        <f>IF(COUNT('Hours Log'!$A$4:$A$5000)=0,"",IF(MIN('Hours Log'!$A$4:$A$5000)+7*(ROW()-10)&gt;MAX('Hours Log'!$A$4:$A$5000),"",MIN('Hours Log'!$A$4:$A$5000)+7*(ROW()-10)))</f>
        <v/>
      </c>
    </row>
    <row r="668">
      <c r="A668">
        <f>IF($J668="","",YEAR($J668-WEEKDAY($J668,2)+4)&amp;"-W"&amp;TEXT(WEEKNUM($J668,21),"00"))</f>
        <v/>
      </c>
      <c r="B668" s="41">
        <f>IF($J668="","",COUNTIFS(Roster!$D$4:$D$500,"Active",Roster!$C$4:$C$500,"&lt;="&amp;$J668))</f>
        <v/>
      </c>
      <c r="C668">
        <f>IF($J668="","",SUMIFS('Hours Log'!$C:$C,'Hours Log'!$A:$A,"&gt;="&amp;$J668,'Hours Log'!$A:$A,"&lt;"&amp;$J668+7)+SUMIFS('Hours Log'!$D:$D,'Hours Log'!$A:$A,"&gt;="&amp;$J668,'Hours Log'!$A:$A,"&lt;"&amp;$J668+7))</f>
        <v/>
      </c>
      <c r="D668">
        <f>IF($J668="","",SUMIFS('Hours Log'!$D:$D,'Hours Log'!$A:$A,"&gt;="&amp;$J668,'Hours Log'!$A:$A,"&lt;"&amp;$J668+7))</f>
        <v/>
      </c>
      <c r="E668">
        <f>IF($J668="","",IFERROR(C668/(B668*40),0))</f>
        <v/>
      </c>
      <c r="F668">
        <f>IF($J668="","",0)</f>
        <v/>
      </c>
      <c r="G668">
        <f>IF($J668="","",SUMIFS('Hours Log'!$E:$E,'Hours Log'!$A:$A,"&gt;="&amp;$J668,'Hours Log'!$A:$A,"&lt;"&amp;$J668+7))</f>
        <v/>
      </c>
      <c r="J668">
        <f>IF(COUNT('Hours Log'!$A$4:$A$5000)=0,"",IF(MIN('Hours Log'!$A$4:$A$5000)+7*(ROW()-10)&gt;MAX('Hours Log'!$A$4:$A$5000),"",MIN('Hours Log'!$A$4:$A$5000)+7*(ROW()-10)))</f>
        <v/>
      </c>
    </row>
    <row r="669">
      <c r="A669">
        <f>IF($J669="","",YEAR($J669-WEEKDAY($J669,2)+4)&amp;"-W"&amp;TEXT(WEEKNUM($J669,21),"00"))</f>
        <v/>
      </c>
      <c r="B669" s="41">
        <f>IF($J669="","",COUNTIFS(Roster!$D$4:$D$500,"Active",Roster!$C$4:$C$500,"&lt;="&amp;$J669))</f>
        <v/>
      </c>
      <c r="C669">
        <f>IF($J669="","",SUMIFS('Hours Log'!$C:$C,'Hours Log'!$A:$A,"&gt;="&amp;$J669,'Hours Log'!$A:$A,"&lt;"&amp;$J669+7)+SUMIFS('Hours Log'!$D:$D,'Hours Log'!$A:$A,"&gt;="&amp;$J669,'Hours Log'!$A:$A,"&lt;"&amp;$J669+7))</f>
        <v/>
      </c>
      <c r="D669">
        <f>IF($J669="","",SUMIFS('Hours Log'!$D:$D,'Hours Log'!$A:$A,"&gt;="&amp;$J669,'Hours Log'!$A:$A,"&lt;"&amp;$J669+7))</f>
        <v/>
      </c>
      <c r="E669">
        <f>IF($J669="","",IFERROR(C669/(B669*40),0))</f>
        <v/>
      </c>
      <c r="F669">
        <f>IF($J669="","",0)</f>
        <v/>
      </c>
      <c r="G669">
        <f>IF($J669="","",SUMIFS('Hours Log'!$E:$E,'Hours Log'!$A:$A,"&gt;="&amp;$J669,'Hours Log'!$A:$A,"&lt;"&amp;$J669+7))</f>
        <v/>
      </c>
      <c r="J669">
        <f>IF(COUNT('Hours Log'!$A$4:$A$5000)=0,"",IF(MIN('Hours Log'!$A$4:$A$5000)+7*(ROW()-10)&gt;MAX('Hours Log'!$A$4:$A$5000),"",MIN('Hours Log'!$A$4:$A$5000)+7*(ROW()-10)))</f>
        <v/>
      </c>
    </row>
    <row r="670">
      <c r="A670">
        <f>IF($J670="","",YEAR($J670-WEEKDAY($J670,2)+4)&amp;"-W"&amp;TEXT(WEEKNUM($J670,21),"00"))</f>
        <v/>
      </c>
      <c r="B670" s="41">
        <f>IF($J670="","",COUNTIFS(Roster!$D$4:$D$500,"Active",Roster!$C$4:$C$500,"&lt;="&amp;$J670))</f>
        <v/>
      </c>
      <c r="C670">
        <f>IF($J670="","",SUMIFS('Hours Log'!$C:$C,'Hours Log'!$A:$A,"&gt;="&amp;$J670,'Hours Log'!$A:$A,"&lt;"&amp;$J670+7)+SUMIFS('Hours Log'!$D:$D,'Hours Log'!$A:$A,"&gt;="&amp;$J670,'Hours Log'!$A:$A,"&lt;"&amp;$J670+7))</f>
        <v/>
      </c>
      <c r="D670">
        <f>IF($J670="","",SUMIFS('Hours Log'!$D:$D,'Hours Log'!$A:$A,"&gt;="&amp;$J670,'Hours Log'!$A:$A,"&lt;"&amp;$J670+7))</f>
        <v/>
      </c>
      <c r="E670">
        <f>IF($J670="","",IFERROR(C670/(B670*40),0))</f>
        <v/>
      </c>
      <c r="F670">
        <f>IF($J670="","",0)</f>
        <v/>
      </c>
      <c r="G670">
        <f>IF($J670="","",SUMIFS('Hours Log'!$E:$E,'Hours Log'!$A:$A,"&gt;="&amp;$J670,'Hours Log'!$A:$A,"&lt;"&amp;$J670+7))</f>
        <v/>
      </c>
      <c r="J670">
        <f>IF(COUNT('Hours Log'!$A$4:$A$5000)=0,"",IF(MIN('Hours Log'!$A$4:$A$5000)+7*(ROW()-10)&gt;MAX('Hours Log'!$A$4:$A$5000),"",MIN('Hours Log'!$A$4:$A$5000)+7*(ROW()-10)))</f>
        <v/>
      </c>
    </row>
    <row r="671">
      <c r="A671">
        <f>IF($J671="","",YEAR($J671-WEEKDAY($J671,2)+4)&amp;"-W"&amp;TEXT(WEEKNUM($J671,21),"00"))</f>
        <v/>
      </c>
      <c r="B671" s="41">
        <f>IF($J671="","",COUNTIFS(Roster!$D$4:$D$500,"Active",Roster!$C$4:$C$500,"&lt;="&amp;$J671))</f>
        <v/>
      </c>
      <c r="C671">
        <f>IF($J671="","",SUMIFS('Hours Log'!$C:$C,'Hours Log'!$A:$A,"&gt;="&amp;$J671,'Hours Log'!$A:$A,"&lt;"&amp;$J671+7)+SUMIFS('Hours Log'!$D:$D,'Hours Log'!$A:$A,"&gt;="&amp;$J671,'Hours Log'!$A:$A,"&lt;"&amp;$J671+7))</f>
        <v/>
      </c>
      <c r="D671">
        <f>IF($J671="","",SUMIFS('Hours Log'!$D:$D,'Hours Log'!$A:$A,"&gt;="&amp;$J671,'Hours Log'!$A:$A,"&lt;"&amp;$J671+7))</f>
        <v/>
      </c>
      <c r="E671">
        <f>IF($J671="","",IFERROR(C671/(B671*40),0))</f>
        <v/>
      </c>
      <c r="F671">
        <f>IF($J671="","",0)</f>
        <v/>
      </c>
      <c r="G671">
        <f>IF($J671="","",SUMIFS('Hours Log'!$E:$E,'Hours Log'!$A:$A,"&gt;="&amp;$J671,'Hours Log'!$A:$A,"&lt;"&amp;$J671+7))</f>
        <v/>
      </c>
      <c r="J671">
        <f>IF(COUNT('Hours Log'!$A$4:$A$5000)=0,"",IF(MIN('Hours Log'!$A$4:$A$5000)+7*(ROW()-10)&gt;MAX('Hours Log'!$A$4:$A$5000),"",MIN('Hours Log'!$A$4:$A$5000)+7*(ROW()-10)))</f>
        <v/>
      </c>
    </row>
    <row r="672">
      <c r="A672">
        <f>IF($J672="","",YEAR($J672-WEEKDAY($J672,2)+4)&amp;"-W"&amp;TEXT(WEEKNUM($J672,21),"00"))</f>
        <v/>
      </c>
      <c r="B672" s="41">
        <f>IF($J672="","",COUNTIFS(Roster!$D$4:$D$500,"Active",Roster!$C$4:$C$500,"&lt;="&amp;$J672))</f>
        <v/>
      </c>
      <c r="C672">
        <f>IF($J672="","",SUMIFS('Hours Log'!$C:$C,'Hours Log'!$A:$A,"&gt;="&amp;$J672,'Hours Log'!$A:$A,"&lt;"&amp;$J672+7)+SUMIFS('Hours Log'!$D:$D,'Hours Log'!$A:$A,"&gt;="&amp;$J672,'Hours Log'!$A:$A,"&lt;"&amp;$J672+7))</f>
        <v/>
      </c>
      <c r="D672">
        <f>IF($J672="","",SUMIFS('Hours Log'!$D:$D,'Hours Log'!$A:$A,"&gt;="&amp;$J672,'Hours Log'!$A:$A,"&lt;"&amp;$J672+7))</f>
        <v/>
      </c>
      <c r="E672">
        <f>IF($J672="","",IFERROR(C672/(B672*40),0))</f>
        <v/>
      </c>
      <c r="F672">
        <f>IF($J672="","",0)</f>
        <v/>
      </c>
      <c r="G672">
        <f>IF($J672="","",SUMIFS('Hours Log'!$E:$E,'Hours Log'!$A:$A,"&gt;="&amp;$J672,'Hours Log'!$A:$A,"&lt;"&amp;$J672+7))</f>
        <v/>
      </c>
      <c r="J672">
        <f>IF(COUNT('Hours Log'!$A$4:$A$5000)=0,"",IF(MIN('Hours Log'!$A$4:$A$5000)+7*(ROW()-10)&gt;MAX('Hours Log'!$A$4:$A$5000),"",MIN('Hours Log'!$A$4:$A$5000)+7*(ROW()-10)))</f>
        <v/>
      </c>
    </row>
    <row r="673">
      <c r="A673">
        <f>IF($J673="","",YEAR($J673-WEEKDAY($J673,2)+4)&amp;"-W"&amp;TEXT(WEEKNUM($J673,21),"00"))</f>
        <v/>
      </c>
      <c r="B673" s="41">
        <f>IF($J673="","",COUNTIFS(Roster!$D$4:$D$500,"Active",Roster!$C$4:$C$500,"&lt;="&amp;$J673))</f>
        <v/>
      </c>
      <c r="C673">
        <f>IF($J673="","",SUMIFS('Hours Log'!$C:$C,'Hours Log'!$A:$A,"&gt;="&amp;$J673,'Hours Log'!$A:$A,"&lt;"&amp;$J673+7)+SUMIFS('Hours Log'!$D:$D,'Hours Log'!$A:$A,"&gt;="&amp;$J673,'Hours Log'!$A:$A,"&lt;"&amp;$J673+7))</f>
        <v/>
      </c>
      <c r="D673">
        <f>IF($J673="","",SUMIFS('Hours Log'!$D:$D,'Hours Log'!$A:$A,"&gt;="&amp;$J673,'Hours Log'!$A:$A,"&lt;"&amp;$J673+7))</f>
        <v/>
      </c>
      <c r="E673">
        <f>IF($J673="","",IFERROR(C673/(B673*40),0))</f>
        <v/>
      </c>
      <c r="F673">
        <f>IF($J673="","",0)</f>
        <v/>
      </c>
      <c r="G673">
        <f>IF($J673="","",SUMIFS('Hours Log'!$E:$E,'Hours Log'!$A:$A,"&gt;="&amp;$J673,'Hours Log'!$A:$A,"&lt;"&amp;$J673+7))</f>
        <v/>
      </c>
      <c r="J673">
        <f>IF(COUNT('Hours Log'!$A$4:$A$5000)=0,"",IF(MIN('Hours Log'!$A$4:$A$5000)+7*(ROW()-10)&gt;MAX('Hours Log'!$A$4:$A$5000),"",MIN('Hours Log'!$A$4:$A$5000)+7*(ROW()-10)))</f>
        <v/>
      </c>
    </row>
    <row r="674">
      <c r="A674">
        <f>IF($J674="","",YEAR($J674-WEEKDAY($J674,2)+4)&amp;"-W"&amp;TEXT(WEEKNUM($J674,21),"00"))</f>
        <v/>
      </c>
      <c r="B674" s="41">
        <f>IF($J674="","",COUNTIFS(Roster!$D$4:$D$500,"Active",Roster!$C$4:$C$500,"&lt;="&amp;$J674))</f>
        <v/>
      </c>
      <c r="C674">
        <f>IF($J674="","",SUMIFS('Hours Log'!$C:$C,'Hours Log'!$A:$A,"&gt;="&amp;$J674,'Hours Log'!$A:$A,"&lt;"&amp;$J674+7)+SUMIFS('Hours Log'!$D:$D,'Hours Log'!$A:$A,"&gt;="&amp;$J674,'Hours Log'!$A:$A,"&lt;"&amp;$J674+7))</f>
        <v/>
      </c>
      <c r="D674">
        <f>IF($J674="","",SUMIFS('Hours Log'!$D:$D,'Hours Log'!$A:$A,"&gt;="&amp;$J674,'Hours Log'!$A:$A,"&lt;"&amp;$J674+7))</f>
        <v/>
      </c>
      <c r="E674">
        <f>IF($J674="","",IFERROR(C674/(B674*40),0))</f>
        <v/>
      </c>
      <c r="F674">
        <f>IF($J674="","",0)</f>
        <v/>
      </c>
      <c r="G674">
        <f>IF($J674="","",SUMIFS('Hours Log'!$E:$E,'Hours Log'!$A:$A,"&gt;="&amp;$J674,'Hours Log'!$A:$A,"&lt;"&amp;$J674+7))</f>
        <v/>
      </c>
      <c r="J674">
        <f>IF(COUNT('Hours Log'!$A$4:$A$5000)=0,"",IF(MIN('Hours Log'!$A$4:$A$5000)+7*(ROW()-10)&gt;MAX('Hours Log'!$A$4:$A$5000),"",MIN('Hours Log'!$A$4:$A$5000)+7*(ROW()-10)))</f>
        <v/>
      </c>
    </row>
    <row r="675">
      <c r="A675">
        <f>IF($J675="","",YEAR($J675-WEEKDAY($J675,2)+4)&amp;"-W"&amp;TEXT(WEEKNUM($J675,21),"00"))</f>
        <v/>
      </c>
      <c r="B675" s="41">
        <f>IF($J675="","",COUNTIFS(Roster!$D$4:$D$500,"Active",Roster!$C$4:$C$500,"&lt;="&amp;$J675))</f>
        <v/>
      </c>
      <c r="C675">
        <f>IF($J675="","",SUMIFS('Hours Log'!$C:$C,'Hours Log'!$A:$A,"&gt;="&amp;$J675,'Hours Log'!$A:$A,"&lt;"&amp;$J675+7)+SUMIFS('Hours Log'!$D:$D,'Hours Log'!$A:$A,"&gt;="&amp;$J675,'Hours Log'!$A:$A,"&lt;"&amp;$J675+7))</f>
        <v/>
      </c>
      <c r="D675">
        <f>IF($J675="","",SUMIFS('Hours Log'!$D:$D,'Hours Log'!$A:$A,"&gt;="&amp;$J675,'Hours Log'!$A:$A,"&lt;"&amp;$J675+7))</f>
        <v/>
      </c>
      <c r="E675">
        <f>IF($J675="","",IFERROR(C675/(B675*40),0))</f>
        <v/>
      </c>
      <c r="F675">
        <f>IF($J675="","",0)</f>
        <v/>
      </c>
      <c r="G675">
        <f>IF($J675="","",SUMIFS('Hours Log'!$E:$E,'Hours Log'!$A:$A,"&gt;="&amp;$J675,'Hours Log'!$A:$A,"&lt;"&amp;$J675+7))</f>
        <v/>
      </c>
      <c r="J675">
        <f>IF(COUNT('Hours Log'!$A$4:$A$5000)=0,"",IF(MIN('Hours Log'!$A$4:$A$5000)+7*(ROW()-10)&gt;MAX('Hours Log'!$A$4:$A$5000),"",MIN('Hours Log'!$A$4:$A$5000)+7*(ROW()-10)))</f>
        <v/>
      </c>
    </row>
    <row r="676">
      <c r="A676">
        <f>IF($J676="","",YEAR($J676-WEEKDAY($J676,2)+4)&amp;"-W"&amp;TEXT(WEEKNUM($J676,21),"00"))</f>
        <v/>
      </c>
      <c r="B676" s="41">
        <f>IF($J676="","",COUNTIFS(Roster!$D$4:$D$500,"Active",Roster!$C$4:$C$500,"&lt;="&amp;$J676))</f>
        <v/>
      </c>
      <c r="C676">
        <f>IF($J676="","",SUMIFS('Hours Log'!$C:$C,'Hours Log'!$A:$A,"&gt;="&amp;$J676,'Hours Log'!$A:$A,"&lt;"&amp;$J676+7)+SUMIFS('Hours Log'!$D:$D,'Hours Log'!$A:$A,"&gt;="&amp;$J676,'Hours Log'!$A:$A,"&lt;"&amp;$J676+7))</f>
        <v/>
      </c>
      <c r="D676">
        <f>IF($J676="","",SUMIFS('Hours Log'!$D:$D,'Hours Log'!$A:$A,"&gt;="&amp;$J676,'Hours Log'!$A:$A,"&lt;"&amp;$J676+7))</f>
        <v/>
      </c>
      <c r="E676">
        <f>IF($J676="","",IFERROR(C676/(B676*40),0))</f>
        <v/>
      </c>
      <c r="F676">
        <f>IF($J676="","",0)</f>
        <v/>
      </c>
      <c r="G676">
        <f>IF($J676="","",SUMIFS('Hours Log'!$E:$E,'Hours Log'!$A:$A,"&gt;="&amp;$J676,'Hours Log'!$A:$A,"&lt;"&amp;$J676+7))</f>
        <v/>
      </c>
      <c r="J676">
        <f>IF(COUNT('Hours Log'!$A$4:$A$5000)=0,"",IF(MIN('Hours Log'!$A$4:$A$5000)+7*(ROW()-10)&gt;MAX('Hours Log'!$A$4:$A$5000),"",MIN('Hours Log'!$A$4:$A$5000)+7*(ROW()-10)))</f>
        <v/>
      </c>
    </row>
    <row r="677">
      <c r="A677">
        <f>IF($J677="","",YEAR($J677-WEEKDAY($J677,2)+4)&amp;"-W"&amp;TEXT(WEEKNUM($J677,21),"00"))</f>
        <v/>
      </c>
      <c r="B677" s="41">
        <f>IF($J677="","",COUNTIFS(Roster!$D$4:$D$500,"Active",Roster!$C$4:$C$500,"&lt;="&amp;$J677))</f>
        <v/>
      </c>
      <c r="C677">
        <f>IF($J677="","",SUMIFS('Hours Log'!$C:$C,'Hours Log'!$A:$A,"&gt;="&amp;$J677,'Hours Log'!$A:$A,"&lt;"&amp;$J677+7)+SUMIFS('Hours Log'!$D:$D,'Hours Log'!$A:$A,"&gt;="&amp;$J677,'Hours Log'!$A:$A,"&lt;"&amp;$J677+7))</f>
        <v/>
      </c>
      <c r="D677">
        <f>IF($J677="","",SUMIFS('Hours Log'!$D:$D,'Hours Log'!$A:$A,"&gt;="&amp;$J677,'Hours Log'!$A:$A,"&lt;"&amp;$J677+7))</f>
        <v/>
      </c>
      <c r="E677">
        <f>IF($J677="","",IFERROR(C677/(B677*40),0))</f>
        <v/>
      </c>
      <c r="F677">
        <f>IF($J677="","",0)</f>
        <v/>
      </c>
      <c r="G677">
        <f>IF($J677="","",SUMIFS('Hours Log'!$E:$E,'Hours Log'!$A:$A,"&gt;="&amp;$J677,'Hours Log'!$A:$A,"&lt;"&amp;$J677+7))</f>
        <v/>
      </c>
      <c r="J677">
        <f>IF(COUNT('Hours Log'!$A$4:$A$5000)=0,"",IF(MIN('Hours Log'!$A$4:$A$5000)+7*(ROW()-10)&gt;MAX('Hours Log'!$A$4:$A$5000),"",MIN('Hours Log'!$A$4:$A$5000)+7*(ROW()-10)))</f>
        <v/>
      </c>
    </row>
    <row r="678">
      <c r="A678">
        <f>IF($J678="","",YEAR($J678-WEEKDAY($J678,2)+4)&amp;"-W"&amp;TEXT(WEEKNUM($J678,21),"00"))</f>
        <v/>
      </c>
      <c r="B678" s="41">
        <f>IF($J678="","",COUNTIFS(Roster!$D$4:$D$500,"Active",Roster!$C$4:$C$500,"&lt;="&amp;$J678))</f>
        <v/>
      </c>
      <c r="C678">
        <f>IF($J678="","",SUMIFS('Hours Log'!$C:$C,'Hours Log'!$A:$A,"&gt;="&amp;$J678,'Hours Log'!$A:$A,"&lt;"&amp;$J678+7)+SUMIFS('Hours Log'!$D:$D,'Hours Log'!$A:$A,"&gt;="&amp;$J678,'Hours Log'!$A:$A,"&lt;"&amp;$J678+7))</f>
        <v/>
      </c>
      <c r="D678">
        <f>IF($J678="","",SUMIFS('Hours Log'!$D:$D,'Hours Log'!$A:$A,"&gt;="&amp;$J678,'Hours Log'!$A:$A,"&lt;"&amp;$J678+7))</f>
        <v/>
      </c>
      <c r="E678">
        <f>IF($J678="","",IFERROR(C678/(B678*40),0))</f>
        <v/>
      </c>
      <c r="F678">
        <f>IF($J678="","",0)</f>
        <v/>
      </c>
      <c r="G678">
        <f>IF($J678="","",SUMIFS('Hours Log'!$E:$E,'Hours Log'!$A:$A,"&gt;="&amp;$J678,'Hours Log'!$A:$A,"&lt;"&amp;$J678+7))</f>
        <v/>
      </c>
      <c r="J678">
        <f>IF(COUNT('Hours Log'!$A$4:$A$5000)=0,"",IF(MIN('Hours Log'!$A$4:$A$5000)+7*(ROW()-10)&gt;MAX('Hours Log'!$A$4:$A$5000),"",MIN('Hours Log'!$A$4:$A$5000)+7*(ROW()-10)))</f>
        <v/>
      </c>
    </row>
    <row r="679">
      <c r="A679">
        <f>IF($J679="","",YEAR($J679-WEEKDAY($J679,2)+4)&amp;"-W"&amp;TEXT(WEEKNUM($J679,21),"00"))</f>
        <v/>
      </c>
      <c r="B679" s="41">
        <f>IF($J679="","",COUNTIFS(Roster!$D$4:$D$500,"Active",Roster!$C$4:$C$500,"&lt;="&amp;$J679))</f>
        <v/>
      </c>
      <c r="C679">
        <f>IF($J679="","",SUMIFS('Hours Log'!$C:$C,'Hours Log'!$A:$A,"&gt;="&amp;$J679,'Hours Log'!$A:$A,"&lt;"&amp;$J679+7)+SUMIFS('Hours Log'!$D:$D,'Hours Log'!$A:$A,"&gt;="&amp;$J679,'Hours Log'!$A:$A,"&lt;"&amp;$J679+7))</f>
        <v/>
      </c>
      <c r="D679">
        <f>IF($J679="","",SUMIFS('Hours Log'!$D:$D,'Hours Log'!$A:$A,"&gt;="&amp;$J679,'Hours Log'!$A:$A,"&lt;"&amp;$J679+7))</f>
        <v/>
      </c>
      <c r="E679">
        <f>IF($J679="","",IFERROR(C679/(B679*40),0))</f>
        <v/>
      </c>
      <c r="F679">
        <f>IF($J679="","",0)</f>
        <v/>
      </c>
      <c r="G679">
        <f>IF($J679="","",SUMIFS('Hours Log'!$E:$E,'Hours Log'!$A:$A,"&gt;="&amp;$J679,'Hours Log'!$A:$A,"&lt;"&amp;$J679+7))</f>
        <v/>
      </c>
      <c r="J679">
        <f>IF(COUNT('Hours Log'!$A$4:$A$5000)=0,"",IF(MIN('Hours Log'!$A$4:$A$5000)+7*(ROW()-10)&gt;MAX('Hours Log'!$A$4:$A$5000),"",MIN('Hours Log'!$A$4:$A$5000)+7*(ROW()-10)))</f>
        <v/>
      </c>
    </row>
    <row r="680">
      <c r="A680">
        <f>IF($J680="","",YEAR($J680-WEEKDAY($J680,2)+4)&amp;"-W"&amp;TEXT(WEEKNUM($J680,21),"00"))</f>
        <v/>
      </c>
      <c r="B680" s="41">
        <f>IF($J680="","",COUNTIFS(Roster!$D$4:$D$500,"Active",Roster!$C$4:$C$500,"&lt;="&amp;$J680))</f>
        <v/>
      </c>
      <c r="C680">
        <f>IF($J680="","",SUMIFS('Hours Log'!$C:$C,'Hours Log'!$A:$A,"&gt;="&amp;$J680,'Hours Log'!$A:$A,"&lt;"&amp;$J680+7)+SUMIFS('Hours Log'!$D:$D,'Hours Log'!$A:$A,"&gt;="&amp;$J680,'Hours Log'!$A:$A,"&lt;"&amp;$J680+7))</f>
        <v/>
      </c>
      <c r="D680">
        <f>IF($J680="","",SUMIFS('Hours Log'!$D:$D,'Hours Log'!$A:$A,"&gt;="&amp;$J680,'Hours Log'!$A:$A,"&lt;"&amp;$J680+7))</f>
        <v/>
      </c>
      <c r="E680">
        <f>IF($J680="","",IFERROR(C680/(B680*40),0))</f>
        <v/>
      </c>
      <c r="F680">
        <f>IF($J680="","",0)</f>
        <v/>
      </c>
      <c r="G680">
        <f>IF($J680="","",SUMIFS('Hours Log'!$E:$E,'Hours Log'!$A:$A,"&gt;="&amp;$J680,'Hours Log'!$A:$A,"&lt;"&amp;$J680+7))</f>
        <v/>
      </c>
      <c r="J680">
        <f>IF(COUNT('Hours Log'!$A$4:$A$5000)=0,"",IF(MIN('Hours Log'!$A$4:$A$5000)+7*(ROW()-10)&gt;MAX('Hours Log'!$A$4:$A$5000),"",MIN('Hours Log'!$A$4:$A$5000)+7*(ROW()-10)))</f>
        <v/>
      </c>
    </row>
    <row r="681">
      <c r="A681">
        <f>IF($J681="","",YEAR($J681-WEEKDAY($J681,2)+4)&amp;"-W"&amp;TEXT(WEEKNUM($J681,21),"00"))</f>
        <v/>
      </c>
      <c r="B681" s="41">
        <f>IF($J681="","",COUNTIFS(Roster!$D$4:$D$500,"Active",Roster!$C$4:$C$500,"&lt;="&amp;$J681))</f>
        <v/>
      </c>
      <c r="C681">
        <f>IF($J681="","",SUMIFS('Hours Log'!$C:$C,'Hours Log'!$A:$A,"&gt;="&amp;$J681,'Hours Log'!$A:$A,"&lt;"&amp;$J681+7)+SUMIFS('Hours Log'!$D:$D,'Hours Log'!$A:$A,"&gt;="&amp;$J681,'Hours Log'!$A:$A,"&lt;"&amp;$J681+7))</f>
        <v/>
      </c>
      <c r="D681">
        <f>IF($J681="","",SUMIFS('Hours Log'!$D:$D,'Hours Log'!$A:$A,"&gt;="&amp;$J681,'Hours Log'!$A:$A,"&lt;"&amp;$J681+7))</f>
        <v/>
      </c>
      <c r="E681">
        <f>IF($J681="","",IFERROR(C681/(B681*40),0))</f>
        <v/>
      </c>
      <c r="F681">
        <f>IF($J681="","",0)</f>
        <v/>
      </c>
      <c r="G681">
        <f>IF($J681="","",SUMIFS('Hours Log'!$E:$E,'Hours Log'!$A:$A,"&gt;="&amp;$J681,'Hours Log'!$A:$A,"&lt;"&amp;$J681+7))</f>
        <v/>
      </c>
      <c r="J681">
        <f>IF(COUNT('Hours Log'!$A$4:$A$5000)=0,"",IF(MIN('Hours Log'!$A$4:$A$5000)+7*(ROW()-10)&gt;MAX('Hours Log'!$A$4:$A$5000),"",MIN('Hours Log'!$A$4:$A$5000)+7*(ROW()-10)))</f>
        <v/>
      </c>
    </row>
    <row r="682">
      <c r="A682">
        <f>IF($J682="","",YEAR($J682-WEEKDAY($J682,2)+4)&amp;"-W"&amp;TEXT(WEEKNUM($J682,21),"00"))</f>
        <v/>
      </c>
      <c r="B682" s="41">
        <f>IF($J682="","",COUNTIFS(Roster!$D$4:$D$500,"Active",Roster!$C$4:$C$500,"&lt;="&amp;$J682))</f>
        <v/>
      </c>
      <c r="C682">
        <f>IF($J682="","",SUMIFS('Hours Log'!$C:$C,'Hours Log'!$A:$A,"&gt;="&amp;$J682,'Hours Log'!$A:$A,"&lt;"&amp;$J682+7)+SUMIFS('Hours Log'!$D:$D,'Hours Log'!$A:$A,"&gt;="&amp;$J682,'Hours Log'!$A:$A,"&lt;"&amp;$J682+7))</f>
        <v/>
      </c>
      <c r="D682">
        <f>IF($J682="","",SUMIFS('Hours Log'!$D:$D,'Hours Log'!$A:$A,"&gt;="&amp;$J682,'Hours Log'!$A:$A,"&lt;"&amp;$J682+7))</f>
        <v/>
      </c>
      <c r="E682">
        <f>IF($J682="","",IFERROR(C682/(B682*40),0))</f>
        <v/>
      </c>
      <c r="F682">
        <f>IF($J682="","",0)</f>
        <v/>
      </c>
      <c r="G682">
        <f>IF($J682="","",SUMIFS('Hours Log'!$E:$E,'Hours Log'!$A:$A,"&gt;="&amp;$J682,'Hours Log'!$A:$A,"&lt;"&amp;$J682+7))</f>
        <v/>
      </c>
      <c r="J682">
        <f>IF(COUNT('Hours Log'!$A$4:$A$5000)=0,"",IF(MIN('Hours Log'!$A$4:$A$5000)+7*(ROW()-10)&gt;MAX('Hours Log'!$A$4:$A$5000),"",MIN('Hours Log'!$A$4:$A$5000)+7*(ROW()-10)))</f>
        <v/>
      </c>
    </row>
    <row r="683">
      <c r="A683">
        <f>IF($J683="","",YEAR($J683-WEEKDAY($J683,2)+4)&amp;"-W"&amp;TEXT(WEEKNUM($J683,21),"00"))</f>
        <v/>
      </c>
      <c r="B683" s="41">
        <f>IF($J683="","",COUNTIFS(Roster!$D$4:$D$500,"Active",Roster!$C$4:$C$500,"&lt;="&amp;$J683))</f>
        <v/>
      </c>
      <c r="C683">
        <f>IF($J683="","",SUMIFS('Hours Log'!$C:$C,'Hours Log'!$A:$A,"&gt;="&amp;$J683,'Hours Log'!$A:$A,"&lt;"&amp;$J683+7)+SUMIFS('Hours Log'!$D:$D,'Hours Log'!$A:$A,"&gt;="&amp;$J683,'Hours Log'!$A:$A,"&lt;"&amp;$J683+7))</f>
        <v/>
      </c>
      <c r="D683">
        <f>IF($J683="","",SUMIFS('Hours Log'!$D:$D,'Hours Log'!$A:$A,"&gt;="&amp;$J683,'Hours Log'!$A:$A,"&lt;"&amp;$J683+7))</f>
        <v/>
      </c>
      <c r="E683">
        <f>IF($J683="","",IFERROR(C683/(B683*40),0))</f>
        <v/>
      </c>
      <c r="F683">
        <f>IF($J683="","",0)</f>
        <v/>
      </c>
      <c r="G683">
        <f>IF($J683="","",SUMIFS('Hours Log'!$E:$E,'Hours Log'!$A:$A,"&gt;="&amp;$J683,'Hours Log'!$A:$A,"&lt;"&amp;$J683+7))</f>
        <v/>
      </c>
      <c r="J683">
        <f>IF(COUNT('Hours Log'!$A$4:$A$5000)=0,"",IF(MIN('Hours Log'!$A$4:$A$5000)+7*(ROW()-10)&gt;MAX('Hours Log'!$A$4:$A$5000),"",MIN('Hours Log'!$A$4:$A$5000)+7*(ROW()-10)))</f>
        <v/>
      </c>
    </row>
    <row r="684">
      <c r="A684">
        <f>IF($J684="","",YEAR($J684-WEEKDAY($J684,2)+4)&amp;"-W"&amp;TEXT(WEEKNUM($J684,21),"00"))</f>
        <v/>
      </c>
      <c r="B684" s="41">
        <f>IF($J684="","",COUNTIFS(Roster!$D$4:$D$500,"Active",Roster!$C$4:$C$500,"&lt;="&amp;$J684))</f>
        <v/>
      </c>
      <c r="C684">
        <f>IF($J684="","",SUMIFS('Hours Log'!$C:$C,'Hours Log'!$A:$A,"&gt;="&amp;$J684,'Hours Log'!$A:$A,"&lt;"&amp;$J684+7)+SUMIFS('Hours Log'!$D:$D,'Hours Log'!$A:$A,"&gt;="&amp;$J684,'Hours Log'!$A:$A,"&lt;"&amp;$J684+7))</f>
        <v/>
      </c>
      <c r="D684">
        <f>IF($J684="","",SUMIFS('Hours Log'!$D:$D,'Hours Log'!$A:$A,"&gt;="&amp;$J684,'Hours Log'!$A:$A,"&lt;"&amp;$J684+7))</f>
        <v/>
      </c>
      <c r="E684">
        <f>IF($J684="","",IFERROR(C684/(B684*40),0))</f>
        <v/>
      </c>
      <c r="F684">
        <f>IF($J684="","",0)</f>
        <v/>
      </c>
      <c r="G684">
        <f>IF($J684="","",SUMIFS('Hours Log'!$E:$E,'Hours Log'!$A:$A,"&gt;="&amp;$J684,'Hours Log'!$A:$A,"&lt;"&amp;$J684+7))</f>
        <v/>
      </c>
      <c r="J684">
        <f>IF(COUNT('Hours Log'!$A$4:$A$5000)=0,"",IF(MIN('Hours Log'!$A$4:$A$5000)+7*(ROW()-10)&gt;MAX('Hours Log'!$A$4:$A$5000),"",MIN('Hours Log'!$A$4:$A$5000)+7*(ROW()-10)))</f>
        <v/>
      </c>
    </row>
    <row r="685">
      <c r="A685">
        <f>IF($J685="","",YEAR($J685-WEEKDAY($J685,2)+4)&amp;"-W"&amp;TEXT(WEEKNUM($J685,21),"00"))</f>
        <v/>
      </c>
      <c r="B685" s="41">
        <f>IF($J685="","",COUNTIFS(Roster!$D$4:$D$500,"Active",Roster!$C$4:$C$500,"&lt;="&amp;$J685))</f>
        <v/>
      </c>
      <c r="C685">
        <f>IF($J685="","",SUMIFS('Hours Log'!$C:$C,'Hours Log'!$A:$A,"&gt;="&amp;$J685,'Hours Log'!$A:$A,"&lt;"&amp;$J685+7)+SUMIFS('Hours Log'!$D:$D,'Hours Log'!$A:$A,"&gt;="&amp;$J685,'Hours Log'!$A:$A,"&lt;"&amp;$J685+7))</f>
        <v/>
      </c>
      <c r="D685">
        <f>IF($J685="","",SUMIFS('Hours Log'!$D:$D,'Hours Log'!$A:$A,"&gt;="&amp;$J685,'Hours Log'!$A:$A,"&lt;"&amp;$J685+7))</f>
        <v/>
      </c>
      <c r="E685">
        <f>IF($J685="","",IFERROR(C685/(B685*40),0))</f>
        <v/>
      </c>
      <c r="F685">
        <f>IF($J685="","",0)</f>
        <v/>
      </c>
      <c r="G685">
        <f>IF($J685="","",SUMIFS('Hours Log'!$E:$E,'Hours Log'!$A:$A,"&gt;="&amp;$J685,'Hours Log'!$A:$A,"&lt;"&amp;$J685+7))</f>
        <v/>
      </c>
      <c r="J685">
        <f>IF(COUNT('Hours Log'!$A$4:$A$5000)=0,"",IF(MIN('Hours Log'!$A$4:$A$5000)+7*(ROW()-10)&gt;MAX('Hours Log'!$A$4:$A$5000),"",MIN('Hours Log'!$A$4:$A$5000)+7*(ROW()-10)))</f>
        <v/>
      </c>
    </row>
    <row r="686">
      <c r="A686">
        <f>IF($J686="","",YEAR($J686-WEEKDAY($J686,2)+4)&amp;"-W"&amp;TEXT(WEEKNUM($J686,21),"00"))</f>
        <v/>
      </c>
      <c r="B686" s="41">
        <f>IF($J686="","",COUNTIFS(Roster!$D$4:$D$500,"Active",Roster!$C$4:$C$500,"&lt;="&amp;$J686))</f>
        <v/>
      </c>
      <c r="C686">
        <f>IF($J686="","",SUMIFS('Hours Log'!$C:$C,'Hours Log'!$A:$A,"&gt;="&amp;$J686,'Hours Log'!$A:$A,"&lt;"&amp;$J686+7)+SUMIFS('Hours Log'!$D:$D,'Hours Log'!$A:$A,"&gt;="&amp;$J686,'Hours Log'!$A:$A,"&lt;"&amp;$J686+7))</f>
        <v/>
      </c>
      <c r="D686">
        <f>IF($J686="","",SUMIFS('Hours Log'!$D:$D,'Hours Log'!$A:$A,"&gt;="&amp;$J686,'Hours Log'!$A:$A,"&lt;"&amp;$J686+7))</f>
        <v/>
      </c>
      <c r="E686">
        <f>IF($J686="","",IFERROR(C686/(B686*40),0))</f>
        <v/>
      </c>
      <c r="F686">
        <f>IF($J686="","",0)</f>
        <v/>
      </c>
      <c r="G686">
        <f>IF($J686="","",SUMIFS('Hours Log'!$E:$E,'Hours Log'!$A:$A,"&gt;="&amp;$J686,'Hours Log'!$A:$A,"&lt;"&amp;$J686+7))</f>
        <v/>
      </c>
      <c r="J686">
        <f>IF(COUNT('Hours Log'!$A$4:$A$5000)=0,"",IF(MIN('Hours Log'!$A$4:$A$5000)+7*(ROW()-10)&gt;MAX('Hours Log'!$A$4:$A$5000),"",MIN('Hours Log'!$A$4:$A$5000)+7*(ROW()-10)))</f>
        <v/>
      </c>
    </row>
    <row r="687">
      <c r="A687">
        <f>IF($J687="","",YEAR($J687-WEEKDAY($J687,2)+4)&amp;"-W"&amp;TEXT(WEEKNUM($J687,21),"00"))</f>
        <v/>
      </c>
      <c r="B687" s="41">
        <f>IF($J687="","",COUNTIFS(Roster!$D$4:$D$500,"Active",Roster!$C$4:$C$500,"&lt;="&amp;$J687))</f>
        <v/>
      </c>
      <c r="C687">
        <f>IF($J687="","",SUMIFS('Hours Log'!$C:$C,'Hours Log'!$A:$A,"&gt;="&amp;$J687,'Hours Log'!$A:$A,"&lt;"&amp;$J687+7)+SUMIFS('Hours Log'!$D:$D,'Hours Log'!$A:$A,"&gt;="&amp;$J687,'Hours Log'!$A:$A,"&lt;"&amp;$J687+7))</f>
        <v/>
      </c>
      <c r="D687">
        <f>IF($J687="","",SUMIFS('Hours Log'!$D:$D,'Hours Log'!$A:$A,"&gt;="&amp;$J687,'Hours Log'!$A:$A,"&lt;"&amp;$J687+7))</f>
        <v/>
      </c>
      <c r="E687">
        <f>IF($J687="","",IFERROR(C687/(B687*40),0))</f>
        <v/>
      </c>
      <c r="F687">
        <f>IF($J687="","",0)</f>
        <v/>
      </c>
      <c r="G687">
        <f>IF($J687="","",SUMIFS('Hours Log'!$E:$E,'Hours Log'!$A:$A,"&gt;="&amp;$J687,'Hours Log'!$A:$A,"&lt;"&amp;$J687+7))</f>
        <v/>
      </c>
      <c r="J687">
        <f>IF(COUNT('Hours Log'!$A$4:$A$5000)=0,"",IF(MIN('Hours Log'!$A$4:$A$5000)+7*(ROW()-10)&gt;MAX('Hours Log'!$A$4:$A$5000),"",MIN('Hours Log'!$A$4:$A$5000)+7*(ROW()-10)))</f>
        <v/>
      </c>
    </row>
    <row r="688">
      <c r="A688">
        <f>IF($J688="","",YEAR($J688-WEEKDAY($J688,2)+4)&amp;"-W"&amp;TEXT(WEEKNUM($J688,21),"00"))</f>
        <v/>
      </c>
      <c r="B688" s="41">
        <f>IF($J688="","",COUNTIFS(Roster!$D$4:$D$500,"Active",Roster!$C$4:$C$500,"&lt;="&amp;$J688))</f>
        <v/>
      </c>
      <c r="C688">
        <f>IF($J688="","",SUMIFS('Hours Log'!$C:$C,'Hours Log'!$A:$A,"&gt;="&amp;$J688,'Hours Log'!$A:$A,"&lt;"&amp;$J688+7)+SUMIFS('Hours Log'!$D:$D,'Hours Log'!$A:$A,"&gt;="&amp;$J688,'Hours Log'!$A:$A,"&lt;"&amp;$J688+7))</f>
        <v/>
      </c>
      <c r="D688">
        <f>IF($J688="","",SUMIFS('Hours Log'!$D:$D,'Hours Log'!$A:$A,"&gt;="&amp;$J688,'Hours Log'!$A:$A,"&lt;"&amp;$J688+7))</f>
        <v/>
      </c>
      <c r="E688">
        <f>IF($J688="","",IFERROR(C688/(B688*40),0))</f>
        <v/>
      </c>
      <c r="F688">
        <f>IF($J688="","",0)</f>
        <v/>
      </c>
      <c r="G688">
        <f>IF($J688="","",SUMIFS('Hours Log'!$E:$E,'Hours Log'!$A:$A,"&gt;="&amp;$J688,'Hours Log'!$A:$A,"&lt;"&amp;$J688+7))</f>
        <v/>
      </c>
      <c r="J688">
        <f>IF(COUNT('Hours Log'!$A$4:$A$5000)=0,"",IF(MIN('Hours Log'!$A$4:$A$5000)+7*(ROW()-10)&gt;MAX('Hours Log'!$A$4:$A$5000),"",MIN('Hours Log'!$A$4:$A$5000)+7*(ROW()-10)))</f>
        <v/>
      </c>
    </row>
    <row r="689">
      <c r="A689">
        <f>IF($J689="","",YEAR($J689-WEEKDAY($J689,2)+4)&amp;"-W"&amp;TEXT(WEEKNUM($J689,21),"00"))</f>
        <v/>
      </c>
      <c r="B689" s="41">
        <f>IF($J689="","",COUNTIFS(Roster!$D$4:$D$500,"Active",Roster!$C$4:$C$500,"&lt;="&amp;$J689))</f>
        <v/>
      </c>
      <c r="C689">
        <f>IF($J689="","",SUMIFS('Hours Log'!$C:$C,'Hours Log'!$A:$A,"&gt;="&amp;$J689,'Hours Log'!$A:$A,"&lt;"&amp;$J689+7)+SUMIFS('Hours Log'!$D:$D,'Hours Log'!$A:$A,"&gt;="&amp;$J689,'Hours Log'!$A:$A,"&lt;"&amp;$J689+7))</f>
        <v/>
      </c>
      <c r="D689">
        <f>IF($J689="","",SUMIFS('Hours Log'!$D:$D,'Hours Log'!$A:$A,"&gt;="&amp;$J689,'Hours Log'!$A:$A,"&lt;"&amp;$J689+7))</f>
        <v/>
      </c>
      <c r="E689">
        <f>IF($J689="","",IFERROR(C689/(B689*40),0))</f>
        <v/>
      </c>
      <c r="F689">
        <f>IF($J689="","",0)</f>
        <v/>
      </c>
      <c r="G689">
        <f>IF($J689="","",SUMIFS('Hours Log'!$E:$E,'Hours Log'!$A:$A,"&gt;="&amp;$J689,'Hours Log'!$A:$A,"&lt;"&amp;$J689+7))</f>
        <v/>
      </c>
      <c r="J689">
        <f>IF(COUNT('Hours Log'!$A$4:$A$5000)=0,"",IF(MIN('Hours Log'!$A$4:$A$5000)+7*(ROW()-10)&gt;MAX('Hours Log'!$A$4:$A$5000),"",MIN('Hours Log'!$A$4:$A$5000)+7*(ROW()-10)))</f>
        <v/>
      </c>
    </row>
    <row r="690">
      <c r="A690">
        <f>IF($J690="","",YEAR($J690-WEEKDAY($J690,2)+4)&amp;"-W"&amp;TEXT(WEEKNUM($J690,21),"00"))</f>
        <v/>
      </c>
      <c r="B690" s="41">
        <f>IF($J690="","",COUNTIFS(Roster!$D$4:$D$500,"Active",Roster!$C$4:$C$500,"&lt;="&amp;$J690))</f>
        <v/>
      </c>
      <c r="C690">
        <f>IF($J690="","",SUMIFS('Hours Log'!$C:$C,'Hours Log'!$A:$A,"&gt;="&amp;$J690,'Hours Log'!$A:$A,"&lt;"&amp;$J690+7)+SUMIFS('Hours Log'!$D:$D,'Hours Log'!$A:$A,"&gt;="&amp;$J690,'Hours Log'!$A:$A,"&lt;"&amp;$J690+7))</f>
        <v/>
      </c>
      <c r="D690">
        <f>IF($J690="","",SUMIFS('Hours Log'!$D:$D,'Hours Log'!$A:$A,"&gt;="&amp;$J690,'Hours Log'!$A:$A,"&lt;"&amp;$J690+7))</f>
        <v/>
      </c>
      <c r="E690">
        <f>IF($J690="","",IFERROR(C690/(B690*40),0))</f>
        <v/>
      </c>
      <c r="F690">
        <f>IF($J690="","",0)</f>
        <v/>
      </c>
      <c r="G690">
        <f>IF($J690="","",SUMIFS('Hours Log'!$E:$E,'Hours Log'!$A:$A,"&gt;="&amp;$J690,'Hours Log'!$A:$A,"&lt;"&amp;$J690+7))</f>
        <v/>
      </c>
      <c r="J690">
        <f>IF(COUNT('Hours Log'!$A$4:$A$5000)=0,"",IF(MIN('Hours Log'!$A$4:$A$5000)+7*(ROW()-10)&gt;MAX('Hours Log'!$A$4:$A$5000),"",MIN('Hours Log'!$A$4:$A$5000)+7*(ROW()-10)))</f>
        <v/>
      </c>
    </row>
    <row r="691">
      <c r="A691">
        <f>IF($J691="","",YEAR($J691-WEEKDAY($J691,2)+4)&amp;"-W"&amp;TEXT(WEEKNUM($J691,21),"00"))</f>
        <v/>
      </c>
      <c r="B691" s="41">
        <f>IF($J691="","",COUNTIFS(Roster!$D$4:$D$500,"Active",Roster!$C$4:$C$500,"&lt;="&amp;$J691))</f>
        <v/>
      </c>
      <c r="C691">
        <f>IF($J691="","",SUMIFS('Hours Log'!$C:$C,'Hours Log'!$A:$A,"&gt;="&amp;$J691,'Hours Log'!$A:$A,"&lt;"&amp;$J691+7)+SUMIFS('Hours Log'!$D:$D,'Hours Log'!$A:$A,"&gt;="&amp;$J691,'Hours Log'!$A:$A,"&lt;"&amp;$J691+7))</f>
        <v/>
      </c>
      <c r="D691">
        <f>IF($J691="","",SUMIFS('Hours Log'!$D:$D,'Hours Log'!$A:$A,"&gt;="&amp;$J691,'Hours Log'!$A:$A,"&lt;"&amp;$J691+7))</f>
        <v/>
      </c>
      <c r="E691">
        <f>IF($J691="","",IFERROR(C691/(B691*40),0))</f>
        <v/>
      </c>
      <c r="F691">
        <f>IF($J691="","",0)</f>
        <v/>
      </c>
      <c r="G691">
        <f>IF($J691="","",SUMIFS('Hours Log'!$E:$E,'Hours Log'!$A:$A,"&gt;="&amp;$J691,'Hours Log'!$A:$A,"&lt;"&amp;$J691+7))</f>
        <v/>
      </c>
      <c r="J691">
        <f>IF(COUNT('Hours Log'!$A$4:$A$5000)=0,"",IF(MIN('Hours Log'!$A$4:$A$5000)+7*(ROW()-10)&gt;MAX('Hours Log'!$A$4:$A$5000),"",MIN('Hours Log'!$A$4:$A$5000)+7*(ROW()-10)))</f>
        <v/>
      </c>
    </row>
    <row r="692">
      <c r="A692">
        <f>IF($J692="","",YEAR($J692-WEEKDAY($J692,2)+4)&amp;"-W"&amp;TEXT(WEEKNUM($J692,21),"00"))</f>
        <v/>
      </c>
      <c r="B692" s="41">
        <f>IF($J692="","",COUNTIFS(Roster!$D$4:$D$500,"Active",Roster!$C$4:$C$500,"&lt;="&amp;$J692))</f>
        <v/>
      </c>
      <c r="C692">
        <f>IF($J692="","",SUMIFS('Hours Log'!$C:$C,'Hours Log'!$A:$A,"&gt;="&amp;$J692,'Hours Log'!$A:$A,"&lt;"&amp;$J692+7)+SUMIFS('Hours Log'!$D:$D,'Hours Log'!$A:$A,"&gt;="&amp;$J692,'Hours Log'!$A:$A,"&lt;"&amp;$J692+7))</f>
        <v/>
      </c>
      <c r="D692">
        <f>IF($J692="","",SUMIFS('Hours Log'!$D:$D,'Hours Log'!$A:$A,"&gt;="&amp;$J692,'Hours Log'!$A:$A,"&lt;"&amp;$J692+7))</f>
        <v/>
      </c>
      <c r="E692">
        <f>IF($J692="","",IFERROR(C692/(B692*40),0))</f>
        <v/>
      </c>
      <c r="F692">
        <f>IF($J692="","",0)</f>
        <v/>
      </c>
      <c r="G692">
        <f>IF($J692="","",SUMIFS('Hours Log'!$E:$E,'Hours Log'!$A:$A,"&gt;="&amp;$J692,'Hours Log'!$A:$A,"&lt;"&amp;$J692+7))</f>
        <v/>
      </c>
      <c r="J692">
        <f>IF(COUNT('Hours Log'!$A$4:$A$5000)=0,"",IF(MIN('Hours Log'!$A$4:$A$5000)+7*(ROW()-10)&gt;MAX('Hours Log'!$A$4:$A$5000),"",MIN('Hours Log'!$A$4:$A$5000)+7*(ROW()-10)))</f>
        <v/>
      </c>
    </row>
    <row r="693">
      <c r="A693">
        <f>IF($J693="","",YEAR($J693-WEEKDAY($J693,2)+4)&amp;"-W"&amp;TEXT(WEEKNUM($J693,21),"00"))</f>
        <v/>
      </c>
      <c r="B693" s="41">
        <f>IF($J693="","",COUNTIFS(Roster!$D$4:$D$500,"Active",Roster!$C$4:$C$500,"&lt;="&amp;$J693))</f>
        <v/>
      </c>
      <c r="C693">
        <f>IF($J693="","",SUMIFS('Hours Log'!$C:$C,'Hours Log'!$A:$A,"&gt;="&amp;$J693,'Hours Log'!$A:$A,"&lt;"&amp;$J693+7)+SUMIFS('Hours Log'!$D:$D,'Hours Log'!$A:$A,"&gt;="&amp;$J693,'Hours Log'!$A:$A,"&lt;"&amp;$J693+7))</f>
        <v/>
      </c>
      <c r="D693">
        <f>IF($J693="","",SUMIFS('Hours Log'!$D:$D,'Hours Log'!$A:$A,"&gt;="&amp;$J693,'Hours Log'!$A:$A,"&lt;"&amp;$J693+7))</f>
        <v/>
      </c>
      <c r="E693">
        <f>IF($J693="","",IFERROR(C693/(B693*40),0))</f>
        <v/>
      </c>
      <c r="F693">
        <f>IF($J693="","",0)</f>
        <v/>
      </c>
      <c r="G693">
        <f>IF($J693="","",SUMIFS('Hours Log'!$E:$E,'Hours Log'!$A:$A,"&gt;="&amp;$J693,'Hours Log'!$A:$A,"&lt;"&amp;$J693+7))</f>
        <v/>
      </c>
      <c r="J693">
        <f>IF(COUNT('Hours Log'!$A$4:$A$5000)=0,"",IF(MIN('Hours Log'!$A$4:$A$5000)+7*(ROW()-10)&gt;MAX('Hours Log'!$A$4:$A$5000),"",MIN('Hours Log'!$A$4:$A$5000)+7*(ROW()-10)))</f>
        <v/>
      </c>
    </row>
    <row r="694">
      <c r="A694">
        <f>IF($J694="","",YEAR($J694-WEEKDAY($J694,2)+4)&amp;"-W"&amp;TEXT(WEEKNUM($J694,21),"00"))</f>
        <v/>
      </c>
      <c r="B694" s="41">
        <f>IF($J694="","",COUNTIFS(Roster!$D$4:$D$500,"Active",Roster!$C$4:$C$500,"&lt;="&amp;$J694))</f>
        <v/>
      </c>
      <c r="C694">
        <f>IF($J694="","",SUMIFS('Hours Log'!$C:$C,'Hours Log'!$A:$A,"&gt;="&amp;$J694,'Hours Log'!$A:$A,"&lt;"&amp;$J694+7)+SUMIFS('Hours Log'!$D:$D,'Hours Log'!$A:$A,"&gt;="&amp;$J694,'Hours Log'!$A:$A,"&lt;"&amp;$J694+7))</f>
        <v/>
      </c>
      <c r="D694">
        <f>IF($J694="","",SUMIFS('Hours Log'!$D:$D,'Hours Log'!$A:$A,"&gt;="&amp;$J694,'Hours Log'!$A:$A,"&lt;"&amp;$J694+7))</f>
        <v/>
      </c>
      <c r="E694">
        <f>IF($J694="","",IFERROR(C694/(B694*40),0))</f>
        <v/>
      </c>
      <c r="F694">
        <f>IF($J694="","",0)</f>
        <v/>
      </c>
      <c r="G694">
        <f>IF($J694="","",SUMIFS('Hours Log'!$E:$E,'Hours Log'!$A:$A,"&gt;="&amp;$J694,'Hours Log'!$A:$A,"&lt;"&amp;$J694+7))</f>
        <v/>
      </c>
      <c r="J694">
        <f>IF(COUNT('Hours Log'!$A$4:$A$5000)=0,"",IF(MIN('Hours Log'!$A$4:$A$5000)+7*(ROW()-10)&gt;MAX('Hours Log'!$A$4:$A$5000),"",MIN('Hours Log'!$A$4:$A$5000)+7*(ROW()-10)))</f>
        <v/>
      </c>
    </row>
    <row r="695">
      <c r="A695">
        <f>IF($J695="","",YEAR($J695-WEEKDAY($J695,2)+4)&amp;"-W"&amp;TEXT(WEEKNUM($J695,21),"00"))</f>
        <v/>
      </c>
      <c r="B695" s="41">
        <f>IF($J695="","",COUNTIFS(Roster!$D$4:$D$500,"Active",Roster!$C$4:$C$500,"&lt;="&amp;$J695))</f>
        <v/>
      </c>
      <c r="C695">
        <f>IF($J695="","",SUMIFS('Hours Log'!$C:$C,'Hours Log'!$A:$A,"&gt;="&amp;$J695,'Hours Log'!$A:$A,"&lt;"&amp;$J695+7)+SUMIFS('Hours Log'!$D:$D,'Hours Log'!$A:$A,"&gt;="&amp;$J695,'Hours Log'!$A:$A,"&lt;"&amp;$J695+7))</f>
        <v/>
      </c>
      <c r="D695">
        <f>IF($J695="","",SUMIFS('Hours Log'!$D:$D,'Hours Log'!$A:$A,"&gt;="&amp;$J695,'Hours Log'!$A:$A,"&lt;"&amp;$J695+7))</f>
        <v/>
      </c>
      <c r="E695">
        <f>IF($J695="","",IFERROR(C695/(B695*40),0))</f>
        <v/>
      </c>
      <c r="F695">
        <f>IF($J695="","",0)</f>
        <v/>
      </c>
      <c r="G695">
        <f>IF($J695="","",SUMIFS('Hours Log'!$E:$E,'Hours Log'!$A:$A,"&gt;="&amp;$J695,'Hours Log'!$A:$A,"&lt;"&amp;$J695+7))</f>
        <v/>
      </c>
      <c r="J695">
        <f>IF(COUNT('Hours Log'!$A$4:$A$5000)=0,"",IF(MIN('Hours Log'!$A$4:$A$5000)+7*(ROW()-10)&gt;MAX('Hours Log'!$A$4:$A$5000),"",MIN('Hours Log'!$A$4:$A$5000)+7*(ROW()-10)))</f>
        <v/>
      </c>
    </row>
    <row r="696">
      <c r="A696">
        <f>IF($J696="","",YEAR($J696-WEEKDAY($J696,2)+4)&amp;"-W"&amp;TEXT(WEEKNUM($J696,21),"00"))</f>
        <v/>
      </c>
      <c r="B696" s="41">
        <f>IF($J696="","",COUNTIFS(Roster!$D$4:$D$500,"Active",Roster!$C$4:$C$500,"&lt;="&amp;$J696))</f>
        <v/>
      </c>
      <c r="C696">
        <f>IF($J696="","",SUMIFS('Hours Log'!$C:$C,'Hours Log'!$A:$A,"&gt;="&amp;$J696,'Hours Log'!$A:$A,"&lt;"&amp;$J696+7)+SUMIFS('Hours Log'!$D:$D,'Hours Log'!$A:$A,"&gt;="&amp;$J696,'Hours Log'!$A:$A,"&lt;"&amp;$J696+7))</f>
        <v/>
      </c>
      <c r="D696">
        <f>IF($J696="","",SUMIFS('Hours Log'!$D:$D,'Hours Log'!$A:$A,"&gt;="&amp;$J696,'Hours Log'!$A:$A,"&lt;"&amp;$J696+7))</f>
        <v/>
      </c>
      <c r="E696">
        <f>IF($J696="","",IFERROR(C696/(B696*40),0))</f>
        <v/>
      </c>
      <c r="F696">
        <f>IF($J696="","",0)</f>
        <v/>
      </c>
      <c r="G696">
        <f>IF($J696="","",SUMIFS('Hours Log'!$E:$E,'Hours Log'!$A:$A,"&gt;="&amp;$J696,'Hours Log'!$A:$A,"&lt;"&amp;$J696+7))</f>
        <v/>
      </c>
      <c r="J696">
        <f>IF(COUNT('Hours Log'!$A$4:$A$5000)=0,"",IF(MIN('Hours Log'!$A$4:$A$5000)+7*(ROW()-10)&gt;MAX('Hours Log'!$A$4:$A$5000),"",MIN('Hours Log'!$A$4:$A$5000)+7*(ROW()-10)))</f>
        <v/>
      </c>
    </row>
    <row r="697">
      <c r="A697">
        <f>IF($J697="","",YEAR($J697-WEEKDAY($J697,2)+4)&amp;"-W"&amp;TEXT(WEEKNUM($J697,21),"00"))</f>
        <v/>
      </c>
      <c r="B697" s="41">
        <f>IF($J697="","",COUNTIFS(Roster!$D$4:$D$500,"Active",Roster!$C$4:$C$500,"&lt;="&amp;$J697))</f>
        <v/>
      </c>
      <c r="C697">
        <f>IF($J697="","",SUMIFS('Hours Log'!$C:$C,'Hours Log'!$A:$A,"&gt;="&amp;$J697,'Hours Log'!$A:$A,"&lt;"&amp;$J697+7)+SUMIFS('Hours Log'!$D:$D,'Hours Log'!$A:$A,"&gt;="&amp;$J697,'Hours Log'!$A:$A,"&lt;"&amp;$J697+7))</f>
        <v/>
      </c>
      <c r="D697">
        <f>IF($J697="","",SUMIFS('Hours Log'!$D:$D,'Hours Log'!$A:$A,"&gt;="&amp;$J697,'Hours Log'!$A:$A,"&lt;"&amp;$J697+7))</f>
        <v/>
      </c>
      <c r="E697">
        <f>IF($J697="","",IFERROR(C697/(B697*40),0))</f>
        <v/>
      </c>
      <c r="F697">
        <f>IF($J697="","",0)</f>
        <v/>
      </c>
      <c r="G697">
        <f>IF($J697="","",SUMIFS('Hours Log'!$E:$E,'Hours Log'!$A:$A,"&gt;="&amp;$J697,'Hours Log'!$A:$A,"&lt;"&amp;$J697+7))</f>
        <v/>
      </c>
      <c r="J697">
        <f>IF(COUNT('Hours Log'!$A$4:$A$5000)=0,"",IF(MIN('Hours Log'!$A$4:$A$5000)+7*(ROW()-10)&gt;MAX('Hours Log'!$A$4:$A$5000),"",MIN('Hours Log'!$A$4:$A$5000)+7*(ROW()-10)))</f>
        <v/>
      </c>
    </row>
    <row r="698">
      <c r="A698">
        <f>IF($J698="","",YEAR($J698-WEEKDAY($J698,2)+4)&amp;"-W"&amp;TEXT(WEEKNUM($J698,21),"00"))</f>
        <v/>
      </c>
      <c r="B698" s="41">
        <f>IF($J698="","",COUNTIFS(Roster!$D$4:$D$500,"Active",Roster!$C$4:$C$500,"&lt;="&amp;$J698))</f>
        <v/>
      </c>
      <c r="C698">
        <f>IF($J698="","",SUMIFS('Hours Log'!$C:$C,'Hours Log'!$A:$A,"&gt;="&amp;$J698,'Hours Log'!$A:$A,"&lt;"&amp;$J698+7)+SUMIFS('Hours Log'!$D:$D,'Hours Log'!$A:$A,"&gt;="&amp;$J698,'Hours Log'!$A:$A,"&lt;"&amp;$J698+7))</f>
        <v/>
      </c>
      <c r="D698">
        <f>IF($J698="","",SUMIFS('Hours Log'!$D:$D,'Hours Log'!$A:$A,"&gt;="&amp;$J698,'Hours Log'!$A:$A,"&lt;"&amp;$J698+7))</f>
        <v/>
      </c>
      <c r="E698">
        <f>IF($J698="","",IFERROR(C698/(B698*40),0))</f>
        <v/>
      </c>
      <c r="F698">
        <f>IF($J698="","",0)</f>
        <v/>
      </c>
      <c r="G698">
        <f>IF($J698="","",SUMIFS('Hours Log'!$E:$E,'Hours Log'!$A:$A,"&gt;="&amp;$J698,'Hours Log'!$A:$A,"&lt;"&amp;$J698+7))</f>
        <v/>
      </c>
      <c r="J698">
        <f>IF(COUNT('Hours Log'!$A$4:$A$5000)=0,"",IF(MIN('Hours Log'!$A$4:$A$5000)+7*(ROW()-10)&gt;MAX('Hours Log'!$A$4:$A$5000),"",MIN('Hours Log'!$A$4:$A$5000)+7*(ROW()-10)))</f>
        <v/>
      </c>
    </row>
    <row r="699">
      <c r="A699">
        <f>IF($J699="","",YEAR($J699-WEEKDAY($J699,2)+4)&amp;"-W"&amp;TEXT(WEEKNUM($J699,21),"00"))</f>
        <v/>
      </c>
      <c r="B699" s="41">
        <f>IF($J699="","",COUNTIFS(Roster!$D$4:$D$500,"Active",Roster!$C$4:$C$500,"&lt;="&amp;$J699))</f>
        <v/>
      </c>
      <c r="C699">
        <f>IF($J699="","",SUMIFS('Hours Log'!$C:$C,'Hours Log'!$A:$A,"&gt;="&amp;$J699,'Hours Log'!$A:$A,"&lt;"&amp;$J699+7)+SUMIFS('Hours Log'!$D:$D,'Hours Log'!$A:$A,"&gt;="&amp;$J699,'Hours Log'!$A:$A,"&lt;"&amp;$J699+7))</f>
        <v/>
      </c>
      <c r="D699">
        <f>IF($J699="","",SUMIFS('Hours Log'!$D:$D,'Hours Log'!$A:$A,"&gt;="&amp;$J699,'Hours Log'!$A:$A,"&lt;"&amp;$J699+7))</f>
        <v/>
      </c>
      <c r="E699">
        <f>IF($J699="","",IFERROR(C699/(B699*40),0))</f>
        <v/>
      </c>
      <c r="F699">
        <f>IF($J699="","",0)</f>
        <v/>
      </c>
      <c r="G699">
        <f>IF($J699="","",SUMIFS('Hours Log'!$E:$E,'Hours Log'!$A:$A,"&gt;="&amp;$J699,'Hours Log'!$A:$A,"&lt;"&amp;$J699+7))</f>
        <v/>
      </c>
      <c r="J699">
        <f>IF(COUNT('Hours Log'!$A$4:$A$5000)=0,"",IF(MIN('Hours Log'!$A$4:$A$5000)+7*(ROW()-10)&gt;MAX('Hours Log'!$A$4:$A$5000),"",MIN('Hours Log'!$A$4:$A$5000)+7*(ROW()-10)))</f>
        <v/>
      </c>
    </row>
    <row r="700">
      <c r="A700">
        <f>IF($J700="","",YEAR($J700-WEEKDAY($J700,2)+4)&amp;"-W"&amp;TEXT(WEEKNUM($J700,21),"00"))</f>
        <v/>
      </c>
      <c r="B700" s="41">
        <f>IF($J700="","",COUNTIFS(Roster!$D$4:$D$500,"Active",Roster!$C$4:$C$500,"&lt;="&amp;$J700))</f>
        <v/>
      </c>
      <c r="C700">
        <f>IF($J700="","",SUMIFS('Hours Log'!$C:$C,'Hours Log'!$A:$A,"&gt;="&amp;$J700,'Hours Log'!$A:$A,"&lt;"&amp;$J700+7)+SUMIFS('Hours Log'!$D:$D,'Hours Log'!$A:$A,"&gt;="&amp;$J700,'Hours Log'!$A:$A,"&lt;"&amp;$J700+7))</f>
        <v/>
      </c>
      <c r="D700">
        <f>IF($J700="","",SUMIFS('Hours Log'!$D:$D,'Hours Log'!$A:$A,"&gt;="&amp;$J700,'Hours Log'!$A:$A,"&lt;"&amp;$J700+7))</f>
        <v/>
      </c>
      <c r="E700">
        <f>IF($J700="","",IFERROR(C700/(B700*40),0))</f>
        <v/>
      </c>
      <c r="F700">
        <f>IF($J700="","",0)</f>
        <v/>
      </c>
      <c r="G700">
        <f>IF($J700="","",SUMIFS('Hours Log'!$E:$E,'Hours Log'!$A:$A,"&gt;="&amp;$J700,'Hours Log'!$A:$A,"&lt;"&amp;$J700+7))</f>
        <v/>
      </c>
      <c r="J700">
        <f>IF(COUNT('Hours Log'!$A$4:$A$5000)=0,"",IF(MIN('Hours Log'!$A$4:$A$5000)+7*(ROW()-10)&gt;MAX('Hours Log'!$A$4:$A$5000),"",MIN('Hours Log'!$A$4:$A$5000)+7*(ROW()-10)))</f>
        <v/>
      </c>
    </row>
    <row r="701">
      <c r="A701">
        <f>IF($J701="","",YEAR($J701-WEEKDAY($J701,2)+4)&amp;"-W"&amp;TEXT(WEEKNUM($J701,21),"00"))</f>
        <v/>
      </c>
      <c r="B701" s="41">
        <f>IF($J701="","",COUNTIFS(Roster!$D$4:$D$500,"Active",Roster!$C$4:$C$500,"&lt;="&amp;$J701))</f>
        <v/>
      </c>
      <c r="C701">
        <f>IF($J701="","",SUMIFS('Hours Log'!$C:$C,'Hours Log'!$A:$A,"&gt;="&amp;$J701,'Hours Log'!$A:$A,"&lt;"&amp;$J701+7)+SUMIFS('Hours Log'!$D:$D,'Hours Log'!$A:$A,"&gt;="&amp;$J701,'Hours Log'!$A:$A,"&lt;"&amp;$J701+7))</f>
        <v/>
      </c>
      <c r="D701">
        <f>IF($J701="","",SUMIFS('Hours Log'!$D:$D,'Hours Log'!$A:$A,"&gt;="&amp;$J701,'Hours Log'!$A:$A,"&lt;"&amp;$J701+7))</f>
        <v/>
      </c>
      <c r="E701">
        <f>IF($J701="","",IFERROR(C701/(B701*40),0))</f>
        <v/>
      </c>
      <c r="F701">
        <f>IF($J701="","",0)</f>
        <v/>
      </c>
      <c r="G701">
        <f>IF($J701="","",SUMIFS('Hours Log'!$E:$E,'Hours Log'!$A:$A,"&gt;="&amp;$J701,'Hours Log'!$A:$A,"&lt;"&amp;$J701+7))</f>
        <v/>
      </c>
      <c r="J701">
        <f>IF(COUNT('Hours Log'!$A$4:$A$5000)=0,"",IF(MIN('Hours Log'!$A$4:$A$5000)+7*(ROW()-10)&gt;MAX('Hours Log'!$A$4:$A$5000),"",MIN('Hours Log'!$A$4:$A$5000)+7*(ROW()-10)))</f>
        <v/>
      </c>
    </row>
    <row r="702">
      <c r="A702">
        <f>IF($J702="","",YEAR($J702-WEEKDAY($J702,2)+4)&amp;"-W"&amp;TEXT(WEEKNUM($J702,21),"00"))</f>
        <v/>
      </c>
      <c r="B702" s="41">
        <f>IF($J702="","",COUNTIFS(Roster!$D$4:$D$500,"Active",Roster!$C$4:$C$500,"&lt;="&amp;$J702))</f>
        <v/>
      </c>
      <c r="C702">
        <f>IF($J702="","",SUMIFS('Hours Log'!$C:$C,'Hours Log'!$A:$A,"&gt;="&amp;$J702,'Hours Log'!$A:$A,"&lt;"&amp;$J702+7)+SUMIFS('Hours Log'!$D:$D,'Hours Log'!$A:$A,"&gt;="&amp;$J702,'Hours Log'!$A:$A,"&lt;"&amp;$J702+7))</f>
        <v/>
      </c>
      <c r="D702">
        <f>IF($J702="","",SUMIFS('Hours Log'!$D:$D,'Hours Log'!$A:$A,"&gt;="&amp;$J702,'Hours Log'!$A:$A,"&lt;"&amp;$J702+7))</f>
        <v/>
      </c>
      <c r="E702">
        <f>IF($J702="","",IFERROR(C702/(B702*40),0))</f>
        <v/>
      </c>
      <c r="F702">
        <f>IF($J702="","",0)</f>
        <v/>
      </c>
      <c r="G702">
        <f>IF($J702="","",SUMIFS('Hours Log'!$E:$E,'Hours Log'!$A:$A,"&gt;="&amp;$J702,'Hours Log'!$A:$A,"&lt;"&amp;$J702+7))</f>
        <v/>
      </c>
      <c r="J702">
        <f>IF(COUNT('Hours Log'!$A$4:$A$5000)=0,"",IF(MIN('Hours Log'!$A$4:$A$5000)+7*(ROW()-10)&gt;MAX('Hours Log'!$A$4:$A$5000),"",MIN('Hours Log'!$A$4:$A$5000)+7*(ROW()-10)))</f>
        <v/>
      </c>
    </row>
    <row r="703">
      <c r="A703">
        <f>IF($J703="","",YEAR($J703-WEEKDAY($J703,2)+4)&amp;"-W"&amp;TEXT(WEEKNUM($J703,21),"00"))</f>
        <v/>
      </c>
      <c r="B703" s="41">
        <f>IF($J703="","",COUNTIFS(Roster!$D$4:$D$500,"Active",Roster!$C$4:$C$500,"&lt;="&amp;$J703))</f>
        <v/>
      </c>
      <c r="C703">
        <f>IF($J703="","",SUMIFS('Hours Log'!$C:$C,'Hours Log'!$A:$A,"&gt;="&amp;$J703,'Hours Log'!$A:$A,"&lt;"&amp;$J703+7)+SUMIFS('Hours Log'!$D:$D,'Hours Log'!$A:$A,"&gt;="&amp;$J703,'Hours Log'!$A:$A,"&lt;"&amp;$J703+7))</f>
        <v/>
      </c>
      <c r="D703">
        <f>IF($J703="","",SUMIFS('Hours Log'!$D:$D,'Hours Log'!$A:$A,"&gt;="&amp;$J703,'Hours Log'!$A:$A,"&lt;"&amp;$J703+7))</f>
        <v/>
      </c>
      <c r="E703">
        <f>IF($J703="","",IFERROR(C703/(B703*40),0))</f>
        <v/>
      </c>
      <c r="F703">
        <f>IF($J703="","",0)</f>
        <v/>
      </c>
      <c r="G703">
        <f>IF($J703="","",SUMIFS('Hours Log'!$E:$E,'Hours Log'!$A:$A,"&gt;="&amp;$J703,'Hours Log'!$A:$A,"&lt;"&amp;$J703+7))</f>
        <v/>
      </c>
      <c r="J703">
        <f>IF(COUNT('Hours Log'!$A$4:$A$5000)=0,"",IF(MIN('Hours Log'!$A$4:$A$5000)+7*(ROW()-10)&gt;MAX('Hours Log'!$A$4:$A$5000),"",MIN('Hours Log'!$A$4:$A$5000)+7*(ROW()-10)))</f>
        <v/>
      </c>
    </row>
    <row r="704">
      <c r="A704">
        <f>IF($J704="","",YEAR($J704-WEEKDAY($J704,2)+4)&amp;"-W"&amp;TEXT(WEEKNUM($J704,21),"00"))</f>
        <v/>
      </c>
      <c r="B704" s="41">
        <f>IF($J704="","",COUNTIFS(Roster!$D$4:$D$500,"Active",Roster!$C$4:$C$500,"&lt;="&amp;$J704))</f>
        <v/>
      </c>
      <c r="C704">
        <f>IF($J704="","",SUMIFS('Hours Log'!$C:$C,'Hours Log'!$A:$A,"&gt;="&amp;$J704,'Hours Log'!$A:$A,"&lt;"&amp;$J704+7)+SUMIFS('Hours Log'!$D:$D,'Hours Log'!$A:$A,"&gt;="&amp;$J704,'Hours Log'!$A:$A,"&lt;"&amp;$J704+7))</f>
        <v/>
      </c>
      <c r="D704">
        <f>IF($J704="","",SUMIFS('Hours Log'!$D:$D,'Hours Log'!$A:$A,"&gt;="&amp;$J704,'Hours Log'!$A:$A,"&lt;"&amp;$J704+7))</f>
        <v/>
      </c>
      <c r="E704">
        <f>IF($J704="","",IFERROR(C704/(B704*40),0))</f>
        <v/>
      </c>
      <c r="F704">
        <f>IF($J704="","",0)</f>
        <v/>
      </c>
      <c r="G704">
        <f>IF($J704="","",SUMIFS('Hours Log'!$E:$E,'Hours Log'!$A:$A,"&gt;="&amp;$J704,'Hours Log'!$A:$A,"&lt;"&amp;$J704+7))</f>
        <v/>
      </c>
      <c r="J704">
        <f>IF(COUNT('Hours Log'!$A$4:$A$5000)=0,"",IF(MIN('Hours Log'!$A$4:$A$5000)+7*(ROW()-10)&gt;MAX('Hours Log'!$A$4:$A$5000),"",MIN('Hours Log'!$A$4:$A$5000)+7*(ROW()-10)))</f>
        <v/>
      </c>
    </row>
    <row r="705">
      <c r="A705">
        <f>IF($J705="","",YEAR($J705-WEEKDAY($J705,2)+4)&amp;"-W"&amp;TEXT(WEEKNUM($J705,21),"00"))</f>
        <v/>
      </c>
      <c r="B705" s="41">
        <f>IF($J705="","",COUNTIFS(Roster!$D$4:$D$500,"Active",Roster!$C$4:$C$500,"&lt;="&amp;$J705))</f>
        <v/>
      </c>
      <c r="C705">
        <f>IF($J705="","",SUMIFS('Hours Log'!$C:$C,'Hours Log'!$A:$A,"&gt;="&amp;$J705,'Hours Log'!$A:$A,"&lt;"&amp;$J705+7)+SUMIFS('Hours Log'!$D:$D,'Hours Log'!$A:$A,"&gt;="&amp;$J705,'Hours Log'!$A:$A,"&lt;"&amp;$J705+7))</f>
        <v/>
      </c>
      <c r="D705">
        <f>IF($J705="","",SUMIFS('Hours Log'!$D:$D,'Hours Log'!$A:$A,"&gt;="&amp;$J705,'Hours Log'!$A:$A,"&lt;"&amp;$J705+7))</f>
        <v/>
      </c>
      <c r="E705">
        <f>IF($J705="","",IFERROR(C705/(B705*40),0))</f>
        <v/>
      </c>
      <c r="F705">
        <f>IF($J705="","",0)</f>
        <v/>
      </c>
      <c r="G705">
        <f>IF($J705="","",SUMIFS('Hours Log'!$E:$E,'Hours Log'!$A:$A,"&gt;="&amp;$J705,'Hours Log'!$A:$A,"&lt;"&amp;$J705+7))</f>
        <v/>
      </c>
      <c r="J705">
        <f>IF(COUNT('Hours Log'!$A$4:$A$5000)=0,"",IF(MIN('Hours Log'!$A$4:$A$5000)+7*(ROW()-10)&gt;MAX('Hours Log'!$A$4:$A$5000),"",MIN('Hours Log'!$A$4:$A$5000)+7*(ROW()-10)))</f>
        <v/>
      </c>
    </row>
    <row r="706">
      <c r="A706">
        <f>IF($J706="","",YEAR($J706-WEEKDAY($J706,2)+4)&amp;"-W"&amp;TEXT(WEEKNUM($J706,21),"00"))</f>
        <v/>
      </c>
      <c r="B706" s="41">
        <f>IF($J706="","",COUNTIFS(Roster!$D$4:$D$500,"Active",Roster!$C$4:$C$500,"&lt;="&amp;$J706))</f>
        <v/>
      </c>
      <c r="C706">
        <f>IF($J706="","",SUMIFS('Hours Log'!$C:$C,'Hours Log'!$A:$A,"&gt;="&amp;$J706,'Hours Log'!$A:$A,"&lt;"&amp;$J706+7)+SUMIFS('Hours Log'!$D:$D,'Hours Log'!$A:$A,"&gt;="&amp;$J706,'Hours Log'!$A:$A,"&lt;"&amp;$J706+7))</f>
        <v/>
      </c>
      <c r="D706">
        <f>IF($J706="","",SUMIFS('Hours Log'!$D:$D,'Hours Log'!$A:$A,"&gt;="&amp;$J706,'Hours Log'!$A:$A,"&lt;"&amp;$J706+7))</f>
        <v/>
      </c>
      <c r="E706">
        <f>IF($J706="","",IFERROR(C706/(B706*40),0))</f>
        <v/>
      </c>
      <c r="F706">
        <f>IF($J706="","",0)</f>
        <v/>
      </c>
      <c r="G706">
        <f>IF($J706="","",SUMIFS('Hours Log'!$E:$E,'Hours Log'!$A:$A,"&gt;="&amp;$J706,'Hours Log'!$A:$A,"&lt;"&amp;$J706+7))</f>
        <v/>
      </c>
      <c r="J706">
        <f>IF(COUNT('Hours Log'!$A$4:$A$5000)=0,"",IF(MIN('Hours Log'!$A$4:$A$5000)+7*(ROW()-10)&gt;MAX('Hours Log'!$A$4:$A$5000),"",MIN('Hours Log'!$A$4:$A$5000)+7*(ROW()-10)))</f>
        <v/>
      </c>
    </row>
    <row r="707">
      <c r="A707">
        <f>IF($J707="","",YEAR($J707-WEEKDAY($J707,2)+4)&amp;"-W"&amp;TEXT(WEEKNUM($J707,21),"00"))</f>
        <v/>
      </c>
      <c r="B707" s="41">
        <f>IF($J707="","",COUNTIFS(Roster!$D$4:$D$500,"Active",Roster!$C$4:$C$500,"&lt;="&amp;$J707))</f>
        <v/>
      </c>
      <c r="C707">
        <f>IF($J707="","",SUMIFS('Hours Log'!$C:$C,'Hours Log'!$A:$A,"&gt;="&amp;$J707,'Hours Log'!$A:$A,"&lt;"&amp;$J707+7)+SUMIFS('Hours Log'!$D:$D,'Hours Log'!$A:$A,"&gt;="&amp;$J707,'Hours Log'!$A:$A,"&lt;"&amp;$J707+7))</f>
        <v/>
      </c>
      <c r="D707">
        <f>IF($J707="","",SUMIFS('Hours Log'!$D:$D,'Hours Log'!$A:$A,"&gt;="&amp;$J707,'Hours Log'!$A:$A,"&lt;"&amp;$J707+7))</f>
        <v/>
      </c>
      <c r="E707">
        <f>IF($J707="","",IFERROR(C707/(B707*40),0))</f>
        <v/>
      </c>
      <c r="F707">
        <f>IF($J707="","",0)</f>
        <v/>
      </c>
      <c r="G707">
        <f>IF($J707="","",SUMIFS('Hours Log'!$E:$E,'Hours Log'!$A:$A,"&gt;="&amp;$J707,'Hours Log'!$A:$A,"&lt;"&amp;$J707+7))</f>
        <v/>
      </c>
      <c r="J707">
        <f>IF(COUNT('Hours Log'!$A$4:$A$5000)=0,"",IF(MIN('Hours Log'!$A$4:$A$5000)+7*(ROW()-10)&gt;MAX('Hours Log'!$A$4:$A$5000),"",MIN('Hours Log'!$A$4:$A$5000)+7*(ROW()-10)))</f>
        <v/>
      </c>
    </row>
    <row r="708">
      <c r="A708">
        <f>IF($J708="","",YEAR($J708-WEEKDAY($J708,2)+4)&amp;"-W"&amp;TEXT(WEEKNUM($J708,21),"00"))</f>
        <v/>
      </c>
      <c r="B708" s="41">
        <f>IF($J708="","",COUNTIFS(Roster!$D$4:$D$500,"Active",Roster!$C$4:$C$500,"&lt;="&amp;$J708))</f>
        <v/>
      </c>
      <c r="C708">
        <f>IF($J708="","",SUMIFS('Hours Log'!$C:$C,'Hours Log'!$A:$A,"&gt;="&amp;$J708,'Hours Log'!$A:$A,"&lt;"&amp;$J708+7)+SUMIFS('Hours Log'!$D:$D,'Hours Log'!$A:$A,"&gt;="&amp;$J708,'Hours Log'!$A:$A,"&lt;"&amp;$J708+7))</f>
        <v/>
      </c>
      <c r="D708">
        <f>IF($J708="","",SUMIFS('Hours Log'!$D:$D,'Hours Log'!$A:$A,"&gt;="&amp;$J708,'Hours Log'!$A:$A,"&lt;"&amp;$J708+7))</f>
        <v/>
      </c>
      <c r="E708">
        <f>IF($J708="","",IFERROR(C708/(B708*40),0))</f>
        <v/>
      </c>
      <c r="F708">
        <f>IF($J708="","",0)</f>
        <v/>
      </c>
      <c r="G708">
        <f>IF($J708="","",SUMIFS('Hours Log'!$E:$E,'Hours Log'!$A:$A,"&gt;="&amp;$J708,'Hours Log'!$A:$A,"&lt;"&amp;$J708+7))</f>
        <v/>
      </c>
      <c r="J708">
        <f>IF(COUNT('Hours Log'!$A$4:$A$5000)=0,"",IF(MIN('Hours Log'!$A$4:$A$5000)+7*(ROW()-10)&gt;MAX('Hours Log'!$A$4:$A$5000),"",MIN('Hours Log'!$A$4:$A$5000)+7*(ROW()-10)))</f>
        <v/>
      </c>
    </row>
    <row r="709">
      <c r="A709">
        <f>IF($J709="","",YEAR($J709-WEEKDAY($J709,2)+4)&amp;"-W"&amp;TEXT(WEEKNUM($J709,21),"00"))</f>
        <v/>
      </c>
      <c r="B709" s="41">
        <f>IF($J709="","",COUNTIFS(Roster!$D$4:$D$500,"Active",Roster!$C$4:$C$500,"&lt;="&amp;$J709))</f>
        <v/>
      </c>
      <c r="C709">
        <f>IF($J709="","",SUMIFS('Hours Log'!$C:$C,'Hours Log'!$A:$A,"&gt;="&amp;$J709,'Hours Log'!$A:$A,"&lt;"&amp;$J709+7)+SUMIFS('Hours Log'!$D:$D,'Hours Log'!$A:$A,"&gt;="&amp;$J709,'Hours Log'!$A:$A,"&lt;"&amp;$J709+7))</f>
        <v/>
      </c>
      <c r="D709">
        <f>IF($J709="","",SUMIFS('Hours Log'!$D:$D,'Hours Log'!$A:$A,"&gt;="&amp;$J709,'Hours Log'!$A:$A,"&lt;"&amp;$J709+7))</f>
        <v/>
      </c>
      <c r="E709">
        <f>IF($J709="","",IFERROR(C709/(B709*40),0))</f>
        <v/>
      </c>
      <c r="F709">
        <f>IF($J709="","",0)</f>
        <v/>
      </c>
      <c r="G709">
        <f>IF($J709="","",SUMIFS('Hours Log'!$E:$E,'Hours Log'!$A:$A,"&gt;="&amp;$J709,'Hours Log'!$A:$A,"&lt;"&amp;$J709+7))</f>
        <v/>
      </c>
      <c r="J709">
        <f>IF(COUNT('Hours Log'!$A$4:$A$5000)=0,"",IF(MIN('Hours Log'!$A$4:$A$5000)+7*(ROW()-10)&gt;MAX('Hours Log'!$A$4:$A$5000),"",MIN('Hours Log'!$A$4:$A$5000)+7*(ROW()-10)))</f>
        <v/>
      </c>
    </row>
    <row r="710">
      <c r="A710">
        <f>IF($J710="","",YEAR($J710-WEEKDAY($J710,2)+4)&amp;"-W"&amp;TEXT(WEEKNUM($J710,21),"00"))</f>
        <v/>
      </c>
      <c r="B710" s="41">
        <f>IF($J710="","",COUNTIFS(Roster!$D$4:$D$500,"Active",Roster!$C$4:$C$500,"&lt;="&amp;$J710))</f>
        <v/>
      </c>
      <c r="C710">
        <f>IF($J710="","",SUMIFS('Hours Log'!$C:$C,'Hours Log'!$A:$A,"&gt;="&amp;$J710,'Hours Log'!$A:$A,"&lt;"&amp;$J710+7)+SUMIFS('Hours Log'!$D:$D,'Hours Log'!$A:$A,"&gt;="&amp;$J710,'Hours Log'!$A:$A,"&lt;"&amp;$J710+7))</f>
        <v/>
      </c>
      <c r="D710">
        <f>IF($J710="","",SUMIFS('Hours Log'!$D:$D,'Hours Log'!$A:$A,"&gt;="&amp;$J710,'Hours Log'!$A:$A,"&lt;"&amp;$J710+7))</f>
        <v/>
      </c>
      <c r="E710">
        <f>IF($J710="","",IFERROR(C710/(B710*40),0))</f>
        <v/>
      </c>
      <c r="F710">
        <f>IF($J710="","",0)</f>
        <v/>
      </c>
      <c r="G710">
        <f>IF($J710="","",SUMIFS('Hours Log'!$E:$E,'Hours Log'!$A:$A,"&gt;="&amp;$J710,'Hours Log'!$A:$A,"&lt;"&amp;$J710+7))</f>
        <v/>
      </c>
      <c r="J710">
        <f>IF(COUNT('Hours Log'!$A$4:$A$5000)=0,"",IF(MIN('Hours Log'!$A$4:$A$5000)+7*(ROW()-10)&gt;MAX('Hours Log'!$A$4:$A$5000),"",MIN('Hours Log'!$A$4:$A$5000)+7*(ROW()-10)))</f>
        <v/>
      </c>
    </row>
    <row r="711">
      <c r="A711">
        <f>IF($J711="","",YEAR($J711-WEEKDAY($J711,2)+4)&amp;"-W"&amp;TEXT(WEEKNUM($J711,21),"00"))</f>
        <v/>
      </c>
      <c r="B711" s="41">
        <f>IF($J711="","",COUNTIFS(Roster!$D$4:$D$500,"Active",Roster!$C$4:$C$500,"&lt;="&amp;$J711))</f>
        <v/>
      </c>
      <c r="C711">
        <f>IF($J711="","",SUMIFS('Hours Log'!$C:$C,'Hours Log'!$A:$A,"&gt;="&amp;$J711,'Hours Log'!$A:$A,"&lt;"&amp;$J711+7)+SUMIFS('Hours Log'!$D:$D,'Hours Log'!$A:$A,"&gt;="&amp;$J711,'Hours Log'!$A:$A,"&lt;"&amp;$J711+7))</f>
        <v/>
      </c>
      <c r="D711">
        <f>IF($J711="","",SUMIFS('Hours Log'!$D:$D,'Hours Log'!$A:$A,"&gt;="&amp;$J711,'Hours Log'!$A:$A,"&lt;"&amp;$J711+7))</f>
        <v/>
      </c>
      <c r="E711">
        <f>IF($J711="","",IFERROR(C711/(B711*40),0))</f>
        <v/>
      </c>
      <c r="F711">
        <f>IF($J711="","",0)</f>
        <v/>
      </c>
      <c r="G711">
        <f>IF($J711="","",SUMIFS('Hours Log'!$E:$E,'Hours Log'!$A:$A,"&gt;="&amp;$J711,'Hours Log'!$A:$A,"&lt;"&amp;$J711+7))</f>
        <v/>
      </c>
      <c r="J711">
        <f>IF(COUNT('Hours Log'!$A$4:$A$5000)=0,"",IF(MIN('Hours Log'!$A$4:$A$5000)+7*(ROW()-10)&gt;MAX('Hours Log'!$A$4:$A$5000),"",MIN('Hours Log'!$A$4:$A$5000)+7*(ROW()-10)))</f>
        <v/>
      </c>
    </row>
    <row r="712">
      <c r="A712">
        <f>IF($J712="","",YEAR($J712-WEEKDAY($J712,2)+4)&amp;"-W"&amp;TEXT(WEEKNUM($J712,21),"00"))</f>
        <v/>
      </c>
      <c r="B712" s="41">
        <f>IF($J712="","",COUNTIFS(Roster!$D$4:$D$500,"Active",Roster!$C$4:$C$500,"&lt;="&amp;$J712))</f>
        <v/>
      </c>
      <c r="C712">
        <f>IF($J712="","",SUMIFS('Hours Log'!$C:$C,'Hours Log'!$A:$A,"&gt;="&amp;$J712,'Hours Log'!$A:$A,"&lt;"&amp;$J712+7)+SUMIFS('Hours Log'!$D:$D,'Hours Log'!$A:$A,"&gt;="&amp;$J712,'Hours Log'!$A:$A,"&lt;"&amp;$J712+7))</f>
        <v/>
      </c>
      <c r="D712">
        <f>IF($J712="","",SUMIFS('Hours Log'!$D:$D,'Hours Log'!$A:$A,"&gt;="&amp;$J712,'Hours Log'!$A:$A,"&lt;"&amp;$J712+7))</f>
        <v/>
      </c>
      <c r="E712">
        <f>IF($J712="","",IFERROR(C712/(B712*40),0))</f>
        <v/>
      </c>
      <c r="F712">
        <f>IF($J712="","",0)</f>
        <v/>
      </c>
      <c r="G712">
        <f>IF($J712="","",SUMIFS('Hours Log'!$E:$E,'Hours Log'!$A:$A,"&gt;="&amp;$J712,'Hours Log'!$A:$A,"&lt;"&amp;$J712+7))</f>
        <v/>
      </c>
      <c r="J712">
        <f>IF(COUNT('Hours Log'!$A$4:$A$5000)=0,"",IF(MIN('Hours Log'!$A$4:$A$5000)+7*(ROW()-10)&gt;MAX('Hours Log'!$A$4:$A$5000),"",MIN('Hours Log'!$A$4:$A$5000)+7*(ROW()-10)))</f>
        <v/>
      </c>
    </row>
    <row r="713">
      <c r="A713">
        <f>IF($J713="","",YEAR($J713-WEEKDAY($J713,2)+4)&amp;"-W"&amp;TEXT(WEEKNUM($J713,21),"00"))</f>
        <v/>
      </c>
      <c r="B713" s="41">
        <f>IF($J713="","",COUNTIFS(Roster!$D$4:$D$500,"Active",Roster!$C$4:$C$500,"&lt;="&amp;$J713))</f>
        <v/>
      </c>
      <c r="C713">
        <f>IF($J713="","",SUMIFS('Hours Log'!$C:$C,'Hours Log'!$A:$A,"&gt;="&amp;$J713,'Hours Log'!$A:$A,"&lt;"&amp;$J713+7)+SUMIFS('Hours Log'!$D:$D,'Hours Log'!$A:$A,"&gt;="&amp;$J713,'Hours Log'!$A:$A,"&lt;"&amp;$J713+7))</f>
        <v/>
      </c>
      <c r="D713">
        <f>IF($J713="","",SUMIFS('Hours Log'!$D:$D,'Hours Log'!$A:$A,"&gt;="&amp;$J713,'Hours Log'!$A:$A,"&lt;"&amp;$J713+7))</f>
        <v/>
      </c>
      <c r="E713">
        <f>IF($J713="","",IFERROR(C713/(B713*40),0))</f>
        <v/>
      </c>
      <c r="F713">
        <f>IF($J713="","",0)</f>
        <v/>
      </c>
      <c r="G713">
        <f>IF($J713="","",SUMIFS('Hours Log'!$E:$E,'Hours Log'!$A:$A,"&gt;="&amp;$J713,'Hours Log'!$A:$A,"&lt;"&amp;$J713+7))</f>
        <v/>
      </c>
      <c r="J713">
        <f>IF(COUNT('Hours Log'!$A$4:$A$5000)=0,"",IF(MIN('Hours Log'!$A$4:$A$5000)+7*(ROW()-10)&gt;MAX('Hours Log'!$A$4:$A$5000),"",MIN('Hours Log'!$A$4:$A$5000)+7*(ROW()-10)))</f>
        <v/>
      </c>
    </row>
    <row r="714">
      <c r="A714">
        <f>IF($J714="","",YEAR($J714-WEEKDAY($J714,2)+4)&amp;"-W"&amp;TEXT(WEEKNUM($J714,21),"00"))</f>
        <v/>
      </c>
      <c r="B714" s="41">
        <f>IF($J714="","",COUNTIFS(Roster!$D$4:$D$500,"Active",Roster!$C$4:$C$500,"&lt;="&amp;$J714))</f>
        <v/>
      </c>
      <c r="C714">
        <f>IF($J714="","",SUMIFS('Hours Log'!$C:$C,'Hours Log'!$A:$A,"&gt;="&amp;$J714,'Hours Log'!$A:$A,"&lt;"&amp;$J714+7)+SUMIFS('Hours Log'!$D:$D,'Hours Log'!$A:$A,"&gt;="&amp;$J714,'Hours Log'!$A:$A,"&lt;"&amp;$J714+7))</f>
        <v/>
      </c>
      <c r="D714">
        <f>IF($J714="","",SUMIFS('Hours Log'!$D:$D,'Hours Log'!$A:$A,"&gt;="&amp;$J714,'Hours Log'!$A:$A,"&lt;"&amp;$J714+7))</f>
        <v/>
      </c>
      <c r="E714">
        <f>IF($J714="","",IFERROR(C714/(B714*40),0))</f>
        <v/>
      </c>
      <c r="F714">
        <f>IF($J714="","",0)</f>
        <v/>
      </c>
      <c r="G714">
        <f>IF($J714="","",SUMIFS('Hours Log'!$E:$E,'Hours Log'!$A:$A,"&gt;="&amp;$J714,'Hours Log'!$A:$A,"&lt;"&amp;$J714+7))</f>
        <v/>
      </c>
      <c r="J714">
        <f>IF(COUNT('Hours Log'!$A$4:$A$5000)=0,"",IF(MIN('Hours Log'!$A$4:$A$5000)+7*(ROW()-10)&gt;MAX('Hours Log'!$A$4:$A$5000),"",MIN('Hours Log'!$A$4:$A$5000)+7*(ROW()-10)))</f>
        <v/>
      </c>
    </row>
    <row r="715">
      <c r="A715">
        <f>IF($J715="","",YEAR($J715-WEEKDAY($J715,2)+4)&amp;"-W"&amp;TEXT(WEEKNUM($J715,21),"00"))</f>
        <v/>
      </c>
      <c r="B715" s="41">
        <f>IF($J715="","",COUNTIFS(Roster!$D$4:$D$500,"Active",Roster!$C$4:$C$500,"&lt;="&amp;$J715))</f>
        <v/>
      </c>
      <c r="C715">
        <f>IF($J715="","",SUMIFS('Hours Log'!$C:$C,'Hours Log'!$A:$A,"&gt;="&amp;$J715,'Hours Log'!$A:$A,"&lt;"&amp;$J715+7)+SUMIFS('Hours Log'!$D:$D,'Hours Log'!$A:$A,"&gt;="&amp;$J715,'Hours Log'!$A:$A,"&lt;"&amp;$J715+7))</f>
        <v/>
      </c>
      <c r="D715">
        <f>IF($J715="","",SUMIFS('Hours Log'!$D:$D,'Hours Log'!$A:$A,"&gt;="&amp;$J715,'Hours Log'!$A:$A,"&lt;"&amp;$J715+7))</f>
        <v/>
      </c>
      <c r="E715">
        <f>IF($J715="","",IFERROR(C715/(B715*40),0))</f>
        <v/>
      </c>
      <c r="F715">
        <f>IF($J715="","",0)</f>
        <v/>
      </c>
      <c r="G715">
        <f>IF($J715="","",SUMIFS('Hours Log'!$E:$E,'Hours Log'!$A:$A,"&gt;="&amp;$J715,'Hours Log'!$A:$A,"&lt;"&amp;$J715+7))</f>
        <v/>
      </c>
      <c r="J715">
        <f>IF(COUNT('Hours Log'!$A$4:$A$5000)=0,"",IF(MIN('Hours Log'!$A$4:$A$5000)+7*(ROW()-10)&gt;MAX('Hours Log'!$A$4:$A$5000),"",MIN('Hours Log'!$A$4:$A$5000)+7*(ROW()-10)))</f>
        <v/>
      </c>
    </row>
    <row r="716">
      <c r="A716">
        <f>IF($J716="","",YEAR($J716-WEEKDAY($J716,2)+4)&amp;"-W"&amp;TEXT(WEEKNUM($J716,21),"00"))</f>
        <v/>
      </c>
      <c r="B716" s="41">
        <f>IF($J716="","",COUNTIFS(Roster!$D$4:$D$500,"Active",Roster!$C$4:$C$500,"&lt;="&amp;$J716))</f>
        <v/>
      </c>
      <c r="C716">
        <f>IF($J716="","",SUMIFS('Hours Log'!$C:$C,'Hours Log'!$A:$A,"&gt;="&amp;$J716,'Hours Log'!$A:$A,"&lt;"&amp;$J716+7)+SUMIFS('Hours Log'!$D:$D,'Hours Log'!$A:$A,"&gt;="&amp;$J716,'Hours Log'!$A:$A,"&lt;"&amp;$J716+7))</f>
        <v/>
      </c>
      <c r="D716">
        <f>IF($J716="","",SUMIFS('Hours Log'!$D:$D,'Hours Log'!$A:$A,"&gt;="&amp;$J716,'Hours Log'!$A:$A,"&lt;"&amp;$J716+7))</f>
        <v/>
      </c>
      <c r="E716">
        <f>IF($J716="","",IFERROR(C716/(B716*40),0))</f>
        <v/>
      </c>
      <c r="F716">
        <f>IF($J716="","",0)</f>
        <v/>
      </c>
      <c r="G716">
        <f>IF($J716="","",SUMIFS('Hours Log'!$E:$E,'Hours Log'!$A:$A,"&gt;="&amp;$J716,'Hours Log'!$A:$A,"&lt;"&amp;$J716+7))</f>
        <v/>
      </c>
      <c r="J716">
        <f>IF(COUNT('Hours Log'!$A$4:$A$5000)=0,"",IF(MIN('Hours Log'!$A$4:$A$5000)+7*(ROW()-10)&gt;MAX('Hours Log'!$A$4:$A$5000),"",MIN('Hours Log'!$A$4:$A$5000)+7*(ROW()-10)))</f>
        <v/>
      </c>
    </row>
    <row r="717">
      <c r="A717">
        <f>IF($J717="","",YEAR($J717-WEEKDAY($J717,2)+4)&amp;"-W"&amp;TEXT(WEEKNUM($J717,21),"00"))</f>
        <v/>
      </c>
      <c r="B717" s="41">
        <f>IF($J717="","",COUNTIFS(Roster!$D$4:$D$500,"Active",Roster!$C$4:$C$500,"&lt;="&amp;$J717))</f>
        <v/>
      </c>
      <c r="C717">
        <f>IF($J717="","",SUMIFS('Hours Log'!$C:$C,'Hours Log'!$A:$A,"&gt;="&amp;$J717,'Hours Log'!$A:$A,"&lt;"&amp;$J717+7)+SUMIFS('Hours Log'!$D:$D,'Hours Log'!$A:$A,"&gt;="&amp;$J717,'Hours Log'!$A:$A,"&lt;"&amp;$J717+7))</f>
        <v/>
      </c>
      <c r="D717">
        <f>IF($J717="","",SUMIFS('Hours Log'!$D:$D,'Hours Log'!$A:$A,"&gt;="&amp;$J717,'Hours Log'!$A:$A,"&lt;"&amp;$J717+7))</f>
        <v/>
      </c>
      <c r="E717">
        <f>IF($J717="","",IFERROR(C717/(B717*40),0))</f>
        <v/>
      </c>
      <c r="F717">
        <f>IF($J717="","",0)</f>
        <v/>
      </c>
      <c r="G717">
        <f>IF($J717="","",SUMIFS('Hours Log'!$E:$E,'Hours Log'!$A:$A,"&gt;="&amp;$J717,'Hours Log'!$A:$A,"&lt;"&amp;$J717+7))</f>
        <v/>
      </c>
      <c r="J717">
        <f>IF(COUNT('Hours Log'!$A$4:$A$5000)=0,"",IF(MIN('Hours Log'!$A$4:$A$5000)+7*(ROW()-10)&gt;MAX('Hours Log'!$A$4:$A$5000),"",MIN('Hours Log'!$A$4:$A$5000)+7*(ROW()-10)))</f>
        <v/>
      </c>
    </row>
    <row r="718">
      <c r="A718">
        <f>IF($J718="","",YEAR($J718-WEEKDAY($J718,2)+4)&amp;"-W"&amp;TEXT(WEEKNUM($J718,21),"00"))</f>
        <v/>
      </c>
      <c r="B718" s="41">
        <f>IF($J718="","",COUNTIFS(Roster!$D$4:$D$500,"Active",Roster!$C$4:$C$500,"&lt;="&amp;$J718))</f>
        <v/>
      </c>
      <c r="C718">
        <f>IF($J718="","",SUMIFS('Hours Log'!$C:$C,'Hours Log'!$A:$A,"&gt;="&amp;$J718,'Hours Log'!$A:$A,"&lt;"&amp;$J718+7)+SUMIFS('Hours Log'!$D:$D,'Hours Log'!$A:$A,"&gt;="&amp;$J718,'Hours Log'!$A:$A,"&lt;"&amp;$J718+7))</f>
        <v/>
      </c>
      <c r="D718">
        <f>IF($J718="","",SUMIFS('Hours Log'!$D:$D,'Hours Log'!$A:$A,"&gt;="&amp;$J718,'Hours Log'!$A:$A,"&lt;"&amp;$J718+7))</f>
        <v/>
      </c>
      <c r="E718">
        <f>IF($J718="","",IFERROR(C718/(B718*40),0))</f>
        <v/>
      </c>
      <c r="F718">
        <f>IF($J718="","",0)</f>
        <v/>
      </c>
      <c r="G718">
        <f>IF($J718="","",SUMIFS('Hours Log'!$E:$E,'Hours Log'!$A:$A,"&gt;="&amp;$J718,'Hours Log'!$A:$A,"&lt;"&amp;$J718+7))</f>
        <v/>
      </c>
      <c r="J718">
        <f>IF(COUNT('Hours Log'!$A$4:$A$5000)=0,"",IF(MIN('Hours Log'!$A$4:$A$5000)+7*(ROW()-10)&gt;MAX('Hours Log'!$A$4:$A$5000),"",MIN('Hours Log'!$A$4:$A$5000)+7*(ROW()-10)))</f>
        <v/>
      </c>
    </row>
    <row r="719">
      <c r="A719">
        <f>IF($J719="","",YEAR($J719-WEEKDAY($J719,2)+4)&amp;"-W"&amp;TEXT(WEEKNUM($J719,21),"00"))</f>
        <v/>
      </c>
      <c r="B719" s="41">
        <f>IF($J719="","",COUNTIFS(Roster!$D$4:$D$500,"Active",Roster!$C$4:$C$500,"&lt;="&amp;$J719))</f>
        <v/>
      </c>
      <c r="C719">
        <f>IF($J719="","",SUMIFS('Hours Log'!$C:$C,'Hours Log'!$A:$A,"&gt;="&amp;$J719,'Hours Log'!$A:$A,"&lt;"&amp;$J719+7)+SUMIFS('Hours Log'!$D:$D,'Hours Log'!$A:$A,"&gt;="&amp;$J719,'Hours Log'!$A:$A,"&lt;"&amp;$J719+7))</f>
        <v/>
      </c>
      <c r="D719">
        <f>IF($J719="","",SUMIFS('Hours Log'!$D:$D,'Hours Log'!$A:$A,"&gt;="&amp;$J719,'Hours Log'!$A:$A,"&lt;"&amp;$J719+7))</f>
        <v/>
      </c>
      <c r="E719">
        <f>IF($J719="","",IFERROR(C719/(B719*40),0))</f>
        <v/>
      </c>
      <c r="F719">
        <f>IF($J719="","",0)</f>
        <v/>
      </c>
      <c r="G719">
        <f>IF($J719="","",SUMIFS('Hours Log'!$E:$E,'Hours Log'!$A:$A,"&gt;="&amp;$J719,'Hours Log'!$A:$A,"&lt;"&amp;$J719+7))</f>
        <v/>
      </c>
      <c r="J719">
        <f>IF(COUNT('Hours Log'!$A$4:$A$5000)=0,"",IF(MIN('Hours Log'!$A$4:$A$5000)+7*(ROW()-10)&gt;MAX('Hours Log'!$A$4:$A$5000),"",MIN('Hours Log'!$A$4:$A$5000)+7*(ROW()-10)))</f>
        <v/>
      </c>
    </row>
    <row r="720">
      <c r="A720">
        <f>IF($J720="","",YEAR($J720-WEEKDAY($J720,2)+4)&amp;"-W"&amp;TEXT(WEEKNUM($J720,21),"00"))</f>
        <v/>
      </c>
      <c r="B720" s="41">
        <f>IF($J720="","",COUNTIFS(Roster!$D$4:$D$500,"Active",Roster!$C$4:$C$500,"&lt;="&amp;$J720))</f>
        <v/>
      </c>
      <c r="C720">
        <f>IF($J720="","",SUMIFS('Hours Log'!$C:$C,'Hours Log'!$A:$A,"&gt;="&amp;$J720,'Hours Log'!$A:$A,"&lt;"&amp;$J720+7)+SUMIFS('Hours Log'!$D:$D,'Hours Log'!$A:$A,"&gt;="&amp;$J720,'Hours Log'!$A:$A,"&lt;"&amp;$J720+7))</f>
        <v/>
      </c>
      <c r="D720">
        <f>IF($J720="","",SUMIFS('Hours Log'!$D:$D,'Hours Log'!$A:$A,"&gt;="&amp;$J720,'Hours Log'!$A:$A,"&lt;"&amp;$J720+7))</f>
        <v/>
      </c>
      <c r="E720">
        <f>IF($J720="","",IFERROR(C720/(B720*40),0))</f>
        <v/>
      </c>
      <c r="F720">
        <f>IF($J720="","",0)</f>
        <v/>
      </c>
      <c r="G720">
        <f>IF($J720="","",SUMIFS('Hours Log'!$E:$E,'Hours Log'!$A:$A,"&gt;="&amp;$J720,'Hours Log'!$A:$A,"&lt;"&amp;$J720+7))</f>
        <v/>
      </c>
      <c r="J720">
        <f>IF(COUNT('Hours Log'!$A$4:$A$5000)=0,"",IF(MIN('Hours Log'!$A$4:$A$5000)+7*(ROW()-10)&gt;MAX('Hours Log'!$A$4:$A$5000),"",MIN('Hours Log'!$A$4:$A$5000)+7*(ROW()-10)))</f>
        <v/>
      </c>
    </row>
    <row r="721">
      <c r="A721">
        <f>IF($J721="","",YEAR($J721-WEEKDAY($J721,2)+4)&amp;"-W"&amp;TEXT(WEEKNUM($J721,21),"00"))</f>
        <v/>
      </c>
      <c r="B721" s="41">
        <f>IF($J721="","",COUNTIFS(Roster!$D$4:$D$500,"Active",Roster!$C$4:$C$500,"&lt;="&amp;$J721))</f>
        <v/>
      </c>
      <c r="C721">
        <f>IF($J721="","",SUMIFS('Hours Log'!$C:$C,'Hours Log'!$A:$A,"&gt;="&amp;$J721,'Hours Log'!$A:$A,"&lt;"&amp;$J721+7)+SUMIFS('Hours Log'!$D:$D,'Hours Log'!$A:$A,"&gt;="&amp;$J721,'Hours Log'!$A:$A,"&lt;"&amp;$J721+7))</f>
        <v/>
      </c>
      <c r="D721">
        <f>IF($J721="","",SUMIFS('Hours Log'!$D:$D,'Hours Log'!$A:$A,"&gt;="&amp;$J721,'Hours Log'!$A:$A,"&lt;"&amp;$J721+7))</f>
        <v/>
      </c>
      <c r="E721">
        <f>IF($J721="","",IFERROR(C721/(B721*40),0))</f>
        <v/>
      </c>
      <c r="F721">
        <f>IF($J721="","",0)</f>
        <v/>
      </c>
      <c r="G721">
        <f>IF($J721="","",SUMIFS('Hours Log'!$E:$E,'Hours Log'!$A:$A,"&gt;="&amp;$J721,'Hours Log'!$A:$A,"&lt;"&amp;$J721+7))</f>
        <v/>
      </c>
      <c r="J721">
        <f>IF(COUNT('Hours Log'!$A$4:$A$5000)=0,"",IF(MIN('Hours Log'!$A$4:$A$5000)+7*(ROW()-10)&gt;MAX('Hours Log'!$A$4:$A$5000),"",MIN('Hours Log'!$A$4:$A$5000)+7*(ROW()-10)))</f>
        <v/>
      </c>
    </row>
    <row r="722">
      <c r="A722">
        <f>IF($J722="","",YEAR($J722-WEEKDAY($J722,2)+4)&amp;"-W"&amp;TEXT(WEEKNUM($J722,21),"00"))</f>
        <v/>
      </c>
      <c r="B722" s="41">
        <f>IF($J722="","",COUNTIFS(Roster!$D$4:$D$500,"Active",Roster!$C$4:$C$500,"&lt;="&amp;$J722))</f>
        <v/>
      </c>
      <c r="C722">
        <f>IF($J722="","",SUMIFS('Hours Log'!$C:$C,'Hours Log'!$A:$A,"&gt;="&amp;$J722,'Hours Log'!$A:$A,"&lt;"&amp;$J722+7)+SUMIFS('Hours Log'!$D:$D,'Hours Log'!$A:$A,"&gt;="&amp;$J722,'Hours Log'!$A:$A,"&lt;"&amp;$J722+7))</f>
        <v/>
      </c>
      <c r="D722">
        <f>IF($J722="","",SUMIFS('Hours Log'!$D:$D,'Hours Log'!$A:$A,"&gt;="&amp;$J722,'Hours Log'!$A:$A,"&lt;"&amp;$J722+7))</f>
        <v/>
      </c>
      <c r="E722">
        <f>IF($J722="","",IFERROR(C722/(B722*40),0))</f>
        <v/>
      </c>
      <c r="F722">
        <f>IF($J722="","",0)</f>
        <v/>
      </c>
      <c r="G722">
        <f>IF($J722="","",SUMIFS('Hours Log'!$E:$E,'Hours Log'!$A:$A,"&gt;="&amp;$J722,'Hours Log'!$A:$A,"&lt;"&amp;$J722+7))</f>
        <v/>
      </c>
      <c r="J722">
        <f>IF(COUNT('Hours Log'!$A$4:$A$5000)=0,"",IF(MIN('Hours Log'!$A$4:$A$5000)+7*(ROW()-10)&gt;MAX('Hours Log'!$A$4:$A$5000),"",MIN('Hours Log'!$A$4:$A$5000)+7*(ROW()-10)))</f>
        <v/>
      </c>
    </row>
    <row r="723">
      <c r="A723">
        <f>IF($J723="","",YEAR($J723-WEEKDAY($J723,2)+4)&amp;"-W"&amp;TEXT(WEEKNUM($J723,21),"00"))</f>
        <v/>
      </c>
      <c r="B723" s="41">
        <f>IF($J723="","",COUNTIFS(Roster!$D$4:$D$500,"Active",Roster!$C$4:$C$500,"&lt;="&amp;$J723))</f>
        <v/>
      </c>
      <c r="C723">
        <f>IF($J723="","",SUMIFS('Hours Log'!$C:$C,'Hours Log'!$A:$A,"&gt;="&amp;$J723,'Hours Log'!$A:$A,"&lt;"&amp;$J723+7)+SUMIFS('Hours Log'!$D:$D,'Hours Log'!$A:$A,"&gt;="&amp;$J723,'Hours Log'!$A:$A,"&lt;"&amp;$J723+7))</f>
        <v/>
      </c>
      <c r="D723">
        <f>IF($J723="","",SUMIFS('Hours Log'!$D:$D,'Hours Log'!$A:$A,"&gt;="&amp;$J723,'Hours Log'!$A:$A,"&lt;"&amp;$J723+7))</f>
        <v/>
      </c>
      <c r="E723">
        <f>IF($J723="","",IFERROR(C723/(B723*40),0))</f>
        <v/>
      </c>
      <c r="F723">
        <f>IF($J723="","",0)</f>
        <v/>
      </c>
      <c r="G723">
        <f>IF($J723="","",SUMIFS('Hours Log'!$E:$E,'Hours Log'!$A:$A,"&gt;="&amp;$J723,'Hours Log'!$A:$A,"&lt;"&amp;$J723+7))</f>
        <v/>
      </c>
      <c r="J723">
        <f>IF(COUNT('Hours Log'!$A$4:$A$5000)=0,"",IF(MIN('Hours Log'!$A$4:$A$5000)+7*(ROW()-10)&gt;MAX('Hours Log'!$A$4:$A$5000),"",MIN('Hours Log'!$A$4:$A$5000)+7*(ROW()-10)))</f>
        <v/>
      </c>
    </row>
    <row r="724">
      <c r="A724">
        <f>IF($J724="","",YEAR($J724-WEEKDAY($J724,2)+4)&amp;"-W"&amp;TEXT(WEEKNUM($J724,21),"00"))</f>
        <v/>
      </c>
      <c r="B724" s="41">
        <f>IF($J724="","",COUNTIFS(Roster!$D$4:$D$500,"Active",Roster!$C$4:$C$500,"&lt;="&amp;$J724))</f>
        <v/>
      </c>
      <c r="C724">
        <f>IF($J724="","",SUMIFS('Hours Log'!$C:$C,'Hours Log'!$A:$A,"&gt;="&amp;$J724,'Hours Log'!$A:$A,"&lt;"&amp;$J724+7)+SUMIFS('Hours Log'!$D:$D,'Hours Log'!$A:$A,"&gt;="&amp;$J724,'Hours Log'!$A:$A,"&lt;"&amp;$J724+7))</f>
        <v/>
      </c>
      <c r="D724">
        <f>IF($J724="","",SUMIFS('Hours Log'!$D:$D,'Hours Log'!$A:$A,"&gt;="&amp;$J724,'Hours Log'!$A:$A,"&lt;"&amp;$J724+7))</f>
        <v/>
      </c>
      <c r="E724">
        <f>IF($J724="","",IFERROR(C724/(B724*40),0))</f>
        <v/>
      </c>
      <c r="F724">
        <f>IF($J724="","",0)</f>
        <v/>
      </c>
      <c r="G724">
        <f>IF($J724="","",SUMIFS('Hours Log'!$E:$E,'Hours Log'!$A:$A,"&gt;="&amp;$J724,'Hours Log'!$A:$A,"&lt;"&amp;$J724+7))</f>
        <v/>
      </c>
      <c r="J724">
        <f>IF(COUNT('Hours Log'!$A$4:$A$5000)=0,"",IF(MIN('Hours Log'!$A$4:$A$5000)+7*(ROW()-10)&gt;MAX('Hours Log'!$A$4:$A$5000),"",MIN('Hours Log'!$A$4:$A$5000)+7*(ROW()-10)))</f>
        <v/>
      </c>
    </row>
    <row r="725">
      <c r="A725">
        <f>IF($J725="","",YEAR($J725-WEEKDAY($J725,2)+4)&amp;"-W"&amp;TEXT(WEEKNUM($J725,21),"00"))</f>
        <v/>
      </c>
      <c r="B725" s="41">
        <f>IF($J725="","",COUNTIFS(Roster!$D$4:$D$500,"Active",Roster!$C$4:$C$500,"&lt;="&amp;$J725))</f>
        <v/>
      </c>
      <c r="C725">
        <f>IF($J725="","",SUMIFS('Hours Log'!$C:$C,'Hours Log'!$A:$A,"&gt;="&amp;$J725,'Hours Log'!$A:$A,"&lt;"&amp;$J725+7)+SUMIFS('Hours Log'!$D:$D,'Hours Log'!$A:$A,"&gt;="&amp;$J725,'Hours Log'!$A:$A,"&lt;"&amp;$J725+7))</f>
        <v/>
      </c>
      <c r="D725">
        <f>IF($J725="","",SUMIFS('Hours Log'!$D:$D,'Hours Log'!$A:$A,"&gt;="&amp;$J725,'Hours Log'!$A:$A,"&lt;"&amp;$J725+7))</f>
        <v/>
      </c>
      <c r="E725">
        <f>IF($J725="","",IFERROR(C725/(B725*40),0))</f>
        <v/>
      </c>
      <c r="F725">
        <f>IF($J725="","",0)</f>
        <v/>
      </c>
      <c r="G725">
        <f>IF($J725="","",SUMIFS('Hours Log'!$E:$E,'Hours Log'!$A:$A,"&gt;="&amp;$J725,'Hours Log'!$A:$A,"&lt;"&amp;$J725+7))</f>
        <v/>
      </c>
      <c r="J725">
        <f>IF(COUNT('Hours Log'!$A$4:$A$5000)=0,"",IF(MIN('Hours Log'!$A$4:$A$5000)+7*(ROW()-10)&gt;MAX('Hours Log'!$A$4:$A$5000),"",MIN('Hours Log'!$A$4:$A$5000)+7*(ROW()-10)))</f>
        <v/>
      </c>
    </row>
    <row r="726">
      <c r="A726">
        <f>IF($J726="","",YEAR($J726-WEEKDAY($J726,2)+4)&amp;"-W"&amp;TEXT(WEEKNUM($J726,21),"00"))</f>
        <v/>
      </c>
      <c r="B726" s="41">
        <f>IF($J726="","",COUNTIFS(Roster!$D$4:$D$500,"Active",Roster!$C$4:$C$500,"&lt;="&amp;$J726))</f>
        <v/>
      </c>
      <c r="C726">
        <f>IF($J726="","",SUMIFS('Hours Log'!$C:$C,'Hours Log'!$A:$A,"&gt;="&amp;$J726,'Hours Log'!$A:$A,"&lt;"&amp;$J726+7)+SUMIFS('Hours Log'!$D:$D,'Hours Log'!$A:$A,"&gt;="&amp;$J726,'Hours Log'!$A:$A,"&lt;"&amp;$J726+7))</f>
        <v/>
      </c>
      <c r="D726">
        <f>IF($J726="","",SUMIFS('Hours Log'!$D:$D,'Hours Log'!$A:$A,"&gt;="&amp;$J726,'Hours Log'!$A:$A,"&lt;"&amp;$J726+7))</f>
        <v/>
      </c>
      <c r="E726">
        <f>IF($J726="","",IFERROR(C726/(B726*40),0))</f>
        <v/>
      </c>
      <c r="F726">
        <f>IF($J726="","",0)</f>
        <v/>
      </c>
      <c r="G726">
        <f>IF($J726="","",SUMIFS('Hours Log'!$E:$E,'Hours Log'!$A:$A,"&gt;="&amp;$J726,'Hours Log'!$A:$A,"&lt;"&amp;$J726+7))</f>
        <v/>
      </c>
      <c r="J726">
        <f>IF(COUNT('Hours Log'!$A$4:$A$5000)=0,"",IF(MIN('Hours Log'!$A$4:$A$5000)+7*(ROW()-10)&gt;MAX('Hours Log'!$A$4:$A$5000),"",MIN('Hours Log'!$A$4:$A$5000)+7*(ROW()-10)))</f>
        <v/>
      </c>
    </row>
    <row r="727">
      <c r="A727">
        <f>IF($J727="","",YEAR($J727-WEEKDAY($J727,2)+4)&amp;"-W"&amp;TEXT(WEEKNUM($J727,21),"00"))</f>
        <v/>
      </c>
      <c r="B727" s="41">
        <f>IF($J727="","",COUNTIFS(Roster!$D$4:$D$500,"Active",Roster!$C$4:$C$500,"&lt;="&amp;$J727))</f>
        <v/>
      </c>
      <c r="C727">
        <f>IF($J727="","",SUMIFS('Hours Log'!$C:$C,'Hours Log'!$A:$A,"&gt;="&amp;$J727,'Hours Log'!$A:$A,"&lt;"&amp;$J727+7)+SUMIFS('Hours Log'!$D:$D,'Hours Log'!$A:$A,"&gt;="&amp;$J727,'Hours Log'!$A:$A,"&lt;"&amp;$J727+7))</f>
        <v/>
      </c>
      <c r="D727">
        <f>IF($J727="","",SUMIFS('Hours Log'!$D:$D,'Hours Log'!$A:$A,"&gt;="&amp;$J727,'Hours Log'!$A:$A,"&lt;"&amp;$J727+7))</f>
        <v/>
      </c>
      <c r="E727">
        <f>IF($J727="","",IFERROR(C727/(B727*40),0))</f>
        <v/>
      </c>
      <c r="F727">
        <f>IF($J727="","",0)</f>
        <v/>
      </c>
      <c r="G727">
        <f>IF($J727="","",SUMIFS('Hours Log'!$E:$E,'Hours Log'!$A:$A,"&gt;="&amp;$J727,'Hours Log'!$A:$A,"&lt;"&amp;$J727+7))</f>
        <v/>
      </c>
      <c r="J727">
        <f>IF(COUNT('Hours Log'!$A$4:$A$5000)=0,"",IF(MIN('Hours Log'!$A$4:$A$5000)+7*(ROW()-10)&gt;MAX('Hours Log'!$A$4:$A$5000),"",MIN('Hours Log'!$A$4:$A$5000)+7*(ROW()-10)))</f>
        <v/>
      </c>
    </row>
    <row r="728">
      <c r="A728">
        <f>IF($J728="","",YEAR($J728-WEEKDAY($J728,2)+4)&amp;"-W"&amp;TEXT(WEEKNUM($J728,21),"00"))</f>
        <v/>
      </c>
      <c r="B728" s="41">
        <f>IF($J728="","",COUNTIFS(Roster!$D$4:$D$500,"Active",Roster!$C$4:$C$500,"&lt;="&amp;$J728))</f>
        <v/>
      </c>
      <c r="C728">
        <f>IF($J728="","",SUMIFS('Hours Log'!$C:$C,'Hours Log'!$A:$A,"&gt;="&amp;$J728,'Hours Log'!$A:$A,"&lt;"&amp;$J728+7)+SUMIFS('Hours Log'!$D:$D,'Hours Log'!$A:$A,"&gt;="&amp;$J728,'Hours Log'!$A:$A,"&lt;"&amp;$J728+7))</f>
        <v/>
      </c>
      <c r="D728">
        <f>IF($J728="","",SUMIFS('Hours Log'!$D:$D,'Hours Log'!$A:$A,"&gt;="&amp;$J728,'Hours Log'!$A:$A,"&lt;"&amp;$J728+7))</f>
        <v/>
      </c>
      <c r="E728">
        <f>IF($J728="","",IFERROR(C728/(B728*40),0))</f>
        <v/>
      </c>
      <c r="F728">
        <f>IF($J728="","",0)</f>
        <v/>
      </c>
      <c r="G728">
        <f>IF($J728="","",SUMIFS('Hours Log'!$E:$E,'Hours Log'!$A:$A,"&gt;="&amp;$J728,'Hours Log'!$A:$A,"&lt;"&amp;$J728+7))</f>
        <v/>
      </c>
      <c r="J728">
        <f>IF(COUNT('Hours Log'!$A$4:$A$5000)=0,"",IF(MIN('Hours Log'!$A$4:$A$5000)+7*(ROW()-10)&gt;MAX('Hours Log'!$A$4:$A$5000),"",MIN('Hours Log'!$A$4:$A$5000)+7*(ROW()-10)))</f>
        <v/>
      </c>
    </row>
    <row r="729">
      <c r="A729">
        <f>IF($J729="","",YEAR($J729-WEEKDAY($J729,2)+4)&amp;"-W"&amp;TEXT(WEEKNUM($J729,21),"00"))</f>
        <v/>
      </c>
      <c r="B729" s="41">
        <f>IF($J729="","",COUNTIFS(Roster!$D$4:$D$500,"Active",Roster!$C$4:$C$500,"&lt;="&amp;$J729))</f>
        <v/>
      </c>
      <c r="C729">
        <f>IF($J729="","",SUMIFS('Hours Log'!$C:$C,'Hours Log'!$A:$A,"&gt;="&amp;$J729,'Hours Log'!$A:$A,"&lt;"&amp;$J729+7)+SUMIFS('Hours Log'!$D:$D,'Hours Log'!$A:$A,"&gt;="&amp;$J729,'Hours Log'!$A:$A,"&lt;"&amp;$J729+7))</f>
        <v/>
      </c>
      <c r="D729">
        <f>IF($J729="","",SUMIFS('Hours Log'!$D:$D,'Hours Log'!$A:$A,"&gt;="&amp;$J729,'Hours Log'!$A:$A,"&lt;"&amp;$J729+7))</f>
        <v/>
      </c>
      <c r="E729">
        <f>IF($J729="","",IFERROR(C729/(B729*40),0))</f>
        <v/>
      </c>
      <c r="F729">
        <f>IF($J729="","",0)</f>
        <v/>
      </c>
      <c r="G729">
        <f>IF($J729="","",SUMIFS('Hours Log'!$E:$E,'Hours Log'!$A:$A,"&gt;="&amp;$J729,'Hours Log'!$A:$A,"&lt;"&amp;$J729+7))</f>
        <v/>
      </c>
      <c r="J729">
        <f>IF(COUNT('Hours Log'!$A$4:$A$5000)=0,"",IF(MIN('Hours Log'!$A$4:$A$5000)+7*(ROW()-10)&gt;MAX('Hours Log'!$A$4:$A$5000),"",MIN('Hours Log'!$A$4:$A$5000)+7*(ROW()-10)))</f>
        <v/>
      </c>
    </row>
    <row r="730">
      <c r="A730">
        <f>IF($J730="","",YEAR($J730-WEEKDAY($J730,2)+4)&amp;"-W"&amp;TEXT(WEEKNUM($J730,21),"00"))</f>
        <v/>
      </c>
      <c r="B730" s="41">
        <f>IF($J730="","",COUNTIFS(Roster!$D$4:$D$500,"Active",Roster!$C$4:$C$500,"&lt;="&amp;$J730))</f>
        <v/>
      </c>
      <c r="C730">
        <f>IF($J730="","",SUMIFS('Hours Log'!$C:$C,'Hours Log'!$A:$A,"&gt;="&amp;$J730,'Hours Log'!$A:$A,"&lt;"&amp;$J730+7)+SUMIFS('Hours Log'!$D:$D,'Hours Log'!$A:$A,"&gt;="&amp;$J730,'Hours Log'!$A:$A,"&lt;"&amp;$J730+7))</f>
        <v/>
      </c>
      <c r="D730">
        <f>IF($J730="","",SUMIFS('Hours Log'!$D:$D,'Hours Log'!$A:$A,"&gt;="&amp;$J730,'Hours Log'!$A:$A,"&lt;"&amp;$J730+7))</f>
        <v/>
      </c>
      <c r="E730">
        <f>IF($J730="","",IFERROR(C730/(B730*40),0))</f>
        <v/>
      </c>
      <c r="F730">
        <f>IF($J730="","",0)</f>
        <v/>
      </c>
      <c r="G730">
        <f>IF($J730="","",SUMIFS('Hours Log'!$E:$E,'Hours Log'!$A:$A,"&gt;="&amp;$J730,'Hours Log'!$A:$A,"&lt;"&amp;$J730+7))</f>
        <v/>
      </c>
      <c r="J730">
        <f>IF(COUNT('Hours Log'!$A$4:$A$5000)=0,"",IF(MIN('Hours Log'!$A$4:$A$5000)+7*(ROW()-10)&gt;MAX('Hours Log'!$A$4:$A$5000),"",MIN('Hours Log'!$A$4:$A$5000)+7*(ROW()-10)))</f>
        <v/>
      </c>
    </row>
    <row r="731">
      <c r="A731">
        <f>IF($J731="","",YEAR($J731-WEEKDAY($J731,2)+4)&amp;"-W"&amp;TEXT(WEEKNUM($J731,21),"00"))</f>
        <v/>
      </c>
      <c r="B731" s="41">
        <f>IF($J731="","",COUNTIFS(Roster!$D$4:$D$500,"Active",Roster!$C$4:$C$500,"&lt;="&amp;$J731))</f>
        <v/>
      </c>
      <c r="C731">
        <f>IF($J731="","",SUMIFS('Hours Log'!$C:$C,'Hours Log'!$A:$A,"&gt;="&amp;$J731,'Hours Log'!$A:$A,"&lt;"&amp;$J731+7)+SUMIFS('Hours Log'!$D:$D,'Hours Log'!$A:$A,"&gt;="&amp;$J731,'Hours Log'!$A:$A,"&lt;"&amp;$J731+7))</f>
        <v/>
      </c>
      <c r="D731">
        <f>IF($J731="","",SUMIFS('Hours Log'!$D:$D,'Hours Log'!$A:$A,"&gt;="&amp;$J731,'Hours Log'!$A:$A,"&lt;"&amp;$J731+7))</f>
        <v/>
      </c>
      <c r="E731">
        <f>IF($J731="","",IFERROR(C731/(B731*40),0))</f>
        <v/>
      </c>
      <c r="F731">
        <f>IF($J731="","",0)</f>
        <v/>
      </c>
      <c r="G731">
        <f>IF($J731="","",SUMIFS('Hours Log'!$E:$E,'Hours Log'!$A:$A,"&gt;="&amp;$J731,'Hours Log'!$A:$A,"&lt;"&amp;$J731+7))</f>
        <v/>
      </c>
      <c r="J731">
        <f>IF(COUNT('Hours Log'!$A$4:$A$5000)=0,"",IF(MIN('Hours Log'!$A$4:$A$5000)+7*(ROW()-10)&gt;MAX('Hours Log'!$A$4:$A$5000),"",MIN('Hours Log'!$A$4:$A$5000)+7*(ROW()-10)))</f>
        <v/>
      </c>
    </row>
    <row r="732">
      <c r="A732">
        <f>IF($J732="","",YEAR($J732-WEEKDAY($J732,2)+4)&amp;"-W"&amp;TEXT(WEEKNUM($J732,21),"00"))</f>
        <v/>
      </c>
      <c r="B732" s="41">
        <f>IF($J732="","",COUNTIFS(Roster!$D$4:$D$500,"Active",Roster!$C$4:$C$500,"&lt;="&amp;$J732))</f>
        <v/>
      </c>
      <c r="C732">
        <f>IF($J732="","",SUMIFS('Hours Log'!$C:$C,'Hours Log'!$A:$A,"&gt;="&amp;$J732,'Hours Log'!$A:$A,"&lt;"&amp;$J732+7)+SUMIFS('Hours Log'!$D:$D,'Hours Log'!$A:$A,"&gt;="&amp;$J732,'Hours Log'!$A:$A,"&lt;"&amp;$J732+7))</f>
        <v/>
      </c>
      <c r="D732">
        <f>IF($J732="","",SUMIFS('Hours Log'!$D:$D,'Hours Log'!$A:$A,"&gt;="&amp;$J732,'Hours Log'!$A:$A,"&lt;"&amp;$J732+7))</f>
        <v/>
      </c>
      <c r="E732">
        <f>IF($J732="","",IFERROR(C732/(B732*40),0))</f>
        <v/>
      </c>
      <c r="F732">
        <f>IF($J732="","",0)</f>
        <v/>
      </c>
      <c r="G732">
        <f>IF($J732="","",SUMIFS('Hours Log'!$E:$E,'Hours Log'!$A:$A,"&gt;="&amp;$J732,'Hours Log'!$A:$A,"&lt;"&amp;$J732+7))</f>
        <v/>
      </c>
      <c r="J732">
        <f>IF(COUNT('Hours Log'!$A$4:$A$5000)=0,"",IF(MIN('Hours Log'!$A$4:$A$5000)+7*(ROW()-10)&gt;MAX('Hours Log'!$A$4:$A$5000),"",MIN('Hours Log'!$A$4:$A$5000)+7*(ROW()-10)))</f>
        <v/>
      </c>
    </row>
    <row r="733">
      <c r="A733">
        <f>IF($J733="","",YEAR($J733-WEEKDAY($J733,2)+4)&amp;"-W"&amp;TEXT(WEEKNUM($J733,21),"00"))</f>
        <v/>
      </c>
      <c r="B733" s="41">
        <f>IF($J733="","",COUNTIFS(Roster!$D$4:$D$500,"Active",Roster!$C$4:$C$500,"&lt;="&amp;$J733))</f>
        <v/>
      </c>
      <c r="C733">
        <f>IF($J733="","",SUMIFS('Hours Log'!$C:$C,'Hours Log'!$A:$A,"&gt;="&amp;$J733,'Hours Log'!$A:$A,"&lt;"&amp;$J733+7)+SUMIFS('Hours Log'!$D:$D,'Hours Log'!$A:$A,"&gt;="&amp;$J733,'Hours Log'!$A:$A,"&lt;"&amp;$J733+7))</f>
        <v/>
      </c>
      <c r="D733">
        <f>IF($J733="","",SUMIFS('Hours Log'!$D:$D,'Hours Log'!$A:$A,"&gt;="&amp;$J733,'Hours Log'!$A:$A,"&lt;"&amp;$J733+7))</f>
        <v/>
      </c>
      <c r="E733">
        <f>IF($J733="","",IFERROR(C733/(B733*40),0))</f>
        <v/>
      </c>
      <c r="F733">
        <f>IF($J733="","",0)</f>
        <v/>
      </c>
      <c r="G733">
        <f>IF($J733="","",SUMIFS('Hours Log'!$E:$E,'Hours Log'!$A:$A,"&gt;="&amp;$J733,'Hours Log'!$A:$A,"&lt;"&amp;$J733+7))</f>
        <v/>
      </c>
      <c r="J733">
        <f>IF(COUNT('Hours Log'!$A$4:$A$5000)=0,"",IF(MIN('Hours Log'!$A$4:$A$5000)+7*(ROW()-10)&gt;MAX('Hours Log'!$A$4:$A$5000),"",MIN('Hours Log'!$A$4:$A$5000)+7*(ROW()-10)))</f>
        <v/>
      </c>
    </row>
    <row r="734">
      <c r="A734">
        <f>IF($J734="","",YEAR($J734-WEEKDAY($J734,2)+4)&amp;"-W"&amp;TEXT(WEEKNUM($J734,21),"00"))</f>
        <v/>
      </c>
      <c r="B734" s="41">
        <f>IF($J734="","",COUNTIFS(Roster!$D$4:$D$500,"Active",Roster!$C$4:$C$500,"&lt;="&amp;$J734))</f>
        <v/>
      </c>
      <c r="C734">
        <f>IF($J734="","",SUMIFS('Hours Log'!$C:$C,'Hours Log'!$A:$A,"&gt;="&amp;$J734,'Hours Log'!$A:$A,"&lt;"&amp;$J734+7)+SUMIFS('Hours Log'!$D:$D,'Hours Log'!$A:$A,"&gt;="&amp;$J734,'Hours Log'!$A:$A,"&lt;"&amp;$J734+7))</f>
        <v/>
      </c>
      <c r="D734">
        <f>IF($J734="","",SUMIFS('Hours Log'!$D:$D,'Hours Log'!$A:$A,"&gt;="&amp;$J734,'Hours Log'!$A:$A,"&lt;"&amp;$J734+7))</f>
        <v/>
      </c>
      <c r="E734">
        <f>IF($J734="","",IFERROR(C734/(B734*40),0))</f>
        <v/>
      </c>
      <c r="F734">
        <f>IF($J734="","",0)</f>
        <v/>
      </c>
      <c r="G734">
        <f>IF($J734="","",SUMIFS('Hours Log'!$E:$E,'Hours Log'!$A:$A,"&gt;="&amp;$J734,'Hours Log'!$A:$A,"&lt;"&amp;$J734+7))</f>
        <v/>
      </c>
      <c r="J734">
        <f>IF(COUNT('Hours Log'!$A$4:$A$5000)=0,"",IF(MIN('Hours Log'!$A$4:$A$5000)+7*(ROW()-10)&gt;MAX('Hours Log'!$A$4:$A$5000),"",MIN('Hours Log'!$A$4:$A$5000)+7*(ROW()-10)))</f>
        <v/>
      </c>
    </row>
    <row r="735">
      <c r="A735">
        <f>IF($J735="","",YEAR($J735-WEEKDAY($J735,2)+4)&amp;"-W"&amp;TEXT(WEEKNUM($J735,21),"00"))</f>
        <v/>
      </c>
      <c r="B735" s="41">
        <f>IF($J735="","",COUNTIFS(Roster!$D$4:$D$500,"Active",Roster!$C$4:$C$500,"&lt;="&amp;$J735))</f>
        <v/>
      </c>
      <c r="C735">
        <f>IF($J735="","",SUMIFS('Hours Log'!$C:$C,'Hours Log'!$A:$A,"&gt;="&amp;$J735,'Hours Log'!$A:$A,"&lt;"&amp;$J735+7)+SUMIFS('Hours Log'!$D:$D,'Hours Log'!$A:$A,"&gt;="&amp;$J735,'Hours Log'!$A:$A,"&lt;"&amp;$J735+7))</f>
        <v/>
      </c>
      <c r="D735">
        <f>IF($J735="","",SUMIFS('Hours Log'!$D:$D,'Hours Log'!$A:$A,"&gt;="&amp;$J735,'Hours Log'!$A:$A,"&lt;"&amp;$J735+7))</f>
        <v/>
      </c>
      <c r="E735">
        <f>IF($J735="","",IFERROR(C735/(B735*40),0))</f>
        <v/>
      </c>
      <c r="F735">
        <f>IF($J735="","",0)</f>
        <v/>
      </c>
      <c r="G735">
        <f>IF($J735="","",SUMIFS('Hours Log'!$E:$E,'Hours Log'!$A:$A,"&gt;="&amp;$J735,'Hours Log'!$A:$A,"&lt;"&amp;$J735+7))</f>
        <v/>
      </c>
      <c r="J735">
        <f>IF(COUNT('Hours Log'!$A$4:$A$5000)=0,"",IF(MIN('Hours Log'!$A$4:$A$5000)+7*(ROW()-10)&gt;MAX('Hours Log'!$A$4:$A$5000),"",MIN('Hours Log'!$A$4:$A$5000)+7*(ROW()-10)))</f>
        <v/>
      </c>
    </row>
    <row r="736">
      <c r="A736">
        <f>IF($J736="","",YEAR($J736-WEEKDAY($J736,2)+4)&amp;"-W"&amp;TEXT(WEEKNUM($J736,21),"00"))</f>
        <v/>
      </c>
      <c r="B736" s="41">
        <f>IF($J736="","",COUNTIFS(Roster!$D$4:$D$500,"Active",Roster!$C$4:$C$500,"&lt;="&amp;$J736))</f>
        <v/>
      </c>
      <c r="C736">
        <f>IF($J736="","",SUMIFS('Hours Log'!$C:$C,'Hours Log'!$A:$A,"&gt;="&amp;$J736,'Hours Log'!$A:$A,"&lt;"&amp;$J736+7)+SUMIFS('Hours Log'!$D:$D,'Hours Log'!$A:$A,"&gt;="&amp;$J736,'Hours Log'!$A:$A,"&lt;"&amp;$J736+7))</f>
        <v/>
      </c>
      <c r="D736">
        <f>IF($J736="","",SUMIFS('Hours Log'!$D:$D,'Hours Log'!$A:$A,"&gt;="&amp;$J736,'Hours Log'!$A:$A,"&lt;"&amp;$J736+7))</f>
        <v/>
      </c>
      <c r="E736">
        <f>IF($J736="","",IFERROR(C736/(B736*40),0))</f>
        <v/>
      </c>
      <c r="F736">
        <f>IF($J736="","",0)</f>
        <v/>
      </c>
      <c r="G736">
        <f>IF($J736="","",SUMIFS('Hours Log'!$E:$E,'Hours Log'!$A:$A,"&gt;="&amp;$J736,'Hours Log'!$A:$A,"&lt;"&amp;$J736+7))</f>
        <v/>
      </c>
      <c r="J736">
        <f>IF(COUNT('Hours Log'!$A$4:$A$5000)=0,"",IF(MIN('Hours Log'!$A$4:$A$5000)+7*(ROW()-10)&gt;MAX('Hours Log'!$A$4:$A$5000),"",MIN('Hours Log'!$A$4:$A$5000)+7*(ROW()-10)))</f>
        <v/>
      </c>
    </row>
    <row r="737">
      <c r="A737">
        <f>IF($J737="","",YEAR($J737-WEEKDAY($J737,2)+4)&amp;"-W"&amp;TEXT(WEEKNUM($J737,21),"00"))</f>
        <v/>
      </c>
      <c r="B737" s="41">
        <f>IF($J737="","",COUNTIFS(Roster!$D$4:$D$500,"Active",Roster!$C$4:$C$500,"&lt;="&amp;$J737))</f>
        <v/>
      </c>
      <c r="C737">
        <f>IF($J737="","",SUMIFS('Hours Log'!$C:$C,'Hours Log'!$A:$A,"&gt;="&amp;$J737,'Hours Log'!$A:$A,"&lt;"&amp;$J737+7)+SUMIFS('Hours Log'!$D:$D,'Hours Log'!$A:$A,"&gt;="&amp;$J737,'Hours Log'!$A:$A,"&lt;"&amp;$J737+7))</f>
        <v/>
      </c>
      <c r="D737">
        <f>IF($J737="","",SUMIFS('Hours Log'!$D:$D,'Hours Log'!$A:$A,"&gt;="&amp;$J737,'Hours Log'!$A:$A,"&lt;"&amp;$J737+7))</f>
        <v/>
      </c>
      <c r="E737">
        <f>IF($J737="","",IFERROR(C737/(B737*40),0))</f>
        <v/>
      </c>
      <c r="F737">
        <f>IF($J737="","",0)</f>
        <v/>
      </c>
      <c r="G737">
        <f>IF($J737="","",SUMIFS('Hours Log'!$E:$E,'Hours Log'!$A:$A,"&gt;="&amp;$J737,'Hours Log'!$A:$A,"&lt;"&amp;$J737+7))</f>
        <v/>
      </c>
      <c r="J737">
        <f>IF(COUNT('Hours Log'!$A$4:$A$5000)=0,"",IF(MIN('Hours Log'!$A$4:$A$5000)+7*(ROW()-10)&gt;MAX('Hours Log'!$A$4:$A$5000),"",MIN('Hours Log'!$A$4:$A$5000)+7*(ROW()-10)))</f>
        <v/>
      </c>
    </row>
    <row r="738">
      <c r="A738">
        <f>IF($J738="","",YEAR($J738-WEEKDAY($J738,2)+4)&amp;"-W"&amp;TEXT(WEEKNUM($J738,21),"00"))</f>
        <v/>
      </c>
      <c r="B738" s="41">
        <f>IF($J738="","",COUNTIFS(Roster!$D$4:$D$500,"Active",Roster!$C$4:$C$500,"&lt;="&amp;$J738))</f>
        <v/>
      </c>
      <c r="C738">
        <f>IF($J738="","",SUMIFS('Hours Log'!$C:$C,'Hours Log'!$A:$A,"&gt;="&amp;$J738,'Hours Log'!$A:$A,"&lt;"&amp;$J738+7)+SUMIFS('Hours Log'!$D:$D,'Hours Log'!$A:$A,"&gt;="&amp;$J738,'Hours Log'!$A:$A,"&lt;"&amp;$J738+7))</f>
        <v/>
      </c>
      <c r="D738">
        <f>IF($J738="","",SUMIFS('Hours Log'!$D:$D,'Hours Log'!$A:$A,"&gt;="&amp;$J738,'Hours Log'!$A:$A,"&lt;"&amp;$J738+7))</f>
        <v/>
      </c>
      <c r="E738">
        <f>IF($J738="","",IFERROR(C738/(B738*40),0))</f>
        <v/>
      </c>
      <c r="F738">
        <f>IF($J738="","",0)</f>
        <v/>
      </c>
      <c r="G738">
        <f>IF($J738="","",SUMIFS('Hours Log'!$E:$E,'Hours Log'!$A:$A,"&gt;="&amp;$J738,'Hours Log'!$A:$A,"&lt;"&amp;$J738+7))</f>
        <v/>
      </c>
      <c r="J738">
        <f>IF(COUNT('Hours Log'!$A$4:$A$5000)=0,"",IF(MIN('Hours Log'!$A$4:$A$5000)+7*(ROW()-10)&gt;MAX('Hours Log'!$A$4:$A$5000),"",MIN('Hours Log'!$A$4:$A$5000)+7*(ROW()-10)))</f>
        <v/>
      </c>
    </row>
    <row r="739">
      <c r="A739">
        <f>IF($J739="","",YEAR($J739-WEEKDAY($J739,2)+4)&amp;"-W"&amp;TEXT(WEEKNUM($J739,21),"00"))</f>
        <v/>
      </c>
      <c r="B739" s="41">
        <f>IF($J739="","",COUNTIFS(Roster!$D$4:$D$500,"Active",Roster!$C$4:$C$500,"&lt;="&amp;$J739))</f>
        <v/>
      </c>
      <c r="C739">
        <f>IF($J739="","",SUMIFS('Hours Log'!$C:$C,'Hours Log'!$A:$A,"&gt;="&amp;$J739,'Hours Log'!$A:$A,"&lt;"&amp;$J739+7)+SUMIFS('Hours Log'!$D:$D,'Hours Log'!$A:$A,"&gt;="&amp;$J739,'Hours Log'!$A:$A,"&lt;"&amp;$J739+7))</f>
        <v/>
      </c>
      <c r="D739">
        <f>IF($J739="","",SUMIFS('Hours Log'!$D:$D,'Hours Log'!$A:$A,"&gt;="&amp;$J739,'Hours Log'!$A:$A,"&lt;"&amp;$J739+7))</f>
        <v/>
      </c>
      <c r="E739">
        <f>IF($J739="","",IFERROR(C739/(B739*40),0))</f>
        <v/>
      </c>
      <c r="F739">
        <f>IF($J739="","",0)</f>
        <v/>
      </c>
      <c r="G739">
        <f>IF($J739="","",SUMIFS('Hours Log'!$E:$E,'Hours Log'!$A:$A,"&gt;="&amp;$J739,'Hours Log'!$A:$A,"&lt;"&amp;$J739+7))</f>
        <v/>
      </c>
      <c r="J739">
        <f>IF(COUNT('Hours Log'!$A$4:$A$5000)=0,"",IF(MIN('Hours Log'!$A$4:$A$5000)+7*(ROW()-10)&gt;MAX('Hours Log'!$A$4:$A$5000),"",MIN('Hours Log'!$A$4:$A$5000)+7*(ROW()-10)))</f>
        <v/>
      </c>
    </row>
    <row r="740">
      <c r="A740">
        <f>IF($J740="","",YEAR($J740-WEEKDAY($J740,2)+4)&amp;"-W"&amp;TEXT(WEEKNUM($J740,21),"00"))</f>
        <v/>
      </c>
      <c r="B740" s="41">
        <f>IF($J740="","",COUNTIFS(Roster!$D$4:$D$500,"Active",Roster!$C$4:$C$500,"&lt;="&amp;$J740))</f>
        <v/>
      </c>
      <c r="C740">
        <f>IF($J740="","",SUMIFS('Hours Log'!$C:$C,'Hours Log'!$A:$A,"&gt;="&amp;$J740,'Hours Log'!$A:$A,"&lt;"&amp;$J740+7)+SUMIFS('Hours Log'!$D:$D,'Hours Log'!$A:$A,"&gt;="&amp;$J740,'Hours Log'!$A:$A,"&lt;"&amp;$J740+7))</f>
        <v/>
      </c>
      <c r="D740">
        <f>IF($J740="","",SUMIFS('Hours Log'!$D:$D,'Hours Log'!$A:$A,"&gt;="&amp;$J740,'Hours Log'!$A:$A,"&lt;"&amp;$J740+7))</f>
        <v/>
      </c>
      <c r="E740">
        <f>IF($J740="","",IFERROR(C740/(B740*40),0))</f>
        <v/>
      </c>
      <c r="F740">
        <f>IF($J740="","",0)</f>
        <v/>
      </c>
      <c r="G740">
        <f>IF($J740="","",SUMIFS('Hours Log'!$E:$E,'Hours Log'!$A:$A,"&gt;="&amp;$J740,'Hours Log'!$A:$A,"&lt;"&amp;$J740+7))</f>
        <v/>
      </c>
      <c r="J740">
        <f>IF(COUNT('Hours Log'!$A$4:$A$5000)=0,"",IF(MIN('Hours Log'!$A$4:$A$5000)+7*(ROW()-10)&gt;MAX('Hours Log'!$A$4:$A$5000),"",MIN('Hours Log'!$A$4:$A$5000)+7*(ROW()-10)))</f>
        <v/>
      </c>
    </row>
    <row r="741">
      <c r="A741">
        <f>IF($J741="","",YEAR($J741-WEEKDAY($J741,2)+4)&amp;"-W"&amp;TEXT(WEEKNUM($J741,21),"00"))</f>
        <v/>
      </c>
      <c r="B741" s="41">
        <f>IF($J741="","",COUNTIFS(Roster!$D$4:$D$500,"Active",Roster!$C$4:$C$500,"&lt;="&amp;$J741))</f>
        <v/>
      </c>
      <c r="C741">
        <f>IF($J741="","",SUMIFS('Hours Log'!$C:$C,'Hours Log'!$A:$A,"&gt;="&amp;$J741,'Hours Log'!$A:$A,"&lt;"&amp;$J741+7)+SUMIFS('Hours Log'!$D:$D,'Hours Log'!$A:$A,"&gt;="&amp;$J741,'Hours Log'!$A:$A,"&lt;"&amp;$J741+7))</f>
        <v/>
      </c>
      <c r="D741">
        <f>IF($J741="","",SUMIFS('Hours Log'!$D:$D,'Hours Log'!$A:$A,"&gt;="&amp;$J741,'Hours Log'!$A:$A,"&lt;"&amp;$J741+7))</f>
        <v/>
      </c>
      <c r="E741">
        <f>IF($J741="","",IFERROR(C741/(B741*40),0))</f>
        <v/>
      </c>
      <c r="F741">
        <f>IF($J741="","",0)</f>
        <v/>
      </c>
      <c r="G741">
        <f>IF($J741="","",SUMIFS('Hours Log'!$E:$E,'Hours Log'!$A:$A,"&gt;="&amp;$J741,'Hours Log'!$A:$A,"&lt;"&amp;$J741+7))</f>
        <v/>
      </c>
      <c r="J741">
        <f>IF(COUNT('Hours Log'!$A$4:$A$5000)=0,"",IF(MIN('Hours Log'!$A$4:$A$5000)+7*(ROW()-10)&gt;MAX('Hours Log'!$A$4:$A$5000),"",MIN('Hours Log'!$A$4:$A$5000)+7*(ROW()-10)))</f>
        <v/>
      </c>
    </row>
    <row r="742">
      <c r="A742">
        <f>IF($J742="","",YEAR($J742-WEEKDAY($J742,2)+4)&amp;"-W"&amp;TEXT(WEEKNUM($J742,21),"00"))</f>
        <v/>
      </c>
      <c r="B742" s="41">
        <f>IF($J742="","",COUNTIFS(Roster!$D$4:$D$500,"Active",Roster!$C$4:$C$500,"&lt;="&amp;$J742))</f>
        <v/>
      </c>
      <c r="C742">
        <f>IF($J742="","",SUMIFS('Hours Log'!$C:$C,'Hours Log'!$A:$A,"&gt;="&amp;$J742,'Hours Log'!$A:$A,"&lt;"&amp;$J742+7)+SUMIFS('Hours Log'!$D:$D,'Hours Log'!$A:$A,"&gt;="&amp;$J742,'Hours Log'!$A:$A,"&lt;"&amp;$J742+7))</f>
        <v/>
      </c>
      <c r="D742">
        <f>IF($J742="","",SUMIFS('Hours Log'!$D:$D,'Hours Log'!$A:$A,"&gt;="&amp;$J742,'Hours Log'!$A:$A,"&lt;"&amp;$J742+7))</f>
        <v/>
      </c>
      <c r="E742">
        <f>IF($J742="","",IFERROR(C742/(B742*40),0))</f>
        <v/>
      </c>
      <c r="F742">
        <f>IF($J742="","",0)</f>
        <v/>
      </c>
      <c r="G742">
        <f>IF($J742="","",SUMIFS('Hours Log'!$E:$E,'Hours Log'!$A:$A,"&gt;="&amp;$J742,'Hours Log'!$A:$A,"&lt;"&amp;$J742+7))</f>
        <v/>
      </c>
      <c r="J742">
        <f>IF(COUNT('Hours Log'!$A$4:$A$5000)=0,"",IF(MIN('Hours Log'!$A$4:$A$5000)+7*(ROW()-10)&gt;MAX('Hours Log'!$A$4:$A$5000),"",MIN('Hours Log'!$A$4:$A$5000)+7*(ROW()-10)))</f>
        <v/>
      </c>
    </row>
    <row r="743">
      <c r="A743">
        <f>IF($J743="","",YEAR($J743-WEEKDAY($J743,2)+4)&amp;"-W"&amp;TEXT(WEEKNUM($J743,21),"00"))</f>
        <v/>
      </c>
      <c r="B743" s="41">
        <f>IF($J743="","",COUNTIFS(Roster!$D$4:$D$500,"Active",Roster!$C$4:$C$500,"&lt;="&amp;$J743))</f>
        <v/>
      </c>
      <c r="C743">
        <f>IF($J743="","",SUMIFS('Hours Log'!$C:$C,'Hours Log'!$A:$A,"&gt;="&amp;$J743,'Hours Log'!$A:$A,"&lt;"&amp;$J743+7)+SUMIFS('Hours Log'!$D:$D,'Hours Log'!$A:$A,"&gt;="&amp;$J743,'Hours Log'!$A:$A,"&lt;"&amp;$J743+7))</f>
        <v/>
      </c>
      <c r="D743">
        <f>IF($J743="","",SUMIFS('Hours Log'!$D:$D,'Hours Log'!$A:$A,"&gt;="&amp;$J743,'Hours Log'!$A:$A,"&lt;"&amp;$J743+7))</f>
        <v/>
      </c>
      <c r="E743">
        <f>IF($J743="","",IFERROR(C743/(B743*40),0))</f>
        <v/>
      </c>
      <c r="F743">
        <f>IF($J743="","",0)</f>
        <v/>
      </c>
      <c r="G743">
        <f>IF($J743="","",SUMIFS('Hours Log'!$E:$E,'Hours Log'!$A:$A,"&gt;="&amp;$J743,'Hours Log'!$A:$A,"&lt;"&amp;$J743+7))</f>
        <v/>
      </c>
      <c r="J743">
        <f>IF(COUNT('Hours Log'!$A$4:$A$5000)=0,"",IF(MIN('Hours Log'!$A$4:$A$5000)+7*(ROW()-10)&gt;MAX('Hours Log'!$A$4:$A$5000),"",MIN('Hours Log'!$A$4:$A$5000)+7*(ROW()-10)))</f>
        <v/>
      </c>
    </row>
    <row r="744">
      <c r="A744">
        <f>IF($J744="","",YEAR($J744-WEEKDAY($J744,2)+4)&amp;"-W"&amp;TEXT(WEEKNUM($J744,21),"00"))</f>
        <v/>
      </c>
      <c r="B744" s="41">
        <f>IF($J744="","",COUNTIFS(Roster!$D$4:$D$500,"Active",Roster!$C$4:$C$500,"&lt;="&amp;$J744))</f>
        <v/>
      </c>
      <c r="C744">
        <f>IF($J744="","",SUMIFS('Hours Log'!$C:$C,'Hours Log'!$A:$A,"&gt;="&amp;$J744,'Hours Log'!$A:$A,"&lt;"&amp;$J744+7)+SUMIFS('Hours Log'!$D:$D,'Hours Log'!$A:$A,"&gt;="&amp;$J744,'Hours Log'!$A:$A,"&lt;"&amp;$J744+7))</f>
        <v/>
      </c>
      <c r="D744">
        <f>IF($J744="","",SUMIFS('Hours Log'!$D:$D,'Hours Log'!$A:$A,"&gt;="&amp;$J744,'Hours Log'!$A:$A,"&lt;"&amp;$J744+7))</f>
        <v/>
      </c>
      <c r="E744">
        <f>IF($J744="","",IFERROR(C744/(B744*40),0))</f>
        <v/>
      </c>
      <c r="F744">
        <f>IF($J744="","",0)</f>
        <v/>
      </c>
      <c r="G744">
        <f>IF($J744="","",SUMIFS('Hours Log'!$E:$E,'Hours Log'!$A:$A,"&gt;="&amp;$J744,'Hours Log'!$A:$A,"&lt;"&amp;$J744+7))</f>
        <v/>
      </c>
      <c r="J744">
        <f>IF(COUNT('Hours Log'!$A$4:$A$5000)=0,"",IF(MIN('Hours Log'!$A$4:$A$5000)+7*(ROW()-10)&gt;MAX('Hours Log'!$A$4:$A$5000),"",MIN('Hours Log'!$A$4:$A$5000)+7*(ROW()-10)))</f>
        <v/>
      </c>
    </row>
    <row r="745">
      <c r="A745">
        <f>IF($J745="","",YEAR($J745-WEEKDAY($J745,2)+4)&amp;"-W"&amp;TEXT(WEEKNUM($J745,21),"00"))</f>
        <v/>
      </c>
      <c r="B745" s="41">
        <f>IF($J745="","",COUNTIFS(Roster!$D$4:$D$500,"Active",Roster!$C$4:$C$500,"&lt;="&amp;$J745))</f>
        <v/>
      </c>
      <c r="C745">
        <f>IF($J745="","",SUMIFS('Hours Log'!$C:$C,'Hours Log'!$A:$A,"&gt;="&amp;$J745,'Hours Log'!$A:$A,"&lt;"&amp;$J745+7)+SUMIFS('Hours Log'!$D:$D,'Hours Log'!$A:$A,"&gt;="&amp;$J745,'Hours Log'!$A:$A,"&lt;"&amp;$J745+7))</f>
        <v/>
      </c>
      <c r="D745">
        <f>IF($J745="","",SUMIFS('Hours Log'!$D:$D,'Hours Log'!$A:$A,"&gt;="&amp;$J745,'Hours Log'!$A:$A,"&lt;"&amp;$J745+7))</f>
        <v/>
      </c>
      <c r="E745">
        <f>IF($J745="","",IFERROR(C745/(B745*40),0))</f>
        <v/>
      </c>
      <c r="F745">
        <f>IF($J745="","",0)</f>
        <v/>
      </c>
      <c r="G745">
        <f>IF($J745="","",SUMIFS('Hours Log'!$E:$E,'Hours Log'!$A:$A,"&gt;="&amp;$J745,'Hours Log'!$A:$A,"&lt;"&amp;$J745+7))</f>
        <v/>
      </c>
      <c r="J745">
        <f>IF(COUNT('Hours Log'!$A$4:$A$5000)=0,"",IF(MIN('Hours Log'!$A$4:$A$5000)+7*(ROW()-10)&gt;MAX('Hours Log'!$A$4:$A$5000),"",MIN('Hours Log'!$A$4:$A$5000)+7*(ROW()-10)))</f>
        <v/>
      </c>
    </row>
    <row r="746">
      <c r="A746">
        <f>IF($J746="","",YEAR($J746-WEEKDAY($J746,2)+4)&amp;"-W"&amp;TEXT(WEEKNUM($J746,21),"00"))</f>
        <v/>
      </c>
      <c r="B746" s="41">
        <f>IF($J746="","",COUNTIFS(Roster!$D$4:$D$500,"Active",Roster!$C$4:$C$500,"&lt;="&amp;$J746))</f>
        <v/>
      </c>
      <c r="C746">
        <f>IF($J746="","",SUMIFS('Hours Log'!$C:$C,'Hours Log'!$A:$A,"&gt;="&amp;$J746,'Hours Log'!$A:$A,"&lt;"&amp;$J746+7)+SUMIFS('Hours Log'!$D:$D,'Hours Log'!$A:$A,"&gt;="&amp;$J746,'Hours Log'!$A:$A,"&lt;"&amp;$J746+7))</f>
        <v/>
      </c>
      <c r="D746">
        <f>IF($J746="","",SUMIFS('Hours Log'!$D:$D,'Hours Log'!$A:$A,"&gt;="&amp;$J746,'Hours Log'!$A:$A,"&lt;"&amp;$J746+7))</f>
        <v/>
      </c>
      <c r="E746">
        <f>IF($J746="","",IFERROR(C746/(B746*40),0))</f>
        <v/>
      </c>
      <c r="F746">
        <f>IF($J746="","",0)</f>
        <v/>
      </c>
      <c r="G746">
        <f>IF($J746="","",SUMIFS('Hours Log'!$E:$E,'Hours Log'!$A:$A,"&gt;="&amp;$J746,'Hours Log'!$A:$A,"&lt;"&amp;$J746+7))</f>
        <v/>
      </c>
      <c r="J746">
        <f>IF(COUNT('Hours Log'!$A$4:$A$5000)=0,"",IF(MIN('Hours Log'!$A$4:$A$5000)+7*(ROW()-10)&gt;MAX('Hours Log'!$A$4:$A$5000),"",MIN('Hours Log'!$A$4:$A$5000)+7*(ROW()-10)))</f>
        <v/>
      </c>
    </row>
    <row r="747">
      <c r="A747">
        <f>IF($J747="","",YEAR($J747-WEEKDAY($J747,2)+4)&amp;"-W"&amp;TEXT(WEEKNUM($J747,21),"00"))</f>
        <v/>
      </c>
      <c r="B747" s="41">
        <f>IF($J747="","",COUNTIFS(Roster!$D$4:$D$500,"Active",Roster!$C$4:$C$500,"&lt;="&amp;$J747))</f>
        <v/>
      </c>
      <c r="C747">
        <f>IF($J747="","",SUMIFS('Hours Log'!$C:$C,'Hours Log'!$A:$A,"&gt;="&amp;$J747,'Hours Log'!$A:$A,"&lt;"&amp;$J747+7)+SUMIFS('Hours Log'!$D:$D,'Hours Log'!$A:$A,"&gt;="&amp;$J747,'Hours Log'!$A:$A,"&lt;"&amp;$J747+7))</f>
        <v/>
      </c>
      <c r="D747">
        <f>IF($J747="","",SUMIFS('Hours Log'!$D:$D,'Hours Log'!$A:$A,"&gt;="&amp;$J747,'Hours Log'!$A:$A,"&lt;"&amp;$J747+7))</f>
        <v/>
      </c>
      <c r="E747">
        <f>IF($J747="","",IFERROR(C747/(B747*40),0))</f>
        <v/>
      </c>
      <c r="F747">
        <f>IF($J747="","",0)</f>
        <v/>
      </c>
      <c r="G747">
        <f>IF($J747="","",SUMIFS('Hours Log'!$E:$E,'Hours Log'!$A:$A,"&gt;="&amp;$J747,'Hours Log'!$A:$A,"&lt;"&amp;$J747+7))</f>
        <v/>
      </c>
      <c r="J747">
        <f>IF(COUNT('Hours Log'!$A$4:$A$5000)=0,"",IF(MIN('Hours Log'!$A$4:$A$5000)+7*(ROW()-10)&gt;MAX('Hours Log'!$A$4:$A$5000),"",MIN('Hours Log'!$A$4:$A$5000)+7*(ROW()-10)))</f>
        <v/>
      </c>
    </row>
    <row r="748">
      <c r="A748">
        <f>IF($J748="","",YEAR($J748-WEEKDAY($J748,2)+4)&amp;"-W"&amp;TEXT(WEEKNUM($J748,21),"00"))</f>
        <v/>
      </c>
      <c r="B748" s="41">
        <f>IF($J748="","",COUNTIFS(Roster!$D$4:$D$500,"Active",Roster!$C$4:$C$500,"&lt;="&amp;$J748))</f>
        <v/>
      </c>
      <c r="C748">
        <f>IF($J748="","",SUMIFS('Hours Log'!$C:$C,'Hours Log'!$A:$A,"&gt;="&amp;$J748,'Hours Log'!$A:$A,"&lt;"&amp;$J748+7)+SUMIFS('Hours Log'!$D:$D,'Hours Log'!$A:$A,"&gt;="&amp;$J748,'Hours Log'!$A:$A,"&lt;"&amp;$J748+7))</f>
        <v/>
      </c>
      <c r="D748">
        <f>IF($J748="","",SUMIFS('Hours Log'!$D:$D,'Hours Log'!$A:$A,"&gt;="&amp;$J748,'Hours Log'!$A:$A,"&lt;"&amp;$J748+7))</f>
        <v/>
      </c>
      <c r="E748">
        <f>IF($J748="","",IFERROR(C748/(B748*40),0))</f>
        <v/>
      </c>
      <c r="F748">
        <f>IF($J748="","",0)</f>
        <v/>
      </c>
      <c r="G748">
        <f>IF($J748="","",SUMIFS('Hours Log'!$E:$E,'Hours Log'!$A:$A,"&gt;="&amp;$J748,'Hours Log'!$A:$A,"&lt;"&amp;$J748+7))</f>
        <v/>
      </c>
      <c r="J748">
        <f>IF(COUNT('Hours Log'!$A$4:$A$5000)=0,"",IF(MIN('Hours Log'!$A$4:$A$5000)+7*(ROW()-10)&gt;MAX('Hours Log'!$A$4:$A$5000),"",MIN('Hours Log'!$A$4:$A$5000)+7*(ROW()-10)))</f>
        <v/>
      </c>
    </row>
    <row r="749">
      <c r="A749">
        <f>IF($J749="","",YEAR($J749-WEEKDAY($J749,2)+4)&amp;"-W"&amp;TEXT(WEEKNUM($J749,21),"00"))</f>
        <v/>
      </c>
      <c r="B749" s="41">
        <f>IF($J749="","",COUNTIFS(Roster!$D$4:$D$500,"Active",Roster!$C$4:$C$500,"&lt;="&amp;$J749))</f>
        <v/>
      </c>
      <c r="C749">
        <f>IF($J749="","",SUMIFS('Hours Log'!$C:$C,'Hours Log'!$A:$A,"&gt;="&amp;$J749,'Hours Log'!$A:$A,"&lt;"&amp;$J749+7)+SUMIFS('Hours Log'!$D:$D,'Hours Log'!$A:$A,"&gt;="&amp;$J749,'Hours Log'!$A:$A,"&lt;"&amp;$J749+7))</f>
        <v/>
      </c>
      <c r="D749">
        <f>IF($J749="","",SUMIFS('Hours Log'!$D:$D,'Hours Log'!$A:$A,"&gt;="&amp;$J749,'Hours Log'!$A:$A,"&lt;"&amp;$J749+7))</f>
        <v/>
      </c>
      <c r="E749">
        <f>IF($J749="","",IFERROR(C749/(B749*40),0))</f>
        <v/>
      </c>
      <c r="F749">
        <f>IF($J749="","",0)</f>
        <v/>
      </c>
      <c r="G749">
        <f>IF($J749="","",SUMIFS('Hours Log'!$E:$E,'Hours Log'!$A:$A,"&gt;="&amp;$J749,'Hours Log'!$A:$A,"&lt;"&amp;$J749+7))</f>
        <v/>
      </c>
      <c r="J749">
        <f>IF(COUNT('Hours Log'!$A$4:$A$5000)=0,"",IF(MIN('Hours Log'!$A$4:$A$5000)+7*(ROW()-10)&gt;MAX('Hours Log'!$A$4:$A$5000),"",MIN('Hours Log'!$A$4:$A$5000)+7*(ROW()-10)))</f>
        <v/>
      </c>
    </row>
    <row r="750">
      <c r="A750">
        <f>IF($J750="","",YEAR($J750-WEEKDAY($J750,2)+4)&amp;"-W"&amp;TEXT(WEEKNUM($J750,21),"00"))</f>
        <v/>
      </c>
      <c r="B750" s="41">
        <f>IF($J750="","",COUNTIFS(Roster!$D$4:$D$500,"Active",Roster!$C$4:$C$500,"&lt;="&amp;$J750))</f>
        <v/>
      </c>
      <c r="C750">
        <f>IF($J750="","",SUMIFS('Hours Log'!$C:$C,'Hours Log'!$A:$A,"&gt;="&amp;$J750,'Hours Log'!$A:$A,"&lt;"&amp;$J750+7)+SUMIFS('Hours Log'!$D:$D,'Hours Log'!$A:$A,"&gt;="&amp;$J750,'Hours Log'!$A:$A,"&lt;"&amp;$J750+7))</f>
        <v/>
      </c>
      <c r="D750">
        <f>IF($J750="","",SUMIFS('Hours Log'!$D:$D,'Hours Log'!$A:$A,"&gt;="&amp;$J750,'Hours Log'!$A:$A,"&lt;"&amp;$J750+7))</f>
        <v/>
      </c>
      <c r="E750">
        <f>IF($J750="","",IFERROR(C750/(B750*40),0))</f>
        <v/>
      </c>
      <c r="F750">
        <f>IF($J750="","",0)</f>
        <v/>
      </c>
      <c r="G750">
        <f>IF($J750="","",SUMIFS('Hours Log'!$E:$E,'Hours Log'!$A:$A,"&gt;="&amp;$J750,'Hours Log'!$A:$A,"&lt;"&amp;$J750+7))</f>
        <v/>
      </c>
      <c r="J750">
        <f>IF(COUNT('Hours Log'!$A$4:$A$5000)=0,"",IF(MIN('Hours Log'!$A$4:$A$5000)+7*(ROW()-10)&gt;MAX('Hours Log'!$A$4:$A$5000),"",MIN('Hours Log'!$A$4:$A$5000)+7*(ROW()-10)))</f>
        <v/>
      </c>
    </row>
    <row r="751">
      <c r="A751">
        <f>IF($J751="","",YEAR($J751-WEEKDAY($J751,2)+4)&amp;"-W"&amp;TEXT(WEEKNUM($J751,21),"00"))</f>
        <v/>
      </c>
      <c r="B751" s="41">
        <f>IF($J751="","",COUNTIFS(Roster!$D$4:$D$500,"Active",Roster!$C$4:$C$500,"&lt;="&amp;$J751))</f>
        <v/>
      </c>
      <c r="C751">
        <f>IF($J751="","",SUMIFS('Hours Log'!$C:$C,'Hours Log'!$A:$A,"&gt;="&amp;$J751,'Hours Log'!$A:$A,"&lt;"&amp;$J751+7)+SUMIFS('Hours Log'!$D:$D,'Hours Log'!$A:$A,"&gt;="&amp;$J751,'Hours Log'!$A:$A,"&lt;"&amp;$J751+7))</f>
        <v/>
      </c>
      <c r="D751">
        <f>IF($J751="","",SUMIFS('Hours Log'!$D:$D,'Hours Log'!$A:$A,"&gt;="&amp;$J751,'Hours Log'!$A:$A,"&lt;"&amp;$J751+7))</f>
        <v/>
      </c>
      <c r="E751">
        <f>IF($J751="","",IFERROR(C751/(B751*40),0))</f>
        <v/>
      </c>
      <c r="F751">
        <f>IF($J751="","",0)</f>
        <v/>
      </c>
      <c r="G751">
        <f>IF($J751="","",SUMIFS('Hours Log'!$E:$E,'Hours Log'!$A:$A,"&gt;="&amp;$J751,'Hours Log'!$A:$A,"&lt;"&amp;$J751+7))</f>
        <v/>
      </c>
      <c r="J751">
        <f>IF(COUNT('Hours Log'!$A$4:$A$5000)=0,"",IF(MIN('Hours Log'!$A$4:$A$5000)+7*(ROW()-10)&gt;MAX('Hours Log'!$A$4:$A$5000),"",MIN('Hours Log'!$A$4:$A$5000)+7*(ROW()-10)))</f>
        <v/>
      </c>
    </row>
    <row r="752">
      <c r="A752">
        <f>IF($J752="","",YEAR($J752-WEEKDAY($J752,2)+4)&amp;"-W"&amp;TEXT(WEEKNUM($J752,21),"00"))</f>
        <v/>
      </c>
      <c r="B752" s="41">
        <f>IF($J752="","",COUNTIFS(Roster!$D$4:$D$500,"Active",Roster!$C$4:$C$500,"&lt;="&amp;$J752))</f>
        <v/>
      </c>
      <c r="C752">
        <f>IF($J752="","",SUMIFS('Hours Log'!$C:$C,'Hours Log'!$A:$A,"&gt;="&amp;$J752,'Hours Log'!$A:$A,"&lt;"&amp;$J752+7)+SUMIFS('Hours Log'!$D:$D,'Hours Log'!$A:$A,"&gt;="&amp;$J752,'Hours Log'!$A:$A,"&lt;"&amp;$J752+7))</f>
        <v/>
      </c>
      <c r="D752">
        <f>IF($J752="","",SUMIFS('Hours Log'!$D:$D,'Hours Log'!$A:$A,"&gt;="&amp;$J752,'Hours Log'!$A:$A,"&lt;"&amp;$J752+7))</f>
        <v/>
      </c>
      <c r="E752">
        <f>IF($J752="","",IFERROR(C752/(B752*40),0))</f>
        <v/>
      </c>
      <c r="F752">
        <f>IF($J752="","",0)</f>
        <v/>
      </c>
      <c r="G752">
        <f>IF($J752="","",SUMIFS('Hours Log'!$E:$E,'Hours Log'!$A:$A,"&gt;="&amp;$J752,'Hours Log'!$A:$A,"&lt;"&amp;$J752+7))</f>
        <v/>
      </c>
      <c r="J752">
        <f>IF(COUNT('Hours Log'!$A$4:$A$5000)=0,"",IF(MIN('Hours Log'!$A$4:$A$5000)+7*(ROW()-10)&gt;MAX('Hours Log'!$A$4:$A$5000),"",MIN('Hours Log'!$A$4:$A$5000)+7*(ROW()-10)))</f>
        <v/>
      </c>
    </row>
    <row r="753">
      <c r="A753">
        <f>IF($J753="","",YEAR($J753-WEEKDAY($J753,2)+4)&amp;"-W"&amp;TEXT(WEEKNUM($J753,21),"00"))</f>
        <v/>
      </c>
      <c r="B753" s="41">
        <f>IF($J753="","",COUNTIFS(Roster!$D$4:$D$500,"Active",Roster!$C$4:$C$500,"&lt;="&amp;$J753))</f>
        <v/>
      </c>
      <c r="C753">
        <f>IF($J753="","",SUMIFS('Hours Log'!$C:$C,'Hours Log'!$A:$A,"&gt;="&amp;$J753,'Hours Log'!$A:$A,"&lt;"&amp;$J753+7)+SUMIFS('Hours Log'!$D:$D,'Hours Log'!$A:$A,"&gt;="&amp;$J753,'Hours Log'!$A:$A,"&lt;"&amp;$J753+7))</f>
        <v/>
      </c>
      <c r="D753">
        <f>IF($J753="","",SUMIFS('Hours Log'!$D:$D,'Hours Log'!$A:$A,"&gt;="&amp;$J753,'Hours Log'!$A:$A,"&lt;"&amp;$J753+7))</f>
        <v/>
      </c>
      <c r="E753">
        <f>IF($J753="","",IFERROR(C753/(B753*40),0))</f>
        <v/>
      </c>
      <c r="F753">
        <f>IF($J753="","",0)</f>
        <v/>
      </c>
      <c r="G753">
        <f>IF($J753="","",SUMIFS('Hours Log'!$E:$E,'Hours Log'!$A:$A,"&gt;="&amp;$J753,'Hours Log'!$A:$A,"&lt;"&amp;$J753+7))</f>
        <v/>
      </c>
      <c r="J753">
        <f>IF(COUNT('Hours Log'!$A$4:$A$5000)=0,"",IF(MIN('Hours Log'!$A$4:$A$5000)+7*(ROW()-10)&gt;MAX('Hours Log'!$A$4:$A$5000),"",MIN('Hours Log'!$A$4:$A$5000)+7*(ROW()-10)))</f>
        <v/>
      </c>
    </row>
    <row r="754">
      <c r="A754">
        <f>IF($J754="","",YEAR($J754-WEEKDAY($J754,2)+4)&amp;"-W"&amp;TEXT(WEEKNUM($J754,21),"00"))</f>
        <v/>
      </c>
      <c r="B754" s="41">
        <f>IF($J754="","",COUNTIFS(Roster!$D$4:$D$500,"Active",Roster!$C$4:$C$500,"&lt;="&amp;$J754))</f>
        <v/>
      </c>
      <c r="C754">
        <f>IF($J754="","",SUMIFS('Hours Log'!$C:$C,'Hours Log'!$A:$A,"&gt;="&amp;$J754,'Hours Log'!$A:$A,"&lt;"&amp;$J754+7)+SUMIFS('Hours Log'!$D:$D,'Hours Log'!$A:$A,"&gt;="&amp;$J754,'Hours Log'!$A:$A,"&lt;"&amp;$J754+7))</f>
        <v/>
      </c>
      <c r="D754">
        <f>IF($J754="","",SUMIFS('Hours Log'!$D:$D,'Hours Log'!$A:$A,"&gt;="&amp;$J754,'Hours Log'!$A:$A,"&lt;"&amp;$J754+7))</f>
        <v/>
      </c>
      <c r="E754">
        <f>IF($J754="","",IFERROR(C754/(B754*40),0))</f>
        <v/>
      </c>
      <c r="F754">
        <f>IF($J754="","",0)</f>
        <v/>
      </c>
      <c r="G754">
        <f>IF($J754="","",SUMIFS('Hours Log'!$E:$E,'Hours Log'!$A:$A,"&gt;="&amp;$J754,'Hours Log'!$A:$A,"&lt;"&amp;$J754+7))</f>
        <v/>
      </c>
      <c r="J754">
        <f>IF(COUNT('Hours Log'!$A$4:$A$5000)=0,"",IF(MIN('Hours Log'!$A$4:$A$5000)+7*(ROW()-10)&gt;MAX('Hours Log'!$A$4:$A$5000),"",MIN('Hours Log'!$A$4:$A$5000)+7*(ROW()-10)))</f>
        <v/>
      </c>
    </row>
    <row r="755">
      <c r="A755">
        <f>IF($J755="","",YEAR($J755-WEEKDAY($J755,2)+4)&amp;"-W"&amp;TEXT(WEEKNUM($J755,21),"00"))</f>
        <v/>
      </c>
      <c r="B755" s="41">
        <f>IF($J755="","",COUNTIFS(Roster!$D$4:$D$500,"Active",Roster!$C$4:$C$500,"&lt;="&amp;$J755))</f>
        <v/>
      </c>
      <c r="C755">
        <f>IF($J755="","",SUMIFS('Hours Log'!$C:$C,'Hours Log'!$A:$A,"&gt;="&amp;$J755,'Hours Log'!$A:$A,"&lt;"&amp;$J755+7)+SUMIFS('Hours Log'!$D:$D,'Hours Log'!$A:$A,"&gt;="&amp;$J755,'Hours Log'!$A:$A,"&lt;"&amp;$J755+7))</f>
        <v/>
      </c>
      <c r="D755">
        <f>IF($J755="","",SUMIFS('Hours Log'!$D:$D,'Hours Log'!$A:$A,"&gt;="&amp;$J755,'Hours Log'!$A:$A,"&lt;"&amp;$J755+7))</f>
        <v/>
      </c>
      <c r="E755">
        <f>IF($J755="","",IFERROR(C755/(B755*40),0))</f>
        <v/>
      </c>
      <c r="F755">
        <f>IF($J755="","",0)</f>
        <v/>
      </c>
      <c r="G755">
        <f>IF($J755="","",SUMIFS('Hours Log'!$E:$E,'Hours Log'!$A:$A,"&gt;="&amp;$J755,'Hours Log'!$A:$A,"&lt;"&amp;$J755+7))</f>
        <v/>
      </c>
      <c r="J755">
        <f>IF(COUNT('Hours Log'!$A$4:$A$5000)=0,"",IF(MIN('Hours Log'!$A$4:$A$5000)+7*(ROW()-10)&gt;MAX('Hours Log'!$A$4:$A$5000),"",MIN('Hours Log'!$A$4:$A$5000)+7*(ROW()-10)))</f>
        <v/>
      </c>
    </row>
    <row r="756">
      <c r="A756">
        <f>IF($J756="","",YEAR($J756-WEEKDAY($J756,2)+4)&amp;"-W"&amp;TEXT(WEEKNUM($J756,21),"00"))</f>
        <v/>
      </c>
      <c r="B756" s="41">
        <f>IF($J756="","",COUNTIFS(Roster!$D$4:$D$500,"Active",Roster!$C$4:$C$500,"&lt;="&amp;$J756))</f>
        <v/>
      </c>
      <c r="C756">
        <f>IF($J756="","",SUMIFS('Hours Log'!$C:$C,'Hours Log'!$A:$A,"&gt;="&amp;$J756,'Hours Log'!$A:$A,"&lt;"&amp;$J756+7)+SUMIFS('Hours Log'!$D:$D,'Hours Log'!$A:$A,"&gt;="&amp;$J756,'Hours Log'!$A:$A,"&lt;"&amp;$J756+7))</f>
        <v/>
      </c>
      <c r="D756">
        <f>IF($J756="","",SUMIFS('Hours Log'!$D:$D,'Hours Log'!$A:$A,"&gt;="&amp;$J756,'Hours Log'!$A:$A,"&lt;"&amp;$J756+7))</f>
        <v/>
      </c>
      <c r="E756">
        <f>IF($J756="","",IFERROR(C756/(B756*40),0))</f>
        <v/>
      </c>
      <c r="F756">
        <f>IF($J756="","",0)</f>
        <v/>
      </c>
      <c r="G756">
        <f>IF($J756="","",SUMIFS('Hours Log'!$E:$E,'Hours Log'!$A:$A,"&gt;="&amp;$J756,'Hours Log'!$A:$A,"&lt;"&amp;$J756+7))</f>
        <v/>
      </c>
      <c r="J756">
        <f>IF(COUNT('Hours Log'!$A$4:$A$5000)=0,"",IF(MIN('Hours Log'!$A$4:$A$5000)+7*(ROW()-10)&gt;MAX('Hours Log'!$A$4:$A$5000),"",MIN('Hours Log'!$A$4:$A$5000)+7*(ROW()-10)))</f>
        <v/>
      </c>
    </row>
    <row r="757">
      <c r="A757">
        <f>IF($J757="","",YEAR($J757-WEEKDAY($J757,2)+4)&amp;"-W"&amp;TEXT(WEEKNUM($J757,21),"00"))</f>
        <v/>
      </c>
      <c r="B757" s="41">
        <f>IF($J757="","",COUNTIFS(Roster!$D$4:$D$500,"Active",Roster!$C$4:$C$500,"&lt;="&amp;$J757))</f>
        <v/>
      </c>
      <c r="C757">
        <f>IF($J757="","",SUMIFS('Hours Log'!$C:$C,'Hours Log'!$A:$A,"&gt;="&amp;$J757,'Hours Log'!$A:$A,"&lt;"&amp;$J757+7)+SUMIFS('Hours Log'!$D:$D,'Hours Log'!$A:$A,"&gt;="&amp;$J757,'Hours Log'!$A:$A,"&lt;"&amp;$J757+7))</f>
        <v/>
      </c>
      <c r="D757">
        <f>IF($J757="","",SUMIFS('Hours Log'!$D:$D,'Hours Log'!$A:$A,"&gt;="&amp;$J757,'Hours Log'!$A:$A,"&lt;"&amp;$J757+7))</f>
        <v/>
      </c>
      <c r="E757">
        <f>IF($J757="","",IFERROR(C757/(B757*40),0))</f>
        <v/>
      </c>
      <c r="F757">
        <f>IF($J757="","",0)</f>
        <v/>
      </c>
      <c r="G757">
        <f>IF($J757="","",SUMIFS('Hours Log'!$E:$E,'Hours Log'!$A:$A,"&gt;="&amp;$J757,'Hours Log'!$A:$A,"&lt;"&amp;$J757+7))</f>
        <v/>
      </c>
      <c r="J757">
        <f>IF(COUNT('Hours Log'!$A$4:$A$5000)=0,"",IF(MIN('Hours Log'!$A$4:$A$5000)+7*(ROW()-10)&gt;MAX('Hours Log'!$A$4:$A$5000),"",MIN('Hours Log'!$A$4:$A$5000)+7*(ROW()-10)))</f>
        <v/>
      </c>
    </row>
    <row r="758">
      <c r="A758">
        <f>IF($J758="","",YEAR($J758-WEEKDAY($J758,2)+4)&amp;"-W"&amp;TEXT(WEEKNUM($J758,21),"00"))</f>
        <v/>
      </c>
      <c r="B758" s="41">
        <f>IF($J758="","",COUNTIFS(Roster!$D$4:$D$500,"Active",Roster!$C$4:$C$500,"&lt;="&amp;$J758))</f>
        <v/>
      </c>
      <c r="C758">
        <f>IF($J758="","",SUMIFS('Hours Log'!$C:$C,'Hours Log'!$A:$A,"&gt;="&amp;$J758,'Hours Log'!$A:$A,"&lt;"&amp;$J758+7)+SUMIFS('Hours Log'!$D:$D,'Hours Log'!$A:$A,"&gt;="&amp;$J758,'Hours Log'!$A:$A,"&lt;"&amp;$J758+7))</f>
        <v/>
      </c>
      <c r="D758">
        <f>IF($J758="","",SUMIFS('Hours Log'!$D:$D,'Hours Log'!$A:$A,"&gt;="&amp;$J758,'Hours Log'!$A:$A,"&lt;"&amp;$J758+7))</f>
        <v/>
      </c>
      <c r="E758">
        <f>IF($J758="","",IFERROR(C758/(B758*40),0))</f>
        <v/>
      </c>
      <c r="F758">
        <f>IF($J758="","",0)</f>
        <v/>
      </c>
      <c r="G758">
        <f>IF($J758="","",SUMIFS('Hours Log'!$E:$E,'Hours Log'!$A:$A,"&gt;="&amp;$J758,'Hours Log'!$A:$A,"&lt;"&amp;$J758+7))</f>
        <v/>
      </c>
      <c r="J758">
        <f>IF(COUNT('Hours Log'!$A$4:$A$5000)=0,"",IF(MIN('Hours Log'!$A$4:$A$5000)+7*(ROW()-10)&gt;MAX('Hours Log'!$A$4:$A$5000),"",MIN('Hours Log'!$A$4:$A$5000)+7*(ROW()-10)))</f>
        <v/>
      </c>
    </row>
    <row r="759">
      <c r="A759">
        <f>IF($J759="","",YEAR($J759-WEEKDAY($J759,2)+4)&amp;"-W"&amp;TEXT(WEEKNUM($J759,21),"00"))</f>
        <v/>
      </c>
      <c r="B759" s="41">
        <f>IF($J759="","",COUNTIFS(Roster!$D$4:$D$500,"Active",Roster!$C$4:$C$500,"&lt;="&amp;$J759))</f>
        <v/>
      </c>
      <c r="C759">
        <f>IF($J759="","",SUMIFS('Hours Log'!$C:$C,'Hours Log'!$A:$A,"&gt;="&amp;$J759,'Hours Log'!$A:$A,"&lt;"&amp;$J759+7)+SUMIFS('Hours Log'!$D:$D,'Hours Log'!$A:$A,"&gt;="&amp;$J759,'Hours Log'!$A:$A,"&lt;"&amp;$J759+7))</f>
        <v/>
      </c>
      <c r="D759">
        <f>IF($J759="","",SUMIFS('Hours Log'!$D:$D,'Hours Log'!$A:$A,"&gt;="&amp;$J759,'Hours Log'!$A:$A,"&lt;"&amp;$J759+7))</f>
        <v/>
      </c>
      <c r="E759">
        <f>IF($J759="","",IFERROR(C759/(B759*40),0))</f>
        <v/>
      </c>
      <c r="F759">
        <f>IF($J759="","",0)</f>
        <v/>
      </c>
      <c r="G759">
        <f>IF($J759="","",SUMIFS('Hours Log'!$E:$E,'Hours Log'!$A:$A,"&gt;="&amp;$J759,'Hours Log'!$A:$A,"&lt;"&amp;$J759+7))</f>
        <v/>
      </c>
      <c r="J759">
        <f>IF(COUNT('Hours Log'!$A$4:$A$5000)=0,"",IF(MIN('Hours Log'!$A$4:$A$5000)+7*(ROW()-10)&gt;MAX('Hours Log'!$A$4:$A$5000),"",MIN('Hours Log'!$A$4:$A$5000)+7*(ROW()-10)))</f>
        <v/>
      </c>
    </row>
    <row r="760">
      <c r="A760">
        <f>IF($J760="","",YEAR($J760-WEEKDAY($J760,2)+4)&amp;"-W"&amp;TEXT(WEEKNUM($J760,21),"00"))</f>
        <v/>
      </c>
      <c r="B760" s="41">
        <f>IF($J760="","",COUNTIFS(Roster!$D$4:$D$500,"Active",Roster!$C$4:$C$500,"&lt;="&amp;$J760))</f>
        <v/>
      </c>
      <c r="C760">
        <f>IF($J760="","",SUMIFS('Hours Log'!$C:$C,'Hours Log'!$A:$A,"&gt;="&amp;$J760,'Hours Log'!$A:$A,"&lt;"&amp;$J760+7)+SUMIFS('Hours Log'!$D:$D,'Hours Log'!$A:$A,"&gt;="&amp;$J760,'Hours Log'!$A:$A,"&lt;"&amp;$J760+7))</f>
        <v/>
      </c>
      <c r="D760">
        <f>IF($J760="","",SUMIFS('Hours Log'!$D:$D,'Hours Log'!$A:$A,"&gt;="&amp;$J760,'Hours Log'!$A:$A,"&lt;"&amp;$J760+7))</f>
        <v/>
      </c>
      <c r="E760">
        <f>IF($J760="","",IFERROR(C760/(B760*40),0))</f>
        <v/>
      </c>
      <c r="F760">
        <f>IF($J760="","",0)</f>
        <v/>
      </c>
      <c r="G760">
        <f>IF($J760="","",SUMIFS('Hours Log'!$E:$E,'Hours Log'!$A:$A,"&gt;="&amp;$J760,'Hours Log'!$A:$A,"&lt;"&amp;$J760+7))</f>
        <v/>
      </c>
      <c r="J760">
        <f>IF(COUNT('Hours Log'!$A$4:$A$5000)=0,"",IF(MIN('Hours Log'!$A$4:$A$5000)+7*(ROW()-10)&gt;MAX('Hours Log'!$A$4:$A$5000),"",MIN('Hours Log'!$A$4:$A$5000)+7*(ROW()-10)))</f>
        <v/>
      </c>
    </row>
    <row r="761">
      <c r="A761">
        <f>IF($J761="","",YEAR($J761-WEEKDAY($J761,2)+4)&amp;"-W"&amp;TEXT(WEEKNUM($J761,21),"00"))</f>
        <v/>
      </c>
      <c r="B761" s="41">
        <f>IF($J761="","",COUNTIFS(Roster!$D$4:$D$500,"Active",Roster!$C$4:$C$500,"&lt;="&amp;$J761))</f>
        <v/>
      </c>
      <c r="C761">
        <f>IF($J761="","",SUMIFS('Hours Log'!$C:$C,'Hours Log'!$A:$A,"&gt;="&amp;$J761,'Hours Log'!$A:$A,"&lt;"&amp;$J761+7)+SUMIFS('Hours Log'!$D:$D,'Hours Log'!$A:$A,"&gt;="&amp;$J761,'Hours Log'!$A:$A,"&lt;"&amp;$J761+7))</f>
        <v/>
      </c>
      <c r="D761">
        <f>IF($J761="","",SUMIFS('Hours Log'!$D:$D,'Hours Log'!$A:$A,"&gt;="&amp;$J761,'Hours Log'!$A:$A,"&lt;"&amp;$J761+7))</f>
        <v/>
      </c>
      <c r="E761">
        <f>IF($J761="","",IFERROR(C761/(B761*40),0))</f>
        <v/>
      </c>
      <c r="F761">
        <f>IF($J761="","",0)</f>
        <v/>
      </c>
      <c r="G761">
        <f>IF($J761="","",SUMIFS('Hours Log'!$E:$E,'Hours Log'!$A:$A,"&gt;="&amp;$J761,'Hours Log'!$A:$A,"&lt;"&amp;$J761+7))</f>
        <v/>
      </c>
      <c r="J761">
        <f>IF(COUNT('Hours Log'!$A$4:$A$5000)=0,"",IF(MIN('Hours Log'!$A$4:$A$5000)+7*(ROW()-10)&gt;MAX('Hours Log'!$A$4:$A$5000),"",MIN('Hours Log'!$A$4:$A$5000)+7*(ROW()-10)))</f>
        <v/>
      </c>
    </row>
    <row r="762">
      <c r="A762">
        <f>IF($J762="","",YEAR($J762-WEEKDAY($J762,2)+4)&amp;"-W"&amp;TEXT(WEEKNUM($J762,21),"00"))</f>
        <v/>
      </c>
      <c r="B762" s="41">
        <f>IF($J762="","",COUNTIFS(Roster!$D$4:$D$500,"Active",Roster!$C$4:$C$500,"&lt;="&amp;$J762))</f>
        <v/>
      </c>
      <c r="C762">
        <f>IF($J762="","",SUMIFS('Hours Log'!$C:$C,'Hours Log'!$A:$A,"&gt;="&amp;$J762,'Hours Log'!$A:$A,"&lt;"&amp;$J762+7)+SUMIFS('Hours Log'!$D:$D,'Hours Log'!$A:$A,"&gt;="&amp;$J762,'Hours Log'!$A:$A,"&lt;"&amp;$J762+7))</f>
        <v/>
      </c>
      <c r="D762">
        <f>IF($J762="","",SUMIFS('Hours Log'!$D:$D,'Hours Log'!$A:$A,"&gt;="&amp;$J762,'Hours Log'!$A:$A,"&lt;"&amp;$J762+7))</f>
        <v/>
      </c>
      <c r="E762">
        <f>IF($J762="","",IFERROR(C762/(B762*40),0))</f>
        <v/>
      </c>
      <c r="F762">
        <f>IF($J762="","",0)</f>
        <v/>
      </c>
      <c r="G762">
        <f>IF($J762="","",SUMIFS('Hours Log'!$E:$E,'Hours Log'!$A:$A,"&gt;="&amp;$J762,'Hours Log'!$A:$A,"&lt;"&amp;$J762+7))</f>
        <v/>
      </c>
      <c r="J762">
        <f>IF(COUNT('Hours Log'!$A$4:$A$5000)=0,"",IF(MIN('Hours Log'!$A$4:$A$5000)+7*(ROW()-10)&gt;MAX('Hours Log'!$A$4:$A$5000),"",MIN('Hours Log'!$A$4:$A$5000)+7*(ROW()-10)))</f>
        <v/>
      </c>
    </row>
    <row r="763">
      <c r="A763">
        <f>IF($J763="","",YEAR($J763-WEEKDAY($J763,2)+4)&amp;"-W"&amp;TEXT(WEEKNUM($J763,21),"00"))</f>
        <v/>
      </c>
      <c r="B763" s="41">
        <f>IF($J763="","",COUNTIFS(Roster!$D$4:$D$500,"Active",Roster!$C$4:$C$500,"&lt;="&amp;$J763))</f>
        <v/>
      </c>
      <c r="C763">
        <f>IF($J763="","",SUMIFS('Hours Log'!$C:$C,'Hours Log'!$A:$A,"&gt;="&amp;$J763,'Hours Log'!$A:$A,"&lt;"&amp;$J763+7)+SUMIFS('Hours Log'!$D:$D,'Hours Log'!$A:$A,"&gt;="&amp;$J763,'Hours Log'!$A:$A,"&lt;"&amp;$J763+7))</f>
        <v/>
      </c>
      <c r="D763">
        <f>IF($J763="","",SUMIFS('Hours Log'!$D:$D,'Hours Log'!$A:$A,"&gt;="&amp;$J763,'Hours Log'!$A:$A,"&lt;"&amp;$J763+7))</f>
        <v/>
      </c>
      <c r="E763">
        <f>IF($J763="","",IFERROR(C763/(B763*40),0))</f>
        <v/>
      </c>
      <c r="F763">
        <f>IF($J763="","",0)</f>
        <v/>
      </c>
      <c r="G763">
        <f>IF($J763="","",SUMIFS('Hours Log'!$E:$E,'Hours Log'!$A:$A,"&gt;="&amp;$J763,'Hours Log'!$A:$A,"&lt;"&amp;$J763+7))</f>
        <v/>
      </c>
      <c r="J763">
        <f>IF(COUNT('Hours Log'!$A$4:$A$5000)=0,"",IF(MIN('Hours Log'!$A$4:$A$5000)+7*(ROW()-10)&gt;MAX('Hours Log'!$A$4:$A$5000),"",MIN('Hours Log'!$A$4:$A$5000)+7*(ROW()-10)))</f>
        <v/>
      </c>
    </row>
    <row r="764">
      <c r="A764">
        <f>IF($J764="","",YEAR($J764-WEEKDAY($J764,2)+4)&amp;"-W"&amp;TEXT(WEEKNUM($J764,21),"00"))</f>
        <v/>
      </c>
      <c r="B764" s="41">
        <f>IF($J764="","",COUNTIFS(Roster!$D$4:$D$500,"Active",Roster!$C$4:$C$500,"&lt;="&amp;$J764))</f>
        <v/>
      </c>
      <c r="C764">
        <f>IF($J764="","",SUMIFS('Hours Log'!$C:$C,'Hours Log'!$A:$A,"&gt;="&amp;$J764,'Hours Log'!$A:$A,"&lt;"&amp;$J764+7)+SUMIFS('Hours Log'!$D:$D,'Hours Log'!$A:$A,"&gt;="&amp;$J764,'Hours Log'!$A:$A,"&lt;"&amp;$J764+7))</f>
        <v/>
      </c>
      <c r="D764">
        <f>IF($J764="","",SUMIFS('Hours Log'!$D:$D,'Hours Log'!$A:$A,"&gt;="&amp;$J764,'Hours Log'!$A:$A,"&lt;"&amp;$J764+7))</f>
        <v/>
      </c>
      <c r="E764">
        <f>IF($J764="","",IFERROR(C764/(B764*40),0))</f>
        <v/>
      </c>
      <c r="F764">
        <f>IF($J764="","",0)</f>
        <v/>
      </c>
      <c r="G764">
        <f>IF($J764="","",SUMIFS('Hours Log'!$E:$E,'Hours Log'!$A:$A,"&gt;="&amp;$J764,'Hours Log'!$A:$A,"&lt;"&amp;$J764+7))</f>
        <v/>
      </c>
      <c r="J764">
        <f>IF(COUNT('Hours Log'!$A$4:$A$5000)=0,"",IF(MIN('Hours Log'!$A$4:$A$5000)+7*(ROW()-10)&gt;MAX('Hours Log'!$A$4:$A$5000),"",MIN('Hours Log'!$A$4:$A$5000)+7*(ROW()-10)))</f>
        <v/>
      </c>
    </row>
    <row r="765">
      <c r="A765">
        <f>IF($J765="","",YEAR($J765-WEEKDAY($J765,2)+4)&amp;"-W"&amp;TEXT(WEEKNUM($J765,21),"00"))</f>
        <v/>
      </c>
      <c r="B765" s="41">
        <f>IF($J765="","",COUNTIFS(Roster!$D$4:$D$500,"Active",Roster!$C$4:$C$500,"&lt;="&amp;$J765))</f>
        <v/>
      </c>
      <c r="C765">
        <f>IF($J765="","",SUMIFS('Hours Log'!$C:$C,'Hours Log'!$A:$A,"&gt;="&amp;$J765,'Hours Log'!$A:$A,"&lt;"&amp;$J765+7)+SUMIFS('Hours Log'!$D:$D,'Hours Log'!$A:$A,"&gt;="&amp;$J765,'Hours Log'!$A:$A,"&lt;"&amp;$J765+7))</f>
        <v/>
      </c>
      <c r="D765">
        <f>IF($J765="","",SUMIFS('Hours Log'!$D:$D,'Hours Log'!$A:$A,"&gt;="&amp;$J765,'Hours Log'!$A:$A,"&lt;"&amp;$J765+7))</f>
        <v/>
      </c>
      <c r="E765">
        <f>IF($J765="","",IFERROR(C765/(B765*40),0))</f>
        <v/>
      </c>
      <c r="F765">
        <f>IF($J765="","",0)</f>
        <v/>
      </c>
      <c r="G765">
        <f>IF($J765="","",SUMIFS('Hours Log'!$E:$E,'Hours Log'!$A:$A,"&gt;="&amp;$J765,'Hours Log'!$A:$A,"&lt;"&amp;$J765+7))</f>
        <v/>
      </c>
      <c r="J765">
        <f>IF(COUNT('Hours Log'!$A$4:$A$5000)=0,"",IF(MIN('Hours Log'!$A$4:$A$5000)+7*(ROW()-10)&gt;MAX('Hours Log'!$A$4:$A$5000),"",MIN('Hours Log'!$A$4:$A$5000)+7*(ROW()-10)))</f>
        <v/>
      </c>
    </row>
    <row r="766">
      <c r="A766">
        <f>IF($J766="","",YEAR($J766-WEEKDAY($J766,2)+4)&amp;"-W"&amp;TEXT(WEEKNUM($J766,21),"00"))</f>
        <v/>
      </c>
      <c r="B766" s="41">
        <f>IF($J766="","",COUNTIFS(Roster!$D$4:$D$500,"Active",Roster!$C$4:$C$500,"&lt;="&amp;$J766))</f>
        <v/>
      </c>
      <c r="C766">
        <f>IF($J766="","",SUMIFS('Hours Log'!$C:$C,'Hours Log'!$A:$A,"&gt;="&amp;$J766,'Hours Log'!$A:$A,"&lt;"&amp;$J766+7)+SUMIFS('Hours Log'!$D:$D,'Hours Log'!$A:$A,"&gt;="&amp;$J766,'Hours Log'!$A:$A,"&lt;"&amp;$J766+7))</f>
        <v/>
      </c>
      <c r="D766">
        <f>IF($J766="","",SUMIFS('Hours Log'!$D:$D,'Hours Log'!$A:$A,"&gt;="&amp;$J766,'Hours Log'!$A:$A,"&lt;"&amp;$J766+7))</f>
        <v/>
      </c>
      <c r="E766">
        <f>IF($J766="","",IFERROR(C766/(B766*40),0))</f>
        <v/>
      </c>
      <c r="F766">
        <f>IF($J766="","",0)</f>
        <v/>
      </c>
      <c r="G766">
        <f>IF($J766="","",SUMIFS('Hours Log'!$E:$E,'Hours Log'!$A:$A,"&gt;="&amp;$J766,'Hours Log'!$A:$A,"&lt;"&amp;$J766+7))</f>
        <v/>
      </c>
      <c r="J766">
        <f>IF(COUNT('Hours Log'!$A$4:$A$5000)=0,"",IF(MIN('Hours Log'!$A$4:$A$5000)+7*(ROW()-10)&gt;MAX('Hours Log'!$A$4:$A$5000),"",MIN('Hours Log'!$A$4:$A$5000)+7*(ROW()-10)))</f>
        <v/>
      </c>
    </row>
    <row r="767">
      <c r="A767">
        <f>IF($J767="","",YEAR($J767-WEEKDAY($J767,2)+4)&amp;"-W"&amp;TEXT(WEEKNUM($J767,21),"00"))</f>
        <v/>
      </c>
      <c r="B767" s="41">
        <f>IF($J767="","",COUNTIFS(Roster!$D$4:$D$500,"Active",Roster!$C$4:$C$500,"&lt;="&amp;$J767))</f>
        <v/>
      </c>
      <c r="C767">
        <f>IF($J767="","",SUMIFS('Hours Log'!$C:$C,'Hours Log'!$A:$A,"&gt;="&amp;$J767,'Hours Log'!$A:$A,"&lt;"&amp;$J767+7)+SUMIFS('Hours Log'!$D:$D,'Hours Log'!$A:$A,"&gt;="&amp;$J767,'Hours Log'!$A:$A,"&lt;"&amp;$J767+7))</f>
        <v/>
      </c>
      <c r="D767">
        <f>IF($J767="","",SUMIFS('Hours Log'!$D:$D,'Hours Log'!$A:$A,"&gt;="&amp;$J767,'Hours Log'!$A:$A,"&lt;"&amp;$J767+7))</f>
        <v/>
      </c>
      <c r="E767">
        <f>IF($J767="","",IFERROR(C767/(B767*40),0))</f>
        <v/>
      </c>
      <c r="F767">
        <f>IF($J767="","",0)</f>
        <v/>
      </c>
      <c r="G767">
        <f>IF($J767="","",SUMIFS('Hours Log'!$E:$E,'Hours Log'!$A:$A,"&gt;="&amp;$J767,'Hours Log'!$A:$A,"&lt;"&amp;$J767+7))</f>
        <v/>
      </c>
      <c r="J767">
        <f>IF(COUNT('Hours Log'!$A$4:$A$5000)=0,"",IF(MIN('Hours Log'!$A$4:$A$5000)+7*(ROW()-10)&gt;MAX('Hours Log'!$A$4:$A$5000),"",MIN('Hours Log'!$A$4:$A$5000)+7*(ROW()-10)))</f>
        <v/>
      </c>
    </row>
    <row r="768">
      <c r="A768">
        <f>IF($J768="","",YEAR($J768-WEEKDAY($J768,2)+4)&amp;"-W"&amp;TEXT(WEEKNUM($J768,21),"00"))</f>
        <v/>
      </c>
      <c r="B768" s="41">
        <f>IF($J768="","",COUNTIFS(Roster!$D$4:$D$500,"Active",Roster!$C$4:$C$500,"&lt;="&amp;$J768))</f>
        <v/>
      </c>
      <c r="C768">
        <f>IF($J768="","",SUMIFS('Hours Log'!$C:$C,'Hours Log'!$A:$A,"&gt;="&amp;$J768,'Hours Log'!$A:$A,"&lt;"&amp;$J768+7)+SUMIFS('Hours Log'!$D:$D,'Hours Log'!$A:$A,"&gt;="&amp;$J768,'Hours Log'!$A:$A,"&lt;"&amp;$J768+7))</f>
        <v/>
      </c>
      <c r="D768">
        <f>IF($J768="","",SUMIFS('Hours Log'!$D:$D,'Hours Log'!$A:$A,"&gt;="&amp;$J768,'Hours Log'!$A:$A,"&lt;"&amp;$J768+7))</f>
        <v/>
      </c>
      <c r="E768">
        <f>IF($J768="","",IFERROR(C768/(B768*40),0))</f>
        <v/>
      </c>
      <c r="F768">
        <f>IF($J768="","",0)</f>
        <v/>
      </c>
      <c r="G768">
        <f>IF($J768="","",SUMIFS('Hours Log'!$E:$E,'Hours Log'!$A:$A,"&gt;="&amp;$J768,'Hours Log'!$A:$A,"&lt;"&amp;$J768+7))</f>
        <v/>
      </c>
      <c r="J768">
        <f>IF(COUNT('Hours Log'!$A$4:$A$5000)=0,"",IF(MIN('Hours Log'!$A$4:$A$5000)+7*(ROW()-10)&gt;MAX('Hours Log'!$A$4:$A$5000),"",MIN('Hours Log'!$A$4:$A$5000)+7*(ROW()-10)))</f>
        <v/>
      </c>
    </row>
    <row r="769">
      <c r="A769">
        <f>IF($J769="","",YEAR($J769-WEEKDAY($J769,2)+4)&amp;"-W"&amp;TEXT(WEEKNUM($J769,21),"00"))</f>
        <v/>
      </c>
      <c r="B769" s="41">
        <f>IF($J769="","",COUNTIFS(Roster!$D$4:$D$500,"Active",Roster!$C$4:$C$500,"&lt;="&amp;$J769))</f>
        <v/>
      </c>
      <c r="C769">
        <f>IF($J769="","",SUMIFS('Hours Log'!$C:$C,'Hours Log'!$A:$A,"&gt;="&amp;$J769,'Hours Log'!$A:$A,"&lt;"&amp;$J769+7)+SUMIFS('Hours Log'!$D:$D,'Hours Log'!$A:$A,"&gt;="&amp;$J769,'Hours Log'!$A:$A,"&lt;"&amp;$J769+7))</f>
        <v/>
      </c>
      <c r="D769">
        <f>IF($J769="","",SUMIFS('Hours Log'!$D:$D,'Hours Log'!$A:$A,"&gt;="&amp;$J769,'Hours Log'!$A:$A,"&lt;"&amp;$J769+7))</f>
        <v/>
      </c>
      <c r="E769">
        <f>IF($J769="","",IFERROR(C769/(B769*40),0))</f>
        <v/>
      </c>
      <c r="F769">
        <f>IF($J769="","",0)</f>
        <v/>
      </c>
      <c r="G769">
        <f>IF($J769="","",SUMIFS('Hours Log'!$E:$E,'Hours Log'!$A:$A,"&gt;="&amp;$J769,'Hours Log'!$A:$A,"&lt;"&amp;$J769+7))</f>
        <v/>
      </c>
      <c r="J769">
        <f>IF(COUNT('Hours Log'!$A$4:$A$5000)=0,"",IF(MIN('Hours Log'!$A$4:$A$5000)+7*(ROW()-10)&gt;MAX('Hours Log'!$A$4:$A$5000),"",MIN('Hours Log'!$A$4:$A$5000)+7*(ROW()-10)))</f>
        <v/>
      </c>
    </row>
    <row r="770">
      <c r="A770">
        <f>IF($J770="","",YEAR($J770-WEEKDAY($J770,2)+4)&amp;"-W"&amp;TEXT(WEEKNUM($J770,21),"00"))</f>
        <v/>
      </c>
      <c r="B770" s="41">
        <f>IF($J770="","",COUNTIFS(Roster!$D$4:$D$500,"Active",Roster!$C$4:$C$500,"&lt;="&amp;$J770))</f>
        <v/>
      </c>
      <c r="C770">
        <f>IF($J770="","",SUMIFS('Hours Log'!$C:$C,'Hours Log'!$A:$A,"&gt;="&amp;$J770,'Hours Log'!$A:$A,"&lt;"&amp;$J770+7)+SUMIFS('Hours Log'!$D:$D,'Hours Log'!$A:$A,"&gt;="&amp;$J770,'Hours Log'!$A:$A,"&lt;"&amp;$J770+7))</f>
        <v/>
      </c>
      <c r="D770">
        <f>IF($J770="","",SUMIFS('Hours Log'!$D:$D,'Hours Log'!$A:$A,"&gt;="&amp;$J770,'Hours Log'!$A:$A,"&lt;"&amp;$J770+7))</f>
        <v/>
      </c>
      <c r="E770">
        <f>IF($J770="","",IFERROR(C770/(B770*40),0))</f>
        <v/>
      </c>
      <c r="F770">
        <f>IF($J770="","",0)</f>
        <v/>
      </c>
      <c r="G770">
        <f>IF($J770="","",SUMIFS('Hours Log'!$E:$E,'Hours Log'!$A:$A,"&gt;="&amp;$J770,'Hours Log'!$A:$A,"&lt;"&amp;$J770+7))</f>
        <v/>
      </c>
      <c r="J770">
        <f>IF(COUNT('Hours Log'!$A$4:$A$5000)=0,"",IF(MIN('Hours Log'!$A$4:$A$5000)+7*(ROW()-10)&gt;MAX('Hours Log'!$A$4:$A$5000),"",MIN('Hours Log'!$A$4:$A$5000)+7*(ROW()-10)))</f>
        <v/>
      </c>
    </row>
    <row r="771">
      <c r="A771">
        <f>IF($J771="","",YEAR($J771-WEEKDAY($J771,2)+4)&amp;"-W"&amp;TEXT(WEEKNUM($J771,21),"00"))</f>
        <v/>
      </c>
      <c r="B771" s="41">
        <f>IF($J771="","",COUNTIFS(Roster!$D$4:$D$500,"Active",Roster!$C$4:$C$500,"&lt;="&amp;$J771))</f>
        <v/>
      </c>
      <c r="C771">
        <f>IF($J771="","",SUMIFS('Hours Log'!$C:$C,'Hours Log'!$A:$A,"&gt;="&amp;$J771,'Hours Log'!$A:$A,"&lt;"&amp;$J771+7)+SUMIFS('Hours Log'!$D:$D,'Hours Log'!$A:$A,"&gt;="&amp;$J771,'Hours Log'!$A:$A,"&lt;"&amp;$J771+7))</f>
        <v/>
      </c>
      <c r="D771">
        <f>IF($J771="","",SUMIFS('Hours Log'!$D:$D,'Hours Log'!$A:$A,"&gt;="&amp;$J771,'Hours Log'!$A:$A,"&lt;"&amp;$J771+7))</f>
        <v/>
      </c>
      <c r="E771">
        <f>IF($J771="","",IFERROR(C771/(B771*40),0))</f>
        <v/>
      </c>
      <c r="F771">
        <f>IF($J771="","",0)</f>
        <v/>
      </c>
      <c r="G771">
        <f>IF($J771="","",SUMIFS('Hours Log'!$E:$E,'Hours Log'!$A:$A,"&gt;="&amp;$J771,'Hours Log'!$A:$A,"&lt;"&amp;$J771+7))</f>
        <v/>
      </c>
      <c r="J771">
        <f>IF(COUNT('Hours Log'!$A$4:$A$5000)=0,"",IF(MIN('Hours Log'!$A$4:$A$5000)+7*(ROW()-10)&gt;MAX('Hours Log'!$A$4:$A$5000),"",MIN('Hours Log'!$A$4:$A$5000)+7*(ROW()-10)))</f>
        <v/>
      </c>
    </row>
    <row r="772">
      <c r="A772">
        <f>IF($J772="","",YEAR($J772-WEEKDAY($J772,2)+4)&amp;"-W"&amp;TEXT(WEEKNUM($J772,21),"00"))</f>
        <v/>
      </c>
      <c r="B772" s="41">
        <f>IF($J772="","",COUNTIFS(Roster!$D$4:$D$500,"Active",Roster!$C$4:$C$500,"&lt;="&amp;$J772))</f>
        <v/>
      </c>
      <c r="C772">
        <f>IF($J772="","",SUMIFS('Hours Log'!$C:$C,'Hours Log'!$A:$A,"&gt;="&amp;$J772,'Hours Log'!$A:$A,"&lt;"&amp;$J772+7)+SUMIFS('Hours Log'!$D:$D,'Hours Log'!$A:$A,"&gt;="&amp;$J772,'Hours Log'!$A:$A,"&lt;"&amp;$J772+7))</f>
        <v/>
      </c>
      <c r="D772">
        <f>IF($J772="","",SUMIFS('Hours Log'!$D:$D,'Hours Log'!$A:$A,"&gt;="&amp;$J772,'Hours Log'!$A:$A,"&lt;"&amp;$J772+7))</f>
        <v/>
      </c>
      <c r="E772">
        <f>IF($J772="","",IFERROR(C772/(B772*40),0))</f>
        <v/>
      </c>
      <c r="F772">
        <f>IF($J772="","",0)</f>
        <v/>
      </c>
      <c r="G772">
        <f>IF($J772="","",SUMIFS('Hours Log'!$E:$E,'Hours Log'!$A:$A,"&gt;="&amp;$J772,'Hours Log'!$A:$A,"&lt;"&amp;$J772+7))</f>
        <v/>
      </c>
      <c r="J772">
        <f>IF(COUNT('Hours Log'!$A$4:$A$5000)=0,"",IF(MIN('Hours Log'!$A$4:$A$5000)+7*(ROW()-10)&gt;MAX('Hours Log'!$A$4:$A$5000),"",MIN('Hours Log'!$A$4:$A$5000)+7*(ROW()-10)))</f>
        <v/>
      </c>
    </row>
    <row r="773">
      <c r="A773">
        <f>IF($J773="","",YEAR($J773-WEEKDAY($J773,2)+4)&amp;"-W"&amp;TEXT(WEEKNUM($J773,21),"00"))</f>
        <v/>
      </c>
      <c r="B773" s="41">
        <f>IF($J773="","",COUNTIFS(Roster!$D$4:$D$500,"Active",Roster!$C$4:$C$500,"&lt;="&amp;$J773))</f>
        <v/>
      </c>
      <c r="C773">
        <f>IF($J773="","",SUMIFS('Hours Log'!$C:$C,'Hours Log'!$A:$A,"&gt;="&amp;$J773,'Hours Log'!$A:$A,"&lt;"&amp;$J773+7)+SUMIFS('Hours Log'!$D:$D,'Hours Log'!$A:$A,"&gt;="&amp;$J773,'Hours Log'!$A:$A,"&lt;"&amp;$J773+7))</f>
        <v/>
      </c>
      <c r="D773">
        <f>IF($J773="","",SUMIFS('Hours Log'!$D:$D,'Hours Log'!$A:$A,"&gt;="&amp;$J773,'Hours Log'!$A:$A,"&lt;"&amp;$J773+7))</f>
        <v/>
      </c>
      <c r="E773">
        <f>IF($J773="","",IFERROR(C773/(B773*40),0))</f>
        <v/>
      </c>
      <c r="F773">
        <f>IF($J773="","",0)</f>
        <v/>
      </c>
      <c r="G773">
        <f>IF($J773="","",SUMIFS('Hours Log'!$E:$E,'Hours Log'!$A:$A,"&gt;="&amp;$J773,'Hours Log'!$A:$A,"&lt;"&amp;$J773+7))</f>
        <v/>
      </c>
      <c r="J773">
        <f>IF(COUNT('Hours Log'!$A$4:$A$5000)=0,"",IF(MIN('Hours Log'!$A$4:$A$5000)+7*(ROW()-10)&gt;MAX('Hours Log'!$A$4:$A$5000),"",MIN('Hours Log'!$A$4:$A$5000)+7*(ROW()-10)))</f>
        <v/>
      </c>
    </row>
    <row r="774">
      <c r="A774">
        <f>IF($J774="","",YEAR($J774-WEEKDAY($J774,2)+4)&amp;"-W"&amp;TEXT(WEEKNUM($J774,21),"00"))</f>
        <v/>
      </c>
      <c r="B774" s="41">
        <f>IF($J774="","",COUNTIFS(Roster!$D$4:$D$500,"Active",Roster!$C$4:$C$500,"&lt;="&amp;$J774))</f>
        <v/>
      </c>
      <c r="C774">
        <f>IF($J774="","",SUMIFS('Hours Log'!$C:$C,'Hours Log'!$A:$A,"&gt;="&amp;$J774,'Hours Log'!$A:$A,"&lt;"&amp;$J774+7)+SUMIFS('Hours Log'!$D:$D,'Hours Log'!$A:$A,"&gt;="&amp;$J774,'Hours Log'!$A:$A,"&lt;"&amp;$J774+7))</f>
        <v/>
      </c>
      <c r="D774">
        <f>IF($J774="","",SUMIFS('Hours Log'!$D:$D,'Hours Log'!$A:$A,"&gt;="&amp;$J774,'Hours Log'!$A:$A,"&lt;"&amp;$J774+7))</f>
        <v/>
      </c>
      <c r="E774">
        <f>IF($J774="","",IFERROR(C774/(B774*40),0))</f>
        <v/>
      </c>
      <c r="F774">
        <f>IF($J774="","",0)</f>
        <v/>
      </c>
      <c r="G774">
        <f>IF($J774="","",SUMIFS('Hours Log'!$E:$E,'Hours Log'!$A:$A,"&gt;="&amp;$J774,'Hours Log'!$A:$A,"&lt;"&amp;$J774+7))</f>
        <v/>
      </c>
      <c r="J774">
        <f>IF(COUNT('Hours Log'!$A$4:$A$5000)=0,"",IF(MIN('Hours Log'!$A$4:$A$5000)+7*(ROW()-10)&gt;MAX('Hours Log'!$A$4:$A$5000),"",MIN('Hours Log'!$A$4:$A$5000)+7*(ROW()-10)))</f>
        <v/>
      </c>
    </row>
    <row r="775">
      <c r="A775">
        <f>IF($J775="","",YEAR($J775-WEEKDAY($J775,2)+4)&amp;"-W"&amp;TEXT(WEEKNUM($J775,21),"00"))</f>
        <v/>
      </c>
      <c r="B775" s="41">
        <f>IF($J775="","",COUNTIFS(Roster!$D$4:$D$500,"Active",Roster!$C$4:$C$500,"&lt;="&amp;$J775))</f>
        <v/>
      </c>
      <c r="C775">
        <f>IF($J775="","",SUMIFS('Hours Log'!$C:$C,'Hours Log'!$A:$A,"&gt;="&amp;$J775,'Hours Log'!$A:$A,"&lt;"&amp;$J775+7)+SUMIFS('Hours Log'!$D:$D,'Hours Log'!$A:$A,"&gt;="&amp;$J775,'Hours Log'!$A:$A,"&lt;"&amp;$J775+7))</f>
        <v/>
      </c>
      <c r="D775">
        <f>IF($J775="","",SUMIFS('Hours Log'!$D:$D,'Hours Log'!$A:$A,"&gt;="&amp;$J775,'Hours Log'!$A:$A,"&lt;"&amp;$J775+7))</f>
        <v/>
      </c>
      <c r="E775">
        <f>IF($J775="","",IFERROR(C775/(B775*40),0))</f>
        <v/>
      </c>
      <c r="F775">
        <f>IF($J775="","",0)</f>
        <v/>
      </c>
      <c r="G775">
        <f>IF($J775="","",SUMIFS('Hours Log'!$E:$E,'Hours Log'!$A:$A,"&gt;="&amp;$J775,'Hours Log'!$A:$A,"&lt;"&amp;$J775+7))</f>
        <v/>
      </c>
      <c r="J775">
        <f>IF(COUNT('Hours Log'!$A$4:$A$5000)=0,"",IF(MIN('Hours Log'!$A$4:$A$5000)+7*(ROW()-10)&gt;MAX('Hours Log'!$A$4:$A$5000),"",MIN('Hours Log'!$A$4:$A$5000)+7*(ROW()-10)))</f>
        <v/>
      </c>
    </row>
    <row r="776">
      <c r="A776">
        <f>IF($J776="","",YEAR($J776-WEEKDAY($J776,2)+4)&amp;"-W"&amp;TEXT(WEEKNUM($J776,21),"00"))</f>
        <v/>
      </c>
      <c r="B776" s="41">
        <f>IF($J776="","",COUNTIFS(Roster!$D$4:$D$500,"Active",Roster!$C$4:$C$500,"&lt;="&amp;$J776))</f>
        <v/>
      </c>
      <c r="C776">
        <f>IF($J776="","",SUMIFS('Hours Log'!$C:$C,'Hours Log'!$A:$A,"&gt;="&amp;$J776,'Hours Log'!$A:$A,"&lt;"&amp;$J776+7)+SUMIFS('Hours Log'!$D:$D,'Hours Log'!$A:$A,"&gt;="&amp;$J776,'Hours Log'!$A:$A,"&lt;"&amp;$J776+7))</f>
        <v/>
      </c>
      <c r="D776">
        <f>IF($J776="","",SUMIFS('Hours Log'!$D:$D,'Hours Log'!$A:$A,"&gt;="&amp;$J776,'Hours Log'!$A:$A,"&lt;"&amp;$J776+7))</f>
        <v/>
      </c>
      <c r="E776">
        <f>IF($J776="","",IFERROR(C776/(B776*40),0))</f>
        <v/>
      </c>
      <c r="F776">
        <f>IF($J776="","",0)</f>
        <v/>
      </c>
      <c r="G776">
        <f>IF($J776="","",SUMIFS('Hours Log'!$E:$E,'Hours Log'!$A:$A,"&gt;="&amp;$J776,'Hours Log'!$A:$A,"&lt;"&amp;$J776+7))</f>
        <v/>
      </c>
      <c r="J776">
        <f>IF(COUNT('Hours Log'!$A$4:$A$5000)=0,"",IF(MIN('Hours Log'!$A$4:$A$5000)+7*(ROW()-10)&gt;MAX('Hours Log'!$A$4:$A$5000),"",MIN('Hours Log'!$A$4:$A$5000)+7*(ROW()-10)))</f>
        <v/>
      </c>
    </row>
    <row r="777">
      <c r="A777">
        <f>IF($J777="","",YEAR($J777-WEEKDAY($J777,2)+4)&amp;"-W"&amp;TEXT(WEEKNUM($J777,21),"00"))</f>
        <v/>
      </c>
      <c r="B777" s="41">
        <f>IF($J777="","",COUNTIFS(Roster!$D$4:$D$500,"Active",Roster!$C$4:$C$500,"&lt;="&amp;$J777))</f>
        <v/>
      </c>
      <c r="C777">
        <f>IF($J777="","",SUMIFS('Hours Log'!$C:$C,'Hours Log'!$A:$A,"&gt;="&amp;$J777,'Hours Log'!$A:$A,"&lt;"&amp;$J777+7)+SUMIFS('Hours Log'!$D:$D,'Hours Log'!$A:$A,"&gt;="&amp;$J777,'Hours Log'!$A:$A,"&lt;"&amp;$J777+7))</f>
        <v/>
      </c>
      <c r="D777">
        <f>IF($J777="","",SUMIFS('Hours Log'!$D:$D,'Hours Log'!$A:$A,"&gt;="&amp;$J777,'Hours Log'!$A:$A,"&lt;"&amp;$J777+7))</f>
        <v/>
      </c>
      <c r="E777">
        <f>IF($J777="","",IFERROR(C777/(B777*40),0))</f>
        <v/>
      </c>
      <c r="F777">
        <f>IF($J777="","",0)</f>
        <v/>
      </c>
      <c r="G777">
        <f>IF($J777="","",SUMIFS('Hours Log'!$E:$E,'Hours Log'!$A:$A,"&gt;="&amp;$J777,'Hours Log'!$A:$A,"&lt;"&amp;$J777+7))</f>
        <v/>
      </c>
      <c r="J777">
        <f>IF(COUNT('Hours Log'!$A$4:$A$5000)=0,"",IF(MIN('Hours Log'!$A$4:$A$5000)+7*(ROW()-10)&gt;MAX('Hours Log'!$A$4:$A$5000),"",MIN('Hours Log'!$A$4:$A$5000)+7*(ROW()-10)))</f>
        <v/>
      </c>
    </row>
    <row r="778">
      <c r="A778">
        <f>IF($J778="","",YEAR($J778-WEEKDAY($J778,2)+4)&amp;"-W"&amp;TEXT(WEEKNUM($J778,21),"00"))</f>
        <v/>
      </c>
      <c r="B778" s="41">
        <f>IF($J778="","",COUNTIFS(Roster!$D$4:$D$500,"Active",Roster!$C$4:$C$500,"&lt;="&amp;$J778))</f>
        <v/>
      </c>
      <c r="C778">
        <f>IF($J778="","",SUMIFS('Hours Log'!$C:$C,'Hours Log'!$A:$A,"&gt;="&amp;$J778,'Hours Log'!$A:$A,"&lt;"&amp;$J778+7)+SUMIFS('Hours Log'!$D:$D,'Hours Log'!$A:$A,"&gt;="&amp;$J778,'Hours Log'!$A:$A,"&lt;"&amp;$J778+7))</f>
        <v/>
      </c>
      <c r="D778">
        <f>IF($J778="","",SUMIFS('Hours Log'!$D:$D,'Hours Log'!$A:$A,"&gt;="&amp;$J778,'Hours Log'!$A:$A,"&lt;"&amp;$J778+7))</f>
        <v/>
      </c>
      <c r="E778">
        <f>IF($J778="","",IFERROR(C778/(B778*40),0))</f>
        <v/>
      </c>
      <c r="F778">
        <f>IF($J778="","",0)</f>
        <v/>
      </c>
      <c r="G778">
        <f>IF($J778="","",SUMIFS('Hours Log'!$E:$E,'Hours Log'!$A:$A,"&gt;="&amp;$J778,'Hours Log'!$A:$A,"&lt;"&amp;$J778+7))</f>
        <v/>
      </c>
      <c r="J778">
        <f>IF(COUNT('Hours Log'!$A$4:$A$5000)=0,"",IF(MIN('Hours Log'!$A$4:$A$5000)+7*(ROW()-10)&gt;MAX('Hours Log'!$A$4:$A$5000),"",MIN('Hours Log'!$A$4:$A$5000)+7*(ROW()-10)))</f>
        <v/>
      </c>
    </row>
    <row r="779">
      <c r="A779">
        <f>IF($J779="","",YEAR($J779-WEEKDAY($J779,2)+4)&amp;"-W"&amp;TEXT(WEEKNUM($J779,21),"00"))</f>
        <v/>
      </c>
      <c r="B779" s="41">
        <f>IF($J779="","",COUNTIFS(Roster!$D$4:$D$500,"Active",Roster!$C$4:$C$500,"&lt;="&amp;$J779))</f>
        <v/>
      </c>
      <c r="C779">
        <f>IF($J779="","",SUMIFS('Hours Log'!$C:$C,'Hours Log'!$A:$A,"&gt;="&amp;$J779,'Hours Log'!$A:$A,"&lt;"&amp;$J779+7)+SUMIFS('Hours Log'!$D:$D,'Hours Log'!$A:$A,"&gt;="&amp;$J779,'Hours Log'!$A:$A,"&lt;"&amp;$J779+7))</f>
        <v/>
      </c>
      <c r="D779">
        <f>IF($J779="","",SUMIFS('Hours Log'!$D:$D,'Hours Log'!$A:$A,"&gt;="&amp;$J779,'Hours Log'!$A:$A,"&lt;"&amp;$J779+7))</f>
        <v/>
      </c>
      <c r="E779">
        <f>IF($J779="","",IFERROR(C779/(B779*40),0))</f>
        <v/>
      </c>
      <c r="F779">
        <f>IF($J779="","",0)</f>
        <v/>
      </c>
      <c r="G779">
        <f>IF($J779="","",SUMIFS('Hours Log'!$E:$E,'Hours Log'!$A:$A,"&gt;="&amp;$J779,'Hours Log'!$A:$A,"&lt;"&amp;$J779+7))</f>
        <v/>
      </c>
      <c r="J779">
        <f>IF(COUNT('Hours Log'!$A$4:$A$5000)=0,"",IF(MIN('Hours Log'!$A$4:$A$5000)+7*(ROW()-10)&gt;MAX('Hours Log'!$A$4:$A$5000),"",MIN('Hours Log'!$A$4:$A$5000)+7*(ROW()-10)))</f>
        <v/>
      </c>
    </row>
    <row r="780">
      <c r="A780">
        <f>IF($J780="","",YEAR($J780-WEEKDAY($J780,2)+4)&amp;"-W"&amp;TEXT(WEEKNUM($J780,21),"00"))</f>
        <v/>
      </c>
      <c r="B780" s="41">
        <f>IF($J780="","",COUNTIFS(Roster!$D$4:$D$500,"Active",Roster!$C$4:$C$500,"&lt;="&amp;$J780))</f>
        <v/>
      </c>
      <c r="C780">
        <f>IF($J780="","",SUMIFS('Hours Log'!$C:$C,'Hours Log'!$A:$A,"&gt;="&amp;$J780,'Hours Log'!$A:$A,"&lt;"&amp;$J780+7)+SUMIFS('Hours Log'!$D:$D,'Hours Log'!$A:$A,"&gt;="&amp;$J780,'Hours Log'!$A:$A,"&lt;"&amp;$J780+7))</f>
        <v/>
      </c>
      <c r="D780">
        <f>IF($J780="","",SUMIFS('Hours Log'!$D:$D,'Hours Log'!$A:$A,"&gt;="&amp;$J780,'Hours Log'!$A:$A,"&lt;"&amp;$J780+7))</f>
        <v/>
      </c>
      <c r="E780">
        <f>IF($J780="","",IFERROR(C780/(B780*40),0))</f>
        <v/>
      </c>
      <c r="F780">
        <f>IF($J780="","",0)</f>
        <v/>
      </c>
      <c r="G780">
        <f>IF($J780="","",SUMIFS('Hours Log'!$E:$E,'Hours Log'!$A:$A,"&gt;="&amp;$J780,'Hours Log'!$A:$A,"&lt;"&amp;$J780+7))</f>
        <v/>
      </c>
      <c r="J780">
        <f>IF(COUNT('Hours Log'!$A$4:$A$5000)=0,"",IF(MIN('Hours Log'!$A$4:$A$5000)+7*(ROW()-10)&gt;MAX('Hours Log'!$A$4:$A$5000),"",MIN('Hours Log'!$A$4:$A$5000)+7*(ROW()-10)))</f>
        <v/>
      </c>
    </row>
    <row r="781">
      <c r="A781">
        <f>IF($J781="","",YEAR($J781-WEEKDAY($J781,2)+4)&amp;"-W"&amp;TEXT(WEEKNUM($J781,21),"00"))</f>
        <v/>
      </c>
      <c r="B781" s="41">
        <f>IF($J781="","",COUNTIFS(Roster!$D$4:$D$500,"Active",Roster!$C$4:$C$500,"&lt;="&amp;$J781))</f>
        <v/>
      </c>
      <c r="C781">
        <f>IF($J781="","",SUMIFS('Hours Log'!$C:$C,'Hours Log'!$A:$A,"&gt;="&amp;$J781,'Hours Log'!$A:$A,"&lt;"&amp;$J781+7)+SUMIFS('Hours Log'!$D:$D,'Hours Log'!$A:$A,"&gt;="&amp;$J781,'Hours Log'!$A:$A,"&lt;"&amp;$J781+7))</f>
        <v/>
      </c>
      <c r="D781">
        <f>IF($J781="","",SUMIFS('Hours Log'!$D:$D,'Hours Log'!$A:$A,"&gt;="&amp;$J781,'Hours Log'!$A:$A,"&lt;"&amp;$J781+7))</f>
        <v/>
      </c>
      <c r="E781">
        <f>IF($J781="","",IFERROR(C781/(B781*40),0))</f>
        <v/>
      </c>
      <c r="F781">
        <f>IF($J781="","",0)</f>
        <v/>
      </c>
      <c r="G781">
        <f>IF($J781="","",SUMIFS('Hours Log'!$E:$E,'Hours Log'!$A:$A,"&gt;="&amp;$J781,'Hours Log'!$A:$A,"&lt;"&amp;$J781+7))</f>
        <v/>
      </c>
      <c r="J781">
        <f>IF(COUNT('Hours Log'!$A$4:$A$5000)=0,"",IF(MIN('Hours Log'!$A$4:$A$5000)+7*(ROW()-10)&gt;MAX('Hours Log'!$A$4:$A$5000),"",MIN('Hours Log'!$A$4:$A$5000)+7*(ROW()-10)))</f>
        <v/>
      </c>
    </row>
    <row r="782">
      <c r="A782">
        <f>IF($J782="","",YEAR($J782-WEEKDAY($J782,2)+4)&amp;"-W"&amp;TEXT(WEEKNUM($J782,21),"00"))</f>
        <v/>
      </c>
      <c r="B782" s="41">
        <f>IF($J782="","",COUNTIFS(Roster!$D$4:$D$500,"Active",Roster!$C$4:$C$500,"&lt;="&amp;$J782))</f>
        <v/>
      </c>
      <c r="C782">
        <f>IF($J782="","",SUMIFS('Hours Log'!$C:$C,'Hours Log'!$A:$A,"&gt;="&amp;$J782,'Hours Log'!$A:$A,"&lt;"&amp;$J782+7)+SUMIFS('Hours Log'!$D:$D,'Hours Log'!$A:$A,"&gt;="&amp;$J782,'Hours Log'!$A:$A,"&lt;"&amp;$J782+7))</f>
        <v/>
      </c>
      <c r="D782">
        <f>IF($J782="","",SUMIFS('Hours Log'!$D:$D,'Hours Log'!$A:$A,"&gt;="&amp;$J782,'Hours Log'!$A:$A,"&lt;"&amp;$J782+7))</f>
        <v/>
      </c>
      <c r="E782">
        <f>IF($J782="","",IFERROR(C782/(B782*40),0))</f>
        <v/>
      </c>
      <c r="F782">
        <f>IF($J782="","",0)</f>
        <v/>
      </c>
      <c r="G782">
        <f>IF($J782="","",SUMIFS('Hours Log'!$E:$E,'Hours Log'!$A:$A,"&gt;="&amp;$J782,'Hours Log'!$A:$A,"&lt;"&amp;$J782+7))</f>
        <v/>
      </c>
      <c r="J782">
        <f>IF(COUNT('Hours Log'!$A$4:$A$5000)=0,"",IF(MIN('Hours Log'!$A$4:$A$5000)+7*(ROW()-10)&gt;MAX('Hours Log'!$A$4:$A$5000),"",MIN('Hours Log'!$A$4:$A$5000)+7*(ROW()-10)))</f>
        <v/>
      </c>
    </row>
    <row r="783">
      <c r="A783">
        <f>IF($J783="","",YEAR($J783-WEEKDAY($J783,2)+4)&amp;"-W"&amp;TEXT(WEEKNUM($J783,21),"00"))</f>
        <v/>
      </c>
      <c r="B783" s="41">
        <f>IF($J783="","",COUNTIFS(Roster!$D$4:$D$500,"Active",Roster!$C$4:$C$500,"&lt;="&amp;$J783))</f>
        <v/>
      </c>
      <c r="C783">
        <f>IF($J783="","",SUMIFS('Hours Log'!$C:$C,'Hours Log'!$A:$A,"&gt;="&amp;$J783,'Hours Log'!$A:$A,"&lt;"&amp;$J783+7)+SUMIFS('Hours Log'!$D:$D,'Hours Log'!$A:$A,"&gt;="&amp;$J783,'Hours Log'!$A:$A,"&lt;"&amp;$J783+7))</f>
        <v/>
      </c>
      <c r="D783">
        <f>IF($J783="","",SUMIFS('Hours Log'!$D:$D,'Hours Log'!$A:$A,"&gt;="&amp;$J783,'Hours Log'!$A:$A,"&lt;"&amp;$J783+7))</f>
        <v/>
      </c>
      <c r="E783">
        <f>IF($J783="","",IFERROR(C783/(B783*40),0))</f>
        <v/>
      </c>
      <c r="F783">
        <f>IF($J783="","",0)</f>
        <v/>
      </c>
      <c r="G783">
        <f>IF($J783="","",SUMIFS('Hours Log'!$E:$E,'Hours Log'!$A:$A,"&gt;="&amp;$J783,'Hours Log'!$A:$A,"&lt;"&amp;$J783+7))</f>
        <v/>
      </c>
      <c r="J783">
        <f>IF(COUNT('Hours Log'!$A$4:$A$5000)=0,"",IF(MIN('Hours Log'!$A$4:$A$5000)+7*(ROW()-10)&gt;MAX('Hours Log'!$A$4:$A$5000),"",MIN('Hours Log'!$A$4:$A$5000)+7*(ROW()-10)))</f>
        <v/>
      </c>
    </row>
    <row r="784">
      <c r="A784">
        <f>IF($J784="","",YEAR($J784-WEEKDAY($J784,2)+4)&amp;"-W"&amp;TEXT(WEEKNUM($J784,21),"00"))</f>
        <v/>
      </c>
      <c r="B784" s="41">
        <f>IF($J784="","",COUNTIFS(Roster!$D$4:$D$500,"Active",Roster!$C$4:$C$500,"&lt;="&amp;$J784))</f>
        <v/>
      </c>
      <c r="C784">
        <f>IF($J784="","",SUMIFS('Hours Log'!$C:$C,'Hours Log'!$A:$A,"&gt;="&amp;$J784,'Hours Log'!$A:$A,"&lt;"&amp;$J784+7)+SUMIFS('Hours Log'!$D:$D,'Hours Log'!$A:$A,"&gt;="&amp;$J784,'Hours Log'!$A:$A,"&lt;"&amp;$J784+7))</f>
        <v/>
      </c>
      <c r="D784">
        <f>IF($J784="","",SUMIFS('Hours Log'!$D:$D,'Hours Log'!$A:$A,"&gt;="&amp;$J784,'Hours Log'!$A:$A,"&lt;"&amp;$J784+7))</f>
        <v/>
      </c>
      <c r="E784">
        <f>IF($J784="","",IFERROR(C784/(B784*40),0))</f>
        <v/>
      </c>
      <c r="F784">
        <f>IF($J784="","",0)</f>
        <v/>
      </c>
      <c r="G784">
        <f>IF($J784="","",SUMIFS('Hours Log'!$E:$E,'Hours Log'!$A:$A,"&gt;="&amp;$J784,'Hours Log'!$A:$A,"&lt;"&amp;$J784+7))</f>
        <v/>
      </c>
      <c r="J784">
        <f>IF(COUNT('Hours Log'!$A$4:$A$5000)=0,"",IF(MIN('Hours Log'!$A$4:$A$5000)+7*(ROW()-10)&gt;MAX('Hours Log'!$A$4:$A$5000),"",MIN('Hours Log'!$A$4:$A$5000)+7*(ROW()-10)))</f>
        <v/>
      </c>
    </row>
    <row r="785">
      <c r="A785">
        <f>IF($J785="","",YEAR($J785-WEEKDAY($J785,2)+4)&amp;"-W"&amp;TEXT(WEEKNUM($J785,21),"00"))</f>
        <v/>
      </c>
      <c r="B785" s="41">
        <f>IF($J785="","",COUNTIFS(Roster!$D$4:$D$500,"Active",Roster!$C$4:$C$500,"&lt;="&amp;$J785))</f>
        <v/>
      </c>
      <c r="C785">
        <f>IF($J785="","",SUMIFS('Hours Log'!$C:$C,'Hours Log'!$A:$A,"&gt;="&amp;$J785,'Hours Log'!$A:$A,"&lt;"&amp;$J785+7)+SUMIFS('Hours Log'!$D:$D,'Hours Log'!$A:$A,"&gt;="&amp;$J785,'Hours Log'!$A:$A,"&lt;"&amp;$J785+7))</f>
        <v/>
      </c>
      <c r="D785">
        <f>IF($J785="","",SUMIFS('Hours Log'!$D:$D,'Hours Log'!$A:$A,"&gt;="&amp;$J785,'Hours Log'!$A:$A,"&lt;"&amp;$J785+7))</f>
        <v/>
      </c>
      <c r="E785">
        <f>IF($J785="","",IFERROR(C785/(B785*40),0))</f>
        <v/>
      </c>
      <c r="F785">
        <f>IF($J785="","",0)</f>
        <v/>
      </c>
      <c r="G785">
        <f>IF($J785="","",SUMIFS('Hours Log'!$E:$E,'Hours Log'!$A:$A,"&gt;="&amp;$J785,'Hours Log'!$A:$A,"&lt;"&amp;$J785+7))</f>
        <v/>
      </c>
      <c r="J785">
        <f>IF(COUNT('Hours Log'!$A$4:$A$5000)=0,"",IF(MIN('Hours Log'!$A$4:$A$5000)+7*(ROW()-10)&gt;MAX('Hours Log'!$A$4:$A$5000),"",MIN('Hours Log'!$A$4:$A$5000)+7*(ROW()-10)))</f>
        <v/>
      </c>
    </row>
    <row r="786">
      <c r="A786">
        <f>IF($J786="","",YEAR($J786-WEEKDAY($J786,2)+4)&amp;"-W"&amp;TEXT(WEEKNUM($J786,21),"00"))</f>
        <v/>
      </c>
      <c r="B786" s="41">
        <f>IF($J786="","",COUNTIFS(Roster!$D$4:$D$500,"Active",Roster!$C$4:$C$500,"&lt;="&amp;$J786))</f>
        <v/>
      </c>
      <c r="C786">
        <f>IF($J786="","",SUMIFS('Hours Log'!$C:$C,'Hours Log'!$A:$A,"&gt;="&amp;$J786,'Hours Log'!$A:$A,"&lt;"&amp;$J786+7)+SUMIFS('Hours Log'!$D:$D,'Hours Log'!$A:$A,"&gt;="&amp;$J786,'Hours Log'!$A:$A,"&lt;"&amp;$J786+7))</f>
        <v/>
      </c>
      <c r="D786">
        <f>IF($J786="","",SUMIFS('Hours Log'!$D:$D,'Hours Log'!$A:$A,"&gt;="&amp;$J786,'Hours Log'!$A:$A,"&lt;"&amp;$J786+7))</f>
        <v/>
      </c>
      <c r="E786">
        <f>IF($J786="","",IFERROR(C786/(B786*40),0))</f>
        <v/>
      </c>
      <c r="F786">
        <f>IF($J786="","",0)</f>
        <v/>
      </c>
      <c r="G786">
        <f>IF($J786="","",SUMIFS('Hours Log'!$E:$E,'Hours Log'!$A:$A,"&gt;="&amp;$J786,'Hours Log'!$A:$A,"&lt;"&amp;$J786+7))</f>
        <v/>
      </c>
      <c r="J786">
        <f>IF(COUNT('Hours Log'!$A$4:$A$5000)=0,"",IF(MIN('Hours Log'!$A$4:$A$5000)+7*(ROW()-10)&gt;MAX('Hours Log'!$A$4:$A$5000),"",MIN('Hours Log'!$A$4:$A$5000)+7*(ROW()-10)))</f>
        <v/>
      </c>
    </row>
    <row r="787">
      <c r="A787">
        <f>IF($J787="","",YEAR($J787-WEEKDAY($J787,2)+4)&amp;"-W"&amp;TEXT(WEEKNUM($J787,21),"00"))</f>
        <v/>
      </c>
      <c r="B787" s="41">
        <f>IF($J787="","",COUNTIFS(Roster!$D$4:$D$500,"Active",Roster!$C$4:$C$500,"&lt;="&amp;$J787))</f>
        <v/>
      </c>
      <c r="C787">
        <f>IF($J787="","",SUMIFS('Hours Log'!$C:$C,'Hours Log'!$A:$A,"&gt;="&amp;$J787,'Hours Log'!$A:$A,"&lt;"&amp;$J787+7)+SUMIFS('Hours Log'!$D:$D,'Hours Log'!$A:$A,"&gt;="&amp;$J787,'Hours Log'!$A:$A,"&lt;"&amp;$J787+7))</f>
        <v/>
      </c>
      <c r="D787">
        <f>IF($J787="","",SUMIFS('Hours Log'!$D:$D,'Hours Log'!$A:$A,"&gt;="&amp;$J787,'Hours Log'!$A:$A,"&lt;"&amp;$J787+7))</f>
        <v/>
      </c>
      <c r="E787">
        <f>IF($J787="","",IFERROR(C787/(B787*40),0))</f>
        <v/>
      </c>
      <c r="F787">
        <f>IF($J787="","",0)</f>
        <v/>
      </c>
      <c r="G787">
        <f>IF($J787="","",SUMIFS('Hours Log'!$E:$E,'Hours Log'!$A:$A,"&gt;="&amp;$J787,'Hours Log'!$A:$A,"&lt;"&amp;$J787+7))</f>
        <v/>
      </c>
      <c r="J787">
        <f>IF(COUNT('Hours Log'!$A$4:$A$5000)=0,"",IF(MIN('Hours Log'!$A$4:$A$5000)+7*(ROW()-10)&gt;MAX('Hours Log'!$A$4:$A$5000),"",MIN('Hours Log'!$A$4:$A$5000)+7*(ROW()-10)))</f>
        <v/>
      </c>
    </row>
    <row r="788">
      <c r="A788">
        <f>IF($J788="","",YEAR($J788-WEEKDAY($J788,2)+4)&amp;"-W"&amp;TEXT(WEEKNUM($J788,21),"00"))</f>
        <v/>
      </c>
      <c r="B788" s="41">
        <f>IF($J788="","",COUNTIFS(Roster!$D$4:$D$500,"Active",Roster!$C$4:$C$500,"&lt;="&amp;$J788))</f>
        <v/>
      </c>
      <c r="C788">
        <f>IF($J788="","",SUMIFS('Hours Log'!$C:$C,'Hours Log'!$A:$A,"&gt;="&amp;$J788,'Hours Log'!$A:$A,"&lt;"&amp;$J788+7)+SUMIFS('Hours Log'!$D:$D,'Hours Log'!$A:$A,"&gt;="&amp;$J788,'Hours Log'!$A:$A,"&lt;"&amp;$J788+7))</f>
        <v/>
      </c>
      <c r="D788">
        <f>IF($J788="","",SUMIFS('Hours Log'!$D:$D,'Hours Log'!$A:$A,"&gt;="&amp;$J788,'Hours Log'!$A:$A,"&lt;"&amp;$J788+7))</f>
        <v/>
      </c>
      <c r="E788">
        <f>IF($J788="","",IFERROR(C788/(B788*40),0))</f>
        <v/>
      </c>
      <c r="F788">
        <f>IF($J788="","",0)</f>
        <v/>
      </c>
      <c r="G788">
        <f>IF($J788="","",SUMIFS('Hours Log'!$E:$E,'Hours Log'!$A:$A,"&gt;="&amp;$J788,'Hours Log'!$A:$A,"&lt;"&amp;$J788+7))</f>
        <v/>
      </c>
      <c r="J788">
        <f>IF(COUNT('Hours Log'!$A$4:$A$5000)=0,"",IF(MIN('Hours Log'!$A$4:$A$5000)+7*(ROW()-10)&gt;MAX('Hours Log'!$A$4:$A$5000),"",MIN('Hours Log'!$A$4:$A$5000)+7*(ROW()-10)))</f>
        <v/>
      </c>
    </row>
    <row r="789">
      <c r="A789">
        <f>IF($J789="","",YEAR($J789-WEEKDAY($J789,2)+4)&amp;"-W"&amp;TEXT(WEEKNUM($J789,21),"00"))</f>
        <v/>
      </c>
      <c r="B789" s="41">
        <f>IF($J789="","",COUNTIFS(Roster!$D$4:$D$500,"Active",Roster!$C$4:$C$500,"&lt;="&amp;$J789))</f>
        <v/>
      </c>
      <c r="C789">
        <f>IF($J789="","",SUMIFS('Hours Log'!$C:$C,'Hours Log'!$A:$A,"&gt;="&amp;$J789,'Hours Log'!$A:$A,"&lt;"&amp;$J789+7)+SUMIFS('Hours Log'!$D:$D,'Hours Log'!$A:$A,"&gt;="&amp;$J789,'Hours Log'!$A:$A,"&lt;"&amp;$J789+7))</f>
        <v/>
      </c>
      <c r="D789">
        <f>IF($J789="","",SUMIFS('Hours Log'!$D:$D,'Hours Log'!$A:$A,"&gt;="&amp;$J789,'Hours Log'!$A:$A,"&lt;"&amp;$J789+7))</f>
        <v/>
      </c>
      <c r="E789">
        <f>IF($J789="","",IFERROR(C789/(B789*40),0))</f>
        <v/>
      </c>
      <c r="F789">
        <f>IF($J789="","",0)</f>
        <v/>
      </c>
      <c r="G789">
        <f>IF($J789="","",SUMIFS('Hours Log'!$E:$E,'Hours Log'!$A:$A,"&gt;="&amp;$J789,'Hours Log'!$A:$A,"&lt;"&amp;$J789+7))</f>
        <v/>
      </c>
      <c r="J789">
        <f>IF(COUNT('Hours Log'!$A$4:$A$5000)=0,"",IF(MIN('Hours Log'!$A$4:$A$5000)+7*(ROW()-10)&gt;MAX('Hours Log'!$A$4:$A$5000),"",MIN('Hours Log'!$A$4:$A$5000)+7*(ROW()-10)))</f>
        <v/>
      </c>
    </row>
    <row r="790">
      <c r="A790">
        <f>IF($J790="","",YEAR($J790-WEEKDAY($J790,2)+4)&amp;"-W"&amp;TEXT(WEEKNUM($J790,21),"00"))</f>
        <v/>
      </c>
      <c r="B790" s="41">
        <f>IF($J790="","",COUNTIFS(Roster!$D$4:$D$500,"Active",Roster!$C$4:$C$500,"&lt;="&amp;$J790))</f>
        <v/>
      </c>
      <c r="C790">
        <f>IF($J790="","",SUMIFS('Hours Log'!$C:$C,'Hours Log'!$A:$A,"&gt;="&amp;$J790,'Hours Log'!$A:$A,"&lt;"&amp;$J790+7)+SUMIFS('Hours Log'!$D:$D,'Hours Log'!$A:$A,"&gt;="&amp;$J790,'Hours Log'!$A:$A,"&lt;"&amp;$J790+7))</f>
        <v/>
      </c>
      <c r="D790">
        <f>IF($J790="","",SUMIFS('Hours Log'!$D:$D,'Hours Log'!$A:$A,"&gt;="&amp;$J790,'Hours Log'!$A:$A,"&lt;"&amp;$J790+7))</f>
        <v/>
      </c>
      <c r="E790">
        <f>IF($J790="","",IFERROR(C790/(B790*40),0))</f>
        <v/>
      </c>
      <c r="F790">
        <f>IF($J790="","",0)</f>
        <v/>
      </c>
      <c r="G790">
        <f>IF($J790="","",SUMIFS('Hours Log'!$E:$E,'Hours Log'!$A:$A,"&gt;="&amp;$J790,'Hours Log'!$A:$A,"&lt;"&amp;$J790+7))</f>
        <v/>
      </c>
      <c r="J790">
        <f>IF(COUNT('Hours Log'!$A$4:$A$5000)=0,"",IF(MIN('Hours Log'!$A$4:$A$5000)+7*(ROW()-10)&gt;MAX('Hours Log'!$A$4:$A$5000),"",MIN('Hours Log'!$A$4:$A$5000)+7*(ROW()-10)))</f>
        <v/>
      </c>
    </row>
    <row r="791">
      <c r="A791">
        <f>IF($J791="","",YEAR($J791-WEEKDAY($J791,2)+4)&amp;"-W"&amp;TEXT(WEEKNUM($J791,21),"00"))</f>
        <v/>
      </c>
      <c r="B791" s="41">
        <f>IF($J791="","",COUNTIFS(Roster!$D$4:$D$500,"Active",Roster!$C$4:$C$500,"&lt;="&amp;$J791))</f>
        <v/>
      </c>
      <c r="C791">
        <f>IF($J791="","",SUMIFS('Hours Log'!$C:$C,'Hours Log'!$A:$A,"&gt;="&amp;$J791,'Hours Log'!$A:$A,"&lt;"&amp;$J791+7)+SUMIFS('Hours Log'!$D:$D,'Hours Log'!$A:$A,"&gt;="&amp;$J791,'Hours Log'!$A:$A,"&lt;"&amp;$J791+7))</f>
        <v/>
      </c>
      <c r="D791">
        <f>IF($J791="","",SUMIFS('Hours Log'!$D:$D,'Hours Log'!$A:$A,"&gt;="&amp;$J791,'Hours Log'!$A:$A,"&lt;"&amp;$J791+7))</f>
        <v/>
      </c>
      <c r="E791">
        <f>IF($J791="","",IFERROR(C791/(B791*40),0))</f>
        <v/>
      </c>
      <c r="F791">
        <f>IF($J791="","",0)</f>
        <v/>
      </c>
      <c r="G791">
        <f>IF($J791="","",SUMIFS('Hours Log'!$E:$E,'Hours Log'!$A:$A,"&gt;="&amp;$J791,'Hours Log'!$A:$A,"&lt;"&amp;$J791+7))</f>
        <v/>
      </c>
      <c r="J791">
        <f>IF(COUNT('Hours Log'!$A$4:$A$5000)=0,"",IF(MIN('Hours Log'!$A$4:$A$5000)+7*(ROW()-10)&gt;MAX('Hours Log'!$A$4:$A$5000),"",MIN('Hours Log'!$A$4:$A$5000)+7*(ROW()-10)))</f>
        <v/>
      </c>
    </row>
    <row r="792">
      <c r="A792">
        <f>IF($J792="","",YEAR($J792-WEEKDAY($J792,2)+4)&amp;"-W"&amp;TEXT(WEEKNUM($J792,21),"00"))</f>
        <v/>
      </c>
      <c r="B792" s="41">
        <f>IF($J792="","",COUNTIFS(Roster!$D$4:$D$500,"Active",Roster!$C$4:$C$500,"&lt;="&amp;$J792))</f>
        <v/>
      </c>
      <c r="C792">
        <f>IF($J792="","",SUMIFS('Hours Log'!$C:$C,'Hours Log'!$A:$A,"&gt;="&amp;$J792,'Hours Log'!$A:$A,"&lt;"&amp;$J792+7)+SUMIFS('Hours Log'!$D:$D,'Hours Log'!$A:$A,"&gt;="&amp;$J792,'Hours Log'!$A:$A,"&lt;"&amp;$J792+7))</f>
        <v/>
      </c>
      <c r="D792">
        <f>IF($J792="","",SUMIFS('Hours Log'!$D:$D,'Hours Log'!$A:$A,"&gt;="&amp;$J792,'Hours Log'!$A:$A,"&lt;"&amp;$J792+7))</f>
        <v/>
      </c>
      <c r="E792">
        <f>IF($J792="","",IFERROR(C792/(B792*40),0))</f>
        <v/>
      </c>
      <c r="F792">
        <f>IF($J792="","",0)</f>
        <v/>
      </c>
      <c r="G792">
        <f>IF($J792="","",SUMIFS('Hours Log'!$E:$E,'Hours Log'!$A:$A,"&gt;="&amp;$J792,'Hours Log'!$A:$A,"&lt;"&amp;$J792+7))</f>
        <v/>
      </c>
      <c r="J792">
        <f>IF(COUNT('Hours Log'!$A$4:$A$5000)=0,"",IF(MIN('Hours Log'!$A$4:$A$5000)+7*(ROW()-10)&gt;MAX('Hours Log'!$A$4:$A$5000),"",MIN('Hours Log'!$A$4:$A$5000)+7*(ROW()-10)))</f>
        <v/>
      </c>
    </row>
    <row r="793">
      <c r="A793">
        <f>IF($J793="","",YEAR($J793-WEEKDAY($J793,2)+4)&amp;"-W"&amp;TEXT(WEEKNUM($J793,21),"00"))</f>
        <v/>
      </c>
      <c r="B793" s="41">
        <f>IF($J793="","",COUNTIFS(Roster!$D$4:$D$500,"Active",Roster!$C$4:$C$500,"&lt;="&amp;$J793))</f>
        <v/>
      </c>
      <c r="C793">
        <f>IF($J793="","",SUMIFS('Hours Log'!$C:$C,'Hours Log'!$A:$A,"&gt;="&amp;$J793,'Hours Log'!$A:$A,"&lt;"&amp;$J793+7)+SUMIFS('Hours Log'!$D:$D,'Hours Log'!$A:$A,"&gt;="&amp;$J793,'Hours Log'!$A:$A,"&lt;"&amp;$J793+7))</f>
        <v/>
      </c>
      <c r="D793">
        <f>IF($J793="","",SUMIFS('Hours Log'!$D:$D,'Hours Log'!$A:$A,"&gt;="&amp;$J793,'Hours Log'!$A:$A,"&lt;"&amp;$J793+7))</f>
        <v/>
      </c>
      <c r="E793">
        <f>IF($J793="","",IFERROR(C793/(B793*40),0))</f>
        <v/>
      </c>
      <c r="F793">
        <f>IF($J793="","",0)</f>
        <v/>
      </c>
      <c r="G793">
        <f>IF($J793="","",SUMIFS('Hours Log'!$E:$E,'Hours Log'!$A:$A,"&gt;="&amp;$J793,'Hours Log'!$A:$A,"&lt;"&amp;$J793+7))</f>
        <v/>
      </c>
      <c r="J793">
        <f>IF(COUNT('Hours Log'!$A$4:$A$5000)=0,"",IF(MIN('Hours Log'!$A$4:$A$5000)+7*(ROW()-10)&gt;MAX('Hours Log'!$A$4:$A$5000),"",MIN('Hours Log'!$A$4:$A$5000)+7*(ROW()-10)))</f>
        <v/>
      </c>
    </row>
    <row r="794">
      <c r="A794">
        <f>IF($J794="","",YEAR($J794-WEEKDAY($J794,2)+4)&amp;"-W"&amp;TEXT(WEEKNUM($J794,21),"00"))</f>
        <v/>
      </c>
      <c r="B794" s="41">
        <f>IF($J794="","",COUNTIFS(Roster!$D$4:$D$500,"Active",Roster!$C$4:$C$500,"&lt;="&amp;$J794))</f>
        <v/>
      </c>
      <c r="C794">
        <f>IF($J794="","",SUMIFS('Hours Log'!$C:$C,'Hours Log'!$A:$A,"&gt;="&amp;$J794,'Hours Log'!$A:$A,"&lt;"&amp;$J794+7)+SUMIFS('Hours Log'!$D:$D,'Hours Log'!$A:$A,"&gt;="&amp;$J794,'Hours Log'!$A:$A,"&lt;"&amp;$J794+7))</f>
        <v/>
      </c>
      <c r="D794">
        <f>IF($J794="","",SUMIFS('Hours Log'!$D:$D,'Hours Log'!$A:$A,"&gt;="&amp;$J794,'Hours Log'!$A:$A,"&lt;"&amp;$J794+7))</f>
        <v/>
      </c>
      <c r="E794">
        <f>IF($J794="","",IFERROR(C794/(B794*40),0))</f>
        <v/>
      </c>
      <c r="F794">
        <f>IF($J794="","",0)</f>
        <v/>
      </c>
      <c r="G794">
        <f>IF($J794="","",SUMIFS('Hours Log'!$E:$E,'Hours Log'!$A:$A,"&gt;="&amp;$J794,'Hours Log'!$A:$A,"&lt;"&amp;$J794+7))</f>
        <v/>
      </c>
      <c r="J794">
        <f>IF(COUNT('Hours Log'!$A$4:$A$5000)=0,"",IF(MIN('Hours Log'!$A$4:$A$5000)+7*(ROW()-10)&gt;MAX('Hours Log'!$A$4:$A$5000),"",MIN('Hours Log'!$A$4:$A$5000)+7*(ROW()-10)))</f>
        <v/>
      </c>
    </row>
    <row r="795">
      <c r="A795">
        <f>IF($J795="","",YEAR($J795-WEEKDAY($J795,2)+4)&amp;"-W"&amp;TEXT(WEEKNUM($J795,21),"00"))</f>
        <v/>
      </c>
      <c r="B795" s="41">
        <f>IF($J795="","",COUNTIFS(Roster!$D$4:$D$500,"Active",Roster!$C$4:$C$500,"&lt;="&amp;$J795))</f>
        <v/>
      </c>
      <c r="C795">
        <f>IF($J795="","",SUMIFS('Hours Log'!$C:$C,'Hours Log'!$A:$A,"&gt;="&amp;$J795,'Hours Log'!$A:$A,"&lt;"&amp;$J795+7)+SUMIFS('Hours Log'!$D:$D,'Hours Log'!$A:$A,"&gt;="&amp;$J795,'Hours Log'!$A:$A,"&lt;"&amp;$J795+7))</f>
        <v/>
      </c>
      <c r="D795">
        <f>IF($J795="","",SUMIFS('Hours Log'!$D:$D,'Hours Log'!$A:$A,"&gt;="&amp;$J795,'Hours Log'!$A:$A,"&lt;"&amp;$J795+7))</f>
        <v/>
      </c>
      <c r="E795">
        <f>IF($J795="","",IFERROR(C795/(B795*40),0))</f>
        <v/>
      </c>
      <c r="F795">
        <f>IF($J795="","",0)</f>
        <v/>
      </c>
      <c r="G795">
        <f>IF($J795="","",SUMIFS('Hours Log'!$E:$E,'Hours Log'!$A:$A,"&gt;="&amp;$J795,'Hours Log'!$A:$A,"&lt;"&amp;$J795+7))</f>
        <v/>
      </c>
      <c r="J795">
        <f>IF(COUNT('Hours Log'!$A$4:$A$5000)=0,"",IF(MIN('Hours Log'!$A$4:$A$5000)+7*(ROW()-10)&gt;MAX('Hours Log'!$A$4:$A$5000),"",MIN('Hours Log'!$A$4:$A$5000)+7*(ROW()-10)))</f>
        <v/>
      </c>
    </row>
    <row r="796">
      <c r="A796">
        <f>IF($J796="","",YEAR($J796-WEEKDAY($J796,2)+4)&amp;"-W"&amp;TEXT(WEEKNUM($J796,21),"00"))</f>
        <v/>
      </c>
      <c r="B796" s="41">
        <f>IF($J796="","",COUNTIFS(Roster!$D$4:$D$500,"Active",Roster!$C$4:$C$500,"&lt;="&amp;$J796))</f>
        <v/>
      </c>
      <c r="C796">
        <f>IF($J796="","",SUMIFS('Hours Log'!$C:$C,'Hours Log'!$A:$A,"&gt;="&amp;$J796,'Hours Log'!$A:$A,"&lt;"&amp;$J796+7)+SUMIFS('Hours Log'!$D:$D,'Hours Log'!$A:$A,"&gt;="&amp;$J796,'Hours Log'!$A:$A,"&lt;"&amp;$J796+7))</f>
        <v/>
      </c>
      <c r="D796">
        <f>IF($J796="","",SUMIFS('Hours Log'!$D:$D,'Hours Log'!$A:$A,"&gt;="&amp;$J796,'Hours Log'!$A:$A,"&lt;"&amp;$J796+7))</f>
        <v/>
      </c>
      <c r="E796">
        <f>IF($J796="","",IFERROR(C796/(B796*40),0))</f>
        <v/>
      </c>
      <c r="F796">
        <f>IF($J796="","",0)</f>
        <v/>
      </c>
      <c r="G796">
        <f>IF($J796="","",SUMIFS('Hours Log'!$E:$E,'Hours Log'!$A:$A,"&gt;="&amp;$J796,'Hours Log'!$A:$A,"&lt;"&amp;$J796+7))</f>
        <v/>
      </c>
      <c r="J796">
        <f>IF(COUNT('Hours Log'!$A$4:$A$5000)=0,"",IF(MIN('Hours Log'!$A$4:$A$5000)+7*(ROW()-10)&gt;MAX('Hours Log'!$A$4:$A$5000),"",MIN('Hours Log'!$A$4:$A$5000)+7*(ROW()-10)))</f>
        <v/>
      </c>
    </row>
    <row r="797">
      <c r="A797">
        <f>IF($J797="","",YEAR($J797-WEEKDAY($J797,2)+4)&amp;"-W"&amp;TEXT(WEEKNUM($J797,21),"00"))</f>
        <v/>
      </c>
      <c r="B797" s="41">
        <f>IF($J797="","",COUNTIFS(Roster!$D$4:$D$500,"Active",Roster!$C$4:$C$500,"&lt;="&amp;$J797))</f>
        <v/>
      </c>
      <c r="C797">
        <f>IF($J797="","",SUMIFS('Hours Log'!$C:$C,'Hours Log'!$A:$A,"&gt;="&amp;$J797,'Hours Log'!$A:$A,"&lt;"&amp;$J797+7)+SUMIFS('Hours Log'!$D:$D,'Hours Log'!$A:$A,"&gt;="&amp;$J797,'Hours Log'!$A:$A,"&lt;"&amp;$J797+7))</f>
        <v/>
      </c>
      <c r="D797">
        <f>IF($J797="","",SUMIFS('Hours Log'!$D:$D,'Hours Log'!$A:$A,"&gt;="&amp;$J797,'Hours Log'!$A:$A,"&lt;"&amp;$J797+7))</f>
        <v/>
      </c>
      <c r="E797">
        <f>IF($J797="","",IFERROR(C797/(B797*40),0))</f>
        <v/>
      </c>
      <c r="F797">
        <f>IF($J797="","",0)</f>
        <v/>
      </c>
      <c r="G797">
        <f>IF($J797="","",SUMIFS('Hours Log'!$E:$E,'Hours Log'!$A:$A,"&gt;="&amp;$J797,'Hours Log'!$A:$A,"&lt;"&amp;$J797+7))</f>
        <v/>
      </c>
      <c r="J797">
        <f>IF(COUNT('Hours Log'!$A$4:$A$5000)=0,"",IF(MIN('Hours Log'!$A$4:$A$5000)+7*(ROW()-10)&gt;MAX('Hours Log'!$A$4:$A$5000),"",MIN('Hours Log'!$A$4:$A$5000)+7*(ROW()-10)))</f>
        <v/>
      </c>
    </row>
    <row r="798">
      <c r="A798">
        <f>IF($J798="","",YEAR($J798-WEEKDAY($J798,2)+4)&amp;"-W"&amp;TEXT(WEEKNUM($J798,21),"00"))</f>
        <v/>
      </c>
      <c r="B798" s="41">
        <f>IF($J798="","",COUNTIFS(Roster!$D$4:$D$500,"Active",Roster!$C$4:$C$500,"&lt;="&amp;$J798))</f>
        <v/>
      </c>
      <c r="C798">
        <f>IF($J798="","",SUMIFS('Hours Log'!$C:$C,'Hours Log'!$A:$A,"&gt;="&amp;$J798,'Hours Log'!$A:$A,"&lt;"&amp;$J798+7)+SUMIFS('Hours Log'!$D:$D,'Hours Log'!$A:$A,"&gt;="&amp;$J798,'Hours Log'!$A:$A,"&lt;"&amp;$J798+7))</f>
        <v/>
      </c>
      <c r="D798">
        <f>IF($J798="","",SUMIFS('Hours Log'!$D:$D,'Hours Log'!$A:$A,"&gt;="&amp;$J798,'Hours Log'!$A:$A,"&lt;"&amp;$J798+7))</f>
        <v/>
      </c>
      <c r="E798">
        <f>IF($J798="","",IFERROR(C798/(B798*40),0))</f>
        <v/>
      </c>
      <c r="F798">
        <f>IF($J798="","",0)</f>
        <v/>
      </c>
      <c r="G798">
        <f>IF($J798="","",SUMIFS('Hours Log'!$E:$E,'Hours Log'!$A:$A,"&gt;="&amp;$J798,'Hours Log'!$A:$A,"&lt;"&amp;$J798+7))</f>
        <v/>
      </c>
      <c r="J798">
        <f>IF(COUNT('Hours Log'!$A$4:$A$5000)=0,"",IF(MIN('Hours Log'!$A$4:$A$5000)+7*(ROW()-10)&gt;MAX('Hours Log'!$A$4:$A$5000),"",MIN('Hours Log'!$A$4:$A$5000)+7*(ROW()-10)))</f>
        <v/>
      </c>
    </row>
    <row r="799">
      <c r="A799">
        <f>IF($J799="","",YEAR($J799-WEEKDAY($J799,2)+4)&amp;"-W"&amp;TEXT(WEEKNUM($J799,21),"00"))</f>
        <v/>
      </c>
      <c r="B799" s="41">
        <f>IF($J799="","",COUNTIFS(Roster!$D$4:$D$500,"Active",Roster!$C$4:$C$500,"&lt;="&amp;$J799))</f>
        <v/>
      </c>
      <c r="C799">
        <f>IF($J799="","",SUMIFS('Hours Log'!$C:$C,'Hours Log'!$A:$A,"&gt;="&amp;$J799,'Hours Log'!$A:$A,"&lt;"&amp;$J799+7)+SUMIFS('Hours Log'!$D:$D,'Hours Log'!$A:$A,"&gt;="&amp;$J799,'Hours Log'!$A:$A,"&lt;"&amp;$J799+7))</f>
        <v/>
      </c>
      <c r="D799">
        <f>IF($J799="","",SUMIFS('Hours Log'!$D:$D,'Hours Log'!$A:$A,"&gt;="&amp;$J799,'Hours Log'!$A:$A,"&lt;"&amp;$J799+7))</f>
        <v/>
      </c>
      <c r="E799">
        <f>IF($J799="","",IFERROR(C799/(B799*40),0))</f>
        <v/>
      </c>
      <c r="F799">
        <f>IF($J799="","",0)</f>
        <v/>
      </c>
      <c r="G799">
        <f>IF($J799="","",SUMIFS('Hours Log'!$E:$E,'Hours Log'!$A:$A,"&gt;="&amp;$J799,'Hours Log'!$A:$A,"&lt;"&amp;$J799+7))</f>
        <v/>
      </c>
      <c r="J799">
        <f>IF(COUNT('Hours Log'!$A$4:$A$5000)=0,"",IF(MIN('Hours Log'!$A$4:$A$5000)+7*(ROW()-10)&gt;MAX('Hours Log'!$A$4:$A$5000),"",MIN('Hours Log'!$A$4:$A$5000)+7*(ROW()-10)))</f>
        <v/>
      </c>
    </row>
    <row r="800">
      <c r="A800">
        <f>IF($J800="","",YEAR($J800-WEEKDAY($J800,2)+4)&amp;"-W"&amp;TEXT(WEEKNUM($J800,21),"00"))</f>
        <v/>
      </c>
      <c r="B800" s="41">
        <f>IF($J800="","",COUNTIFS(Roster!$D$4:$D$500,"Active",Roster!$C$4:$C$500,"&lt;="&amp;$J800))</f>
        <v/>
      </c>
      <c r="C800">
        <f>IF($J800="","",SUMIFS('Hours Log'!$C:$C,'Hours Log'!$A:$A,"&gt;="&amp;$J800,'Hours Log'!$A:$A,"&lt;"&amp;$J800+7)+SUMIFS('Hours Log'!$D:$D,'Hours Log'!$A:$A,"&gt;="&amp;$J800,'Hours Log'!$A:$A,"&lt;"&amp;$J800+7))</f>
        <v/>
      </c>
      <c r="D800">
        <f>IF($J800="","",SUMIFS('Hours Log'!$D:$D,'Hours Log'!$A:$A,"&gt;="&amp;$J800,'Hours Log'!$A:$A,"&lt;"&amp;$J800+7))</f>
        <v/>
      </c>
      <c r="E800">
        <f>IF($J800="","",IFERROR(C800/(B800*40),0))</f>
        <v/>
      </c>
      <c r="F800">
        <f>IF($J800="","",0)</f>
        <v/>
      </c>
      <c r="G800">
        <f>IF($J800="","",SUMIFS('Hours Log'!$E:$E,'Hours Log'!$A:$A,"&gt;="&amp;$J800,'Hours Log'!$A:$A,"&lt;"&amp;$J800+7))</f>
        <v/>
      </c>
      <c r="J800">
        <f>IF(COUNT('Hours Log'!$A$4:$A$5000)=0,"",IF(MIN('Hours Log'!$A$4:$A$5000)+7*(ROW()-10)&gt;MAX('Hours Log'!$A$4:$A$5000),"",MIN('Hours Log'!$A$4:$A$5000)+7*(ROW()-10)))</f>
        <v/>
      </c>
    </row>
    <row r="801">
      <c r="A801">
        <f>IF($J801="","",YEAR($J801-WEEKDAY($J801,2)+4)&amp;"-W"&amp;TEXT(WEEKNUM($J801,21),"00"))</f>
        <v/>
      </c>
      <c r="B801" s="41">
        <f>IF($J801="","",COUNTIFS(Roster!$D$4:$D$500,"Active",Roster!$C$4:$C$500,"&lt;="&amp;$J801))</f>
        <v/>
      </c>
      <c r="C801">
        <f>IF($J801="","",SUMIFS('Hours Log'!$C:$C,'Hours Log'!$A:$A,"&gt;="&amp;$J801,'Hours Log'!$A:$A,"&lt;"&amp;$J801+7)+SUMIFS('Hours Log'!$D:$D,'Hours Log'!$A:$A,"&gt;="&amp;$J801,'Hours Log'!$A:$A,"&lt;"&amp;$J801+7))</f>
        <v/>
      </c>
      <c r="D801">
        <f>IF($J801="","",SUMIFS('Hours Log'!$D:$D,'Hours Log'!$A:$A,"&gt;="&amp;$J801,'Hours Log'!$A:$A,"&lt;"&amp;$J801+7))</f>
        <v/>
      </c>
      <c r="E801">
        <f>IF($J801="","",IFERROR(C801/(B801*40),0))</f>
        <v/>
      </c>
      <c r="F801">
        <f>IF($J801="","",0)</f>
        <v/>
      </c>
      <c r="G801">
        <f>IF($J801="","",SUMIFS('Hours Log'!$E:$E,'Hours Log'!$A:$A,"&gt;="&amp;$J801,'Hours Log'!$A:$A,"&lt;"&amp;$J801+7))</f>
        <v/>
      </c>
      <c r="J801">
        <f>IF(COUNT('Hours Log'!$A$4:$A$5000)=0,"",IF(MIN('Hours Log'!$A$4:$A$5000)+7*(ROW()-10)&gt;MAX('Hours Log'!$A$4:$A$5000),"",MIN('Hours Log'!$A$4:$A$5000)+7*(ROW()-10)))</f>
        <v/>
      </c>
    </row>
    <row r="802">
      <c r="A802">
        <f>IF($J802="","",YEAR($J802-WEEKDAY($J802,2)+4)&amp;"-W"&amp;TEXT(WEEKNUM($J802,21),"00"))</f>
        <v/>
      </c>
      <c r="B802" s="41">
        <f>IF($J802="","",COUNTIFS(Roster!$D$4:$D$500,"Active",Roster!$C$4:$C$500,"&lt;="&amp;$J802))</f>
        <v/>
      </c>
      <c r="C802">
        <f>IF($J802="","",SUMIFS('Hours Log'!$C:$C,'Hours Log'!$A:$A,"&gt;="&amp;$J802,'Hours Log'!$A:$A,"&lt;"&amp;$J802+7)+SUMIFS('Hours Log'!$D:$D,'Hours Log'!$A:$A,"&gt;="&amp;$J802,'Hours Log'!$A:$A,"&lt;"&amp;$J802+7))</f>
        <v/>
      </c>
      <c r="D802">
        <f>IF($J802="","",SUMIFS('Hours Log'!$D:$D,'Hours Log'!$A:$A,"&gt;="&amp;$J802,'Hours Log'!$A:$A,"&lt;"&amp;$J802+7))</f>
        <v/>
      </c>
      <c r="E802">
        <f>IF($J802="","",IFERROR(C802/(B802*40),0))</f>
        <v/>
      </c>
      <c r="F802">
        <f>IF($J802="","",0)</f>
        <v/>
      </c>
      <c r="G802">
        <f>IF($J802="","",SUMIFS('Hours Log'!$E:$E,'Hours Log'!$A:$A,"&gt;="&amp;$J802,'Hours Log'!$A:$A,"&lt;"&amp;$J802+7))</f>
        <v/>
      </c>
      <c r="J802">
        <f>IF(COUNT('Hours Log'!$A$4:$A$5000)=0,"",IF(MIN('Hours Log'!$A$4:$A$5000)+7*(ROW()-10)&gt;MAX('Hours Log'!$A$4:$A$5000),"",MIN('Hours Log'!$A$4:$A$5000)+7*(ROW()-10)))</f>
        <v/>
      </c>
    </row>
    <row r="803">
      <c r="A803">
        <f>IF($J803="","",YEAR($J803-WEEKDAY($J803,2)+4)&amp;"-W"&amp;TEXT(WEEKNUM($J803,21),"00"))</f>
        <v/>
      </c>
      <c r="B803" s="41">
        <f>IF($J803="","",COUNTIFS(Roster!$D$4:$D$500,"Active",Roster!$C$4:$C$500,"&lt;="&amp;$J803))</f>
        <v/>
      </c>
      <c r="C803">
        <f>IF($J803="","",SUMIFS('Hours Log'!$C:$C,'Hours Log'!$A:$A,"&gt;="&amp;$J803,'Hours Log'!$A:$A,"&lt;"&amp;$J803+7)+SUMIFS('Hours Log'!$D:$D,'Hours Log'!$A:$A,"&gt;="&amp;$J803,'Hours Log'!$A:$A,"&lt;"&amp;$J803+7))</f>
        <v/>
      </c>
      <c r="D803">
        <f>IF($J803="","",SUMIFS('Hours Log'!$D:$D,'Hours Log'!$A:$A,"&gt;="&amp;$J803,'Hours Log'!$A:$A,"&lt;"&amp;$J803+7))</f>
        <v/>
      </c>
      <c r="E803">
        <f>IF($J803="","",IFERROR(C803/(B803*40),0))</f>
        <v/>
      </c>
      <c r="F803">
        <f>IF($J803="","",0)</f>
        <v/>
      </c>
      <c r="G803">
        <f>IF($J803="","",SUMIFS('Hours Log'!$E:$E,'Hours Log'!$A:$A,"&gt;="&amp;$J803,'Hours Log'!$A:$A,"&lt;"&amp;$J803+7))</f>
        <v/>
      </c>
      <c r="J803">
        <f>IF(COUNT('Hours Log'!$A$4:$A$5000)=0,"",IF(MIN('Hours Log'!$A$4:$A$5000)+7*(ROW()-10)&gt;MAX('Hours Log'!$A$4:$A$5000),"",MIN('Hours Log'!$A$4:$A$5000)+7*(ROW()-10)))</f>
        <v/>
      </c>
    </row>
    <row r="804">
      <c r="A804">
        <f>IF($J804="","",YEAR($J804-WEEKDAY($J804,2)+4)&amp;"-W"&amp;TEXT(WEEKNUM($J804,21),"00"))</f>
        <v/>
      </c>
      <c r="B804" s="41">
        <f>IF($J804="","",COUNTIFS(Roster!$D$4:$D$500,"Active",Roster!$C$4:$C$500,"&lt;="&amp;$J804))</f>
        <v/>
      </c>
      <c r="C804">
        <f>IF($J804="","",SUMIFS('Hours Log'!$C:$C,'Hours Log'!$A:$A,"&gt;="&amp;$J804,'Hours Log'!$A:$A,"&lt;"&amp;$J804+7)+SUMIFS('Hours Log'!$D:$D,'Hours Log'!$A:$A,"&gt;="&amp;$J804,'Hours Log'!$A:$A,"&lt;"&amp;$J804+7))</f>
        <v/>
      </c>
      <c r="D804">
        <f>IF($J804="","",SUMIFS('Hours Log'!$D:$D,'Hours Log'!$A:$A,"&gt;="&amp;$J804,'Hours Log'!$A:$A,"&lt;"&amp;$J804+7))</f>
        <v/>
      </c>
      <c r="E804">
        <f>IF($J804="","",IFERROR(C804/(B804*40),0))</f>
        <v/>
      </c>
      <c r="F804">
        <f>IF($J804="","",0)</f>
        <v/>
      </c>
      <c r="G804">
        <f>IF($J804="","",SUMIFS('Hours Log'!$E:$E,'Hours Log'!$A:$A,"&gt;="&amp;$J804,'Hours Log'!$A:$A,"&lt;"&amp;$J804+7))</f>
        <v/>
      </c>
      <c r="J804">
        <f>IF(COUNT('Hours Log'!$A$4:$A$5000)=0,"",IF(MIN('Hours Log'!$A$4:$A$5000)+7*(ROW()-10)&gt;MAX('Hours Log'!$A$4:$A$5000),"",MIN('Hours Log'!$A$4:$A$5000)+7*(ROW()-10)))</f>
        <v/>
      </c>
    </row>
    <row r="805">
      <c r="A805">
        <f>IF($J805="","",YEAR($J805-WEEKDAY($J805,2)+4)&amp;"-W"&amp;TEXT(WEEKNUM($J805,21),"00"))</f>
        <v/>
      </c>
      <c r="B805" s="41">
        <f>IF($J805="","",COUNTIFS(Roster!$D$4:$D$500,"Active",Roster!$C$4:$C$500,"&lt;="&amp;$J805))</f>
        <v/>
      </c>
      <c r="C805">
        <f>IF($J805="","",SUMIFS('Hours Log'!$C:$C,'Hours Log'!$A:$A,"&gt;="&amp;$J805,'Hours Log'!$A:$A,"&lt;"&amp;$J805+7)+SUMIFS('Hours Log'!$D:$D,'Hours Log'!$A:$A,"&gt;="&amp;$J805,'Hours Log'!$A:$A,"&lt;"&amp;$J805+7))</f>
        <v/>
      </c>
      <c r="D805">
        <f>IF($J805="","",SUMIFS('Hours Log'!$D:$D,'Hours Log'!$A:$A,"&gt;="&amp;$J805,'Hours Log'!$A:$A,"&lt;"&amp;$J805+7))</f>
        <v/>
      </c>
      <c r="E805">
        <f>IF($J805="","",IFERROR(C805/(B805*40),0))</f>
        <v/>
      </c>
      <c r="F805">
        <f>IF($J805="","",0)</f>
        <v/>
      </c>
      <c r="G805">
        <f>IF($J805="","",SUMIFS('Hours Log'!$E:$E,'Hours Log'!$A:$A,"&gt;="&amp;$J805,'Hours Log'!$A:$A,"&lt;"&amp;$J805+7))</f>
        <v/>
      </c>
      <c r="J805">
        <f>IF(COUNT('Hours Log'!$A$4:$A$5000)=0,"",IF(MIN('Hours Log'!$A$4:$A$5000)+7*(ROW()-10)&gt;MAX('Hours Log'!$A$4:$A$5000),"",MIN('Hours Log'!$A$4:$A$5000)+7*(ROW()-10)))</f>
        <v/>
      </c>
    </row>
    <row r="806">
      <c r="A806">
        <f>IF($J806="","",YEAR($J806-WEEKDAY($J806,2)+4)&amp;"-W"&amp;TEXT(WEEKNUM($J806,21),"00"))</f>
        <v/>
      </c>
      <c r="B806" s="41">
        <f>IF($J806="","",COUNTIFS(Roster!$D$4:$D$500,"Active",Roster!$C$4:$C$500,"&lt;="&amp;$J806))</f>
        <v/>
      </c>
      <c r="C806">
        <f>IF($J806="","",SUMIFS('Hours Log'!$C:$C,'Hours Log'!$A:$A,"&gt;="&amp;$J806,'Hours Log'!$A:$A,"&lt;"&amp;$J806+7)+SUMIFS('Hours Log'!$D:$D,'Hours Log'!$A:$A,"&gt;="&amp;$J806,'Hours Log'!$A:$A,"&lt;"&amp;$J806+7))</f>
        <v/>
      </c>
      <c r="D806">
        <f>IF($J806="","",SUMIFS('Hours Log'!$D:$D,'Hours Log'!$A:$A,"&gt;="&amp;$J806,'Hours Log'!$A:$A,"&lt;"&amp;$J806+7))</f>
        <v/>
      </c>
      <c r="E806">
        <f>IF($J806="","",IFERROR(C806/(B806*40),0))</f>
        <v/>
      </c>
      <c r="F806">
        <f>IF($J806="","",0)</f>
        <v/>
      </c>
      <c r="G806">
        <f>IF($J806="","",SUMIFS('Hours Log'!$E:$E,'Hours Log'!$A:$A,"&gt;="&amp;$J806,'Hours Log'!$A:$A,"&lt;"&amp;$J806+7))</f>
        <v/>
      </c>
      <c r="J806">
        <f>IF(COUNT('Hours Log'!$A$4:$A$5000)=0,"",IF(MIN('Hours Log'!$A$4:$A$5000)+7*(ROW()-10)&gt;MAX('Hours Log'!$A$4:$A$5000),"",MIN('Hours Log'!$A$4:$A$5000)+7*(ROW()-10)))</f>
        <v/>
      </c>
    </row>
    <row r="807">
      <c r="A807">
        <f>IF($J807="","",YEAR($J807-WEEKDAY($J807,2)+4)&amp;"-W"&amp;TEXT(WEEKNUM($J807,21),"00"))</f>
        <v/>
      </c>
      <c r="B807" s="41">
        <f>IF($J807="","",COUNTIFS(Roster!$D$4:$D$500,"Active",Roster!$C$4:$C$500,"&lt;="&amp;$J807))</f>
        <v/>
      </c>
      <c r="C807">
        <f>IF($J807="","",SUMIFS('Hours Log'!$C:$C,'Hours Log'!$A:$A,"&gt;="&amp;$J807,'Hours Log'!$A:$A,"&lt;"&amp;$J807+7)+SUMIFS('Hours Log'!$D:$D,'Hours Log'!$A:$A,"&gt;="&amp;$J807,'Hours Log'!$A:$A,"&lt;"&amp;$J807+7))</f>
        <v/>
      </c>
      <c r="D807">
        <f>IF($J807="","",SUMIFS('Hours Log'!$D:$D,'Hours Log'!$A:$A,"&gt;="&amp;$J807,'Hours Log'!$A:$A,"&lt;"&amp;$J807+7))</f>
        <v/>
      </c>
      <c r="E807">
        <f>IF($J807="","",IFERROR(C807/(B807*40),0))</f>
        <v/>
      </c>
      <c r="F807">
        <f>IF($J807="","",0)</f>
        <v/>
      </c>
      <c r="G807">
        <f>IF($J807="","",SUMIFS('Hours Log'!$E:$E,'Hours Log'!$A:$A,"&gt;="&amp;$J807,'Hours Log'!$A:$A,"&lt;"&amp;$J807+7))</f>
        <v/>
      </c>
      <c r="J807">
        <f>IF(COUNT('Hours Log'!$A$4:$A$5000)=0,"",IF(MIN('Hours Log'!$A$4:$A$5000)+7*(ROW()-10)&gt;MAX('Hours Log'!$A$4:$A$5000),"",MIN('Hours Log'!$A$4:$A$5000)+7*(ROW()-10)))</f>
        <v/>
      </c>
    </row>
    <row r="808">
      <c r="A808">
        <f>IF($J808="","",YEAR($J808-WEEKDAY($J808,2)+4)&amp;"-W"&amp;TEXT(WEEKNUM($J808,21),"00"))</f>
        <v/>
      </c>
      <c r="B808" s="41">
        <f>IF($J808="","",COUNTIFS(Roster!$D$4:$D$500,"Active",Roster!$C$4:$C$500,"&lt;="&amp;$J808))</f>
        <v/>
      </c>
      <c r="C808">
        <f>IF($J808="","",SUMIFS('Hours Log'!$C:$C,'Hours Log'!$A:$A,"&gt;="&amp;$J808,'Hours Log'!$A:$A,"&lt;"&amp;$J808+7)+SUMIFS('Hours Log'!$D:$D,'Hours Log'!$A:$A,"&gt;="&amp;$J808,'Hours Log'!$A:$A,"&lt;"&amp;$J808+7))</f>
        <v/>
      </c>
      <c r="D808">
        <f>IF($J808="","",SUMIFS('Hours Log'!$D:$D,'Hours Log'!$A:$A,"&gt;="&amp;$J808,'Hours Log'!$A:$A,"&lt;"&amp;$J808+7))</f>
        <v/>
      </c>
      <c r="E808">
        <f>IF($J808="","",IFERROR(C808/(B808*40),0))</f>
        <v/>
      </c>
      <c r="F808">
        <f>IF($J808="","",0)</f>
        <v/>
      </c>
      <c r="G808">
        <f>IF($J808="","",SUMIFS('Hours Log'!$E:$E,'Hours Log'!$A:$A,"&gt;="&amp;$J808,'Hours Log'!$A:$A,"&lt;"&amp;$J808+7))</f>
        <v/>
      </c>
      <c r="J808">
        <f>IF(COUNT('Hours Log'!$A$4:$A$5000)=0,"",IF(MIN('Hours Log'!$A$4:$A$5000)+7*(ROW()-10)&gt;MAX('Hours Log'!$A$4:$A$5000),"",MIN('Hours Log'!$A$4:$A$5000)+7*(ROW()-10)))</f>
        <v/>
      </c>
    </row>
    <row r="809">
      <c r="A809">
        <f>IF($J809="","",YEAR($J809-WEEKDAY($J809,2)+4)&amp;"-W"&amp;TEXT(WEEKNUM($J809,21),"00"))</f>
        <v/>
      </c>
      <c r="B809" s="41">
        <f>IF($J809="","",COUNTIFS(Roster!$D$4:$D$500,"Active",Roster!$C$4:$C$500,"&lt;="&amp;$J809))</f>
        <v/>
      </c>
      <c r="C809">
        <f>IF($J809="","",SUMIFS('Hours Log'!$C:$C,'Hours Log'!$A:$A,"&gt;="&amp;$J809,'Hours Log'!$A:$A,"&lt;"&amp;$J809+7)+SUMIFS('Hours Log'!$D:$D,'Hours Log'!$A:$A,"&gt;="&amp;$J809,'Hours Log'!$A:$A,"&lt;"&amp;$J809+7))</f>
        <v/>
      </c>
      <c r="D809">
        <f>IF($J809="","",SUMIFS('Hours Log'!$D:$D,'Hours Log'!$A:$A,"&gt;="&amp;$J809,'Hours Log'!$A:$A,"&lt;"&amp;$J809+7))</f>
        <v/>
      </c>
      <c r="E809">
        <f>IF($J809="","",IFERROR(C809/(B809*40),0))</f>
        <v/>
      </c>
      <c r="F809">
        <f>IF($J809="","",0)</f>
        <v/>
      </c>
      <c r="G809">
        <f>IF($J809="","",SUMIFS('Hours Log'!$E:$E,'Hours Log'!$A:$A,"&gt;="&amp;$J809,'Hours Log'!$A:$A,"&lt;"&amp;$J809+7))</f>
        <v/>
      </c>
      <c r="J809">
        <f>IF(COUNT('Hours Log'!$A$4:$A$5000)=0,"",IF(MIN('Hours Log'!$A$4:$A$5000)+7*(ROW()-10)&gt;MAX('Hours Log'!$A$4:$A$5000),"",MIN('Hours Log'!$A$4:$A$5000)+7*(ROW()-10)))</f>
        <v/>
      </c>
    </row>
    <row r="810">
      <c r="A810">
        <f>IF($J810="","",YEAR($J810-WEEKDAY($J810,2)+4)&amp;"-W"&amp;TEXT(WEEKNUM($J810,21),"00"))</f>
        <v/>
      </c>
      <c r="B810" s="41">
        <f>IF($J810="","",COUNTIFS(Roster!$D$4:$D$500,"Active",Roster!$C$4:$C$500,"&lt;="&amp;$J810))</f>
        <v/>
      </c>
      <c r="C810">
        <f>IF($J810="","",SUMIFS('Hours Log'!$C:$C,'Hours Log'!$A:$A,"&gt;="&amp;$J810,'Hours Log'!$A:$A,"&lt;"&amp;$J810+7)+SUMIFS('Hours Log'!$D:$D,'Hours Log'!$A:$A,"&gt;="&amp;$J810,'Hours Log'!$A:$A,"&lt;"&amp;$J810+7))</f>
        <v/>
      </c>
      <c r="D810">
        <f>IF($J810="","",SUMIFS('Hours Log'!$D:$D,'Hours Log'!$A:$A,"&gt;="&amp;$J810,'Hours Log'!$A:$A,"&lt;"&amp;$J810+7))</f>
        <v/>
      </c>
      <c r="E810">
        <f>IF($J810="","",IFERROR(C810/(B810*40),0))</f>
        <v/>
      </c>
      <c r="F810">
        <f>IF($J810="","",0)</f>
        <v/>
      </c>
      <c r="G810">
        <f>IF($J810="","",SUMIFS('Hours Log'!$E:$E,'Hours Log'!$A:$A,"&gt;="&amp;$J810,'Hours Log'!$A:$A,"&lt;"&amp;$J810+7))</f>
        <v/>
      </c>
      <c r="J810">
        <f>IF(COUNT('Hours Log'!$A$4:$A$5000)=0,"",IF(MIN('Hours Log'!$A$4:$A$5000)+7*(ROW()-10)&gt;MAX('Hours Log'!$A$4:$A$5000),"",MIN('Hours Log'!$A$4:$A$5000)+7*(ROW()-10)))</f>
        <v/>
      </c>
    </row>
    <row r="811">
      <c r="A811">
        <f>IF($J811="","",YEAR($J811-WEEKDAY($J811,2)+4)&amp;"-W"&amp;TEXT(WEEKNUM($J811,21),"00"))</f>
        <v/>
      </c>
      <c r="B811" s="41">
        <f>IF($J811="","",COUNTIFS(Roster!$D$4:$D$500,"Active",Roster!$C$4:$C$500,"&lt;="&amp;$J811))</f>
        <v/>
      </c>
      <c r="C811">
        <f>IF($J811="","",SUMIFS('Hours Log'!$C:$C,'Hours Log'!$A:$A,"&gt;="&amp;$J811,'Hours Log'!$A:$A,"&lt;"&amp;$J811+7)+SUMIFS('Hours Log'!$D:$D,'Hours Log'!$A:$A,"&gt;="&amp;$J811,'Hours Log'!$A:$A,"&lt;"&amp;$J811+7))</f>
        <v/>
      </c>
      <c r="D811">
        <f>IF($J811="","",SUMIFS('Hours Log'!$D:$D,'Hours Log'!$A:$A,"&gt;="&amp;$J811,'Hours Log'!$A:$A,"&lt;"&amp;$J811+7))</f>
        <v/>
      </c>
      <c r="E811">
        <f>IF($J811="","",IFERROR(C811/(B811*40),0))</f>
        <v/>
      </c>
      <c r="F811">
        <f>IF($J811="","",0)</f>
        <v/>
      </c>
      <c r="G811">
        <f>IF($J811="","",SUMIFS('Hours Log'!$E:$E,'Hours Log'!$A:$A,"&gt;="&amp;$J811,'Hours Log'!$A:$A,"&lt;"&amp;$J811+7))</f>
        <v/>
      </c>
      <c r="J811">
        <f>IF(COUNT('Hours Log'!$A$4:$A$5000)=0,"",IF(MIN('Hours Log'!$A$4:$A$5000)+7*(ROW()-10)&gt;MAX('Hours Log'!$A$4:$A$5000),"",MIN('Hours Log'!$A$4:$A$5000)+7*(ROW()-10)))</f>
        <v/>
      </c>
    </row>
    <row r="812">
      <c r="A812">
        <f>IF($J812="","",YEAR($J812-WEEKDAY($J812,2)+4)&amp;"-W"&amp;TEXT(WEEKNUM($J812,21),"00"))</f>
        <v/>
      </c>
      <c r="B812" s="41">
        <f>IF($J812="","",COUNTIFS(Roster!$D$4:$D$500,"Active",Roster!$C$4:$C$500,"&lt;="&amp;$J812))</f>
        <v/>
      </c>
      <c r="C812">
        <f>IF($J812="","",SUMIFS('Hours Log'!$C:$C,'Hours Log'!$A:$A,"&gt;="&amp;$J812,'Hours Log'!$A:$A,"&lt;"&amp;$J812+7)+SUMIFS('Hours Log'!$D:$D,'Hours Log'!$A:$A,"&gt;="&amp;$J812,'Hours Log'!$A:$A,"&lt;"&amp;$J812+7))</f>
        <v/>
      </c>
      <c r="D812">
        <f>IF($J812="","",SUMIFS('Hours Log'!$D:$D,'Hours Log'!$A:$A,"&gt;="&amp;$J812,'Hours Log'!$A:$A,"&lt;"&amp;$J812+7))</f>
        <v/>
      </c>
      <c r="E812">
        <f>IF($J812="","",IFERROR(C812/(B812*40),0))</f>
        <v/>
      </c>
      <c r="F812">
        <f>IF($J812="","",0)</f>
        <v/>
      </c>
      <c r="G812">
        <f>IF($J812="","",SUMIFS('Hours Log'!$E:$E,'Hours Log'!$A:$A,"&gt;="&amp;$J812,'Hours Log'!$A:$A,"&lt;"&amp;$J812+7))</f>
        <v/>
      </c>
      <c r="J812">
        <f>IF(COUNT('Hours Log'!$A$4:$A$5000)=0,"",IF(MIN('Hours Log'!$A$4:$A$5000)+7*(ROW()-10)&gt;MAX('Hours Log'!$A$4:$A$5000),"",MIN('Hours Log'!$A$4:$A$5000)+7*(ROW()-10)))</f>
        <v/>
      </c>
    </row>
    <row r="813">
      <c r="A813">
        <f>IF($J813="","",YEAR($J813-WEEKDAY($J813,2)+4)&amp;"-W"&amp;TEXT(WEEKNUM($J813,21),"00"))</f>
        <v/>
      </c>
      <c r="B813" s="41">
        <f>IF($J813="","",COUNTIFS(Roster!$D$4:$D$500,"Active",Roster!$C$4:$C$500,"&lt;="&amp;$J813))</f>
        <v/>
      </c>
      <c r="C813">
        <f>IF($J813="","",SUMIFS('Hours Log'!$C:$C,'Hours Log'!$A:$A,"&gt;="&amp;$J813,'Hours Log'!$A:$A,"&lt;"&amp;$J813+7)+SUMIFS('Hours Log'!$D:$D,'Hours Log'!$A:$A,"&gt;="&amp;$J813,'Hours Log'!$A:$A,"&lt;"&amp;$J813+7))</f>
        <v/>
      </c>
      <c r="D813">
        <f>IF($J813="","",SUMIFS('Hours Log'!$D:$D,'Hours Log'!$A:$A,"&gt;="&amp;$J813,'Hours Log'!$A:$A,"&lt;"&amp;$J813+7))</f>
        <v/>
      </c>
      <c r="E813">
        <f>IF($J813="","",IFERROR(C813/(B813*40),0))</f>
        <v/>
      </c>
      <c r="F813">
        <f>IF($J813="","",0)</f>
        <v/>
      </c>
      <c r="G813">
        <f>IF($J813="","",SUMIFS('Hours Log'!$E:$E,'Hours Log'!$A:$A,"&gt;="&amp;$J813,'Hours Log'!$A:$A,"&lt;"&amp;$J813+7))</f>
        <v/>
      </c>
      <c r="J813">
        <f>IF(COUNT('Hours Log'!$A$4:$A$5000)=0,"",IF(MIN('Hours Log'!$A$4:$A$5000)+7*(ROW()-10)&gt;MAX('Hours Log'!$A$4:$A$5000),"",MIN('Hours Log'!$A$4:$A$5000)+7*(ROW()-10)))</f>
        <v/>
      </c>
    </row>
    <row r="814">
      <c r="A814">
        <f>IF($J814="","",YEAR($J814-WEEKDAY($J814,2)+4)&amp;"-W"&amp;TEXT(WEEKNUM($J814,21),"00"))</f>
        <v/>
      </c>
      <c r="B814" s="41">
        <f>IF($J814="","",COUNTIFS(Roster!$D$4:$D$500,"Active",Roster!$C$4:$C$500,"&lt;="&amp;$J814))</f>
        <v/>
      </c>
      <c r="C814">
        <f>IF($J814="","",SUMIFS('Hours Log'!$C:$C,'Hours Log'!$A:$A,"&gt;="&amp;$J814,'Hours Log'!$A:$A,"&lt;"&amp;$J814+7)+SUMIFS('Hours Log'!$D:$D,'Hours Log'!$A:$A,"&gt;="&amp;$J814,'Hours Log'!$A:$A,"&lt;"&amp;$J814+7))</f>
        <v/>
      </c>
      <c r="D814">
        <f>IF($J814="","",SUMIFS('Hours Log'!$D:$D,'Hours Log'!$A:$A,"&gt;="&amp;$J814,'Hours Log'!$A:$A,"&lt;"&amp;$J814+7))</f>
        <v/>
      </c>
      <c r="E814">
        <f>IF($J814="","",IFERROR(C814/(B814*40),0))</f>
        <v/>
      </c>
      <c r="F814">
        <f>IF($J814="","",0)</f>
        <v/>
      </c>
      <c r="G814">
        <f>IF($J814="","",SUMIFS('Hours Log'!$E:$E,'Hours Log'!$A:$A,"&gt;="&amp;$J814,'Hours Log'!$A:$A,"&lt;"&amp;$J814+7))</f>
        <v/>
      </c>
      <c r="J814">
        <f>IF(COUNT('Hours Log'!$A$4:$A$5000)=0,"",IF(MIN('Hours Log'!$A$4:$A$5000)+7*(ROW()-10)&gt;MAX('Hours Log'!$A$4:$A$5000),"",MIN('Hours Log'!$A$4:$A$5000)+7*(ROW()-10)))</f>
        <v/>
      </c>
    </row>
    <row r="815">
      <c r="A815">
        <f>IF($J815="","",YEAR($J815-WEEKDAY($J815,2)+4)&amp;"-W"&amp;TEXT(WEEKNUM($J815,21),"00"))</f>
        <v/>
      </c>
      <c r="B815" s="41">
        <f>IF($J815="","",COUNTIFS(Roster!$D$4:$D$500,"Active",Roster!$C$4:$C$500,"&lt;="&amp;$J815))</f>
        <v/>
      </c>
      <c r="C815">
        <f>IF($J815="","",SUMIFS('Hours Log'!$C:$C,'Hours Log'!$A:$A,"&gt;="&amp;$J815,'Hours Log'!$A:$A,"&lt;"&amp;$J815+7)+SUMIFS('Hours Log'!$D:$D,'Hours Log'!$A:$A,"&gt;="&amp;$J815,'Hours Log'!$A:$A,"&lt;"&amp;$J815+7))</f>
        <v/>
      </c>
      <c r="D815">
        <f>IF($J815="","",SUMIFS('Hours Log'!$D:$D,'Hours Log'!$A:$A,"&gt;="&amp;$J815,'Hours Log'!$A:$A,"&lt;"&amp;$J815+7))</f>
        <v/>
      </c>
      <c r="E815">
        <f>IF($J815="","",IFERROR(C815/(B815*40),0))</f>
        <v/>
      </c>
      <c r="F815">
        <f>IF($J815="","",0)</f>
        <v/>
      </c>
      <c r="G815">
        <f>IF($J815="","",SUMIFS('Hours Log'!$E:$E,'Hours Log'!$A:$A,"&gt;="&amp;$J815,'Hours Log'!$A:$A,"&lt;"&amp;$J815+7))</f>
        <v/>
      </c>
      <c r="J815">
        <f>IF(COUNT('Hours Log'!$A$4:$A$5000)=0,"",IF(MIN('Hours Log'!$A$4:$A$5000)+7*(ROW()-10)&gt;MAX('Hours Log'!$A$4:$A$5000),"",MIN('Hours Log'!$A$4:$A$5000)+7*(ROW()-10)))</f>
        <v/>
      </c>
    </row>
    <row r="816">
      <c r="A816">
        <f>IF($J816="","",YEAR($J816-WEEKDAY($J816,2)+4)&amp;"-W"&amp;TEXT(WEEKNUM($J816,21),"00"))</f>
        <v/>
      </c>
      <c r="B816" s="41">
        <f>IF($J816="","",COUNTIFS(Roster!$D$4:$D$500,"Active",Roster!$C$4:$C$500,"&lt;="&amp;$J816))</f>
        <v/>
      </c>
      <c r="C816">
        <f>IF($J816="","",SUMIFS('Hours Log'!$C:$C,'Hours Log'!$A:$A,"&gt;="&amp;$J816,'Hours Log'!$A:$A,"&lt;"&amp;$J816+7)+SUMIFS('Hours Log'!$D:$D,'Hours Log'!$A:$A,"&gt;="&amp;$J816,'Hours Log'!$A:$A,"&lt;"&amp;$J816+7))</f>
        <v/>
      </c>
      <c r="D816">
        <f>IF($J816="","",SUMIFS('Hours Log'!$D:$D,'Hours Log'!$A:$A,"&gt;="&amp;$J816,'Hours Log'!$A:$A,"&lt;"&amp;$J816+7))</f>
        <v/>
      </c>
      <c r="E816">
        <f>IF($J816="","",IFERROR(C816/(B816*40),0))</f>
        <v/>
      </c>
      <c r="F816">
        <f>IF($J816="","",0)</f>
        <v/>
      </c>
      <c r="G816">
        <f>IF($J816="","",SUMIFS('Hours Log'!$E:$E,'Hours Log'!$A:$A,"&gt;="&amp;$J816,'Hours Log'!$A:$A,"&lt;"&amp;$J816+7))</f>
        <v/>
      </c>
      <c r="J816">
        <f>IF(COUNT('Hours Log'!$A$4:$A$5000)=0,"",IF(MIN('Hours Log'!$A$4:$A$5000)+7*(ROW()-10)&gt;MAX('Hours Log'!$A$4:$A$5000),"",MIN('Hours Log'!$A$4:$A$5000)+7*(ROW()-10)))</f>
        <v/>
      </c>
    </row>
    <row r="817">
      <c r="A817">
        <f>IF($J817="","",YEAR($J817-WEEKDAY($J817,2)+4)&amp;"-W"&amp;TEXT(WEEKNUM($J817,21),"00"))</f>
        <v/>
      </c>
      <c r="B817" s="41">
        <f>IF($J817="","",COUNTIFS(Roster!$D$4:$D$500,"Active",Roster!$C$4:$C$500,"&lt;="&amp;$J817))</f>
        <v/>
      </c>
      <c r="C817">
        <f>IF($J817="","",SUMIFS('Hours Log'!$C:$C,'Hours Log'!$A:$A,"&gt;="&amp;$J817,'Hours Log'!$A:$A,"&lt;"&amp;$J817+7)+SUMIFS('Hours Log'!$D:$D,'Hours Log'!$A:$A,"&gt;="&amp;$J817,'Hours Log'!$A:$A,"&lt;"&amp;$J817+7))</f>
        <v/>
      </c>
      <c r="D817">
        <f>IF($J817="","",SUMIFS('Hours Log'!$D:$D,'Hours Log'!$A:$A,"&gt;="&amp;$J817,'Hours Log'!$A:$A,"&lt;"&amp;$J817+7))</f>
        <v/>
      </c>
      <c r="E817">
        <f>IF($J817="","",IFERROR(C817/(B817*40),0))</f>
        <v/>
      </c>
      <c r="F817">
        <f>IF($J817="","",0)</f>
        <v/>
      </c>
      <c r="G817">
        <f>IF($J817="","",SUMIFS('Hours Log'!$E:$E,'Hours Log'!$A:$A,"&gt;="&amp;$J817,'Hours Log'!$A:$A,"&lt;"&amp;$J817+7))</f>
        <v/>
      </c>
      <c r="J817">
        <f>IF(COUNT('Hours Log'!$A$4:$A$5000)=0,"",IF(MIN('Hours Log'!$A$4:$A$5000)+7*(ROW()-10)&gt;MAX('Hours Log'!$A$4:$A$5000),"",MIN('Hours Log'!$A$4:$A$5000)+7*(ROW()-10)))</f>
        <v/>
      </c>
    </row>
    <row r="818">
      <c r="A818">
        <f>IF($J818="","",YEAR($J818-WEEKDAY($J818,2)+4)&amp;"-W"&amp;TEXT(WEEKNUM($J818,21),"00"))</f>
        <v/>
      </c>
      <c r="B818" s="41">
        <f>IF($J818="","",COUNTIFS(Roster!$D$4:$D$500,"Active",Roster!$C$4:$C$500,"&lt;="&amp;$J818))</f>
        <v/>
      </c>
      <c r="C818">
        <f>IF($J818="","",SUMIFS('Hours Log'!$C:$C,'Hours Log'!$A:$A,"&gt;="&amp;$J818,'Hours Log'!$A:$A,"&lt;"&amp;$J818+7)+SUMIFS('Hours Log'!$D:$D,'Hours Log'!$A:$A,"&gt;="&amp;$J818,'Hours Log'!$A:$A,"&lt;"&amp;$J818+7))</f>
        <v/>
      </c>
      <c r="D818">
        <f>IF($J818="","",SUMIFS('Hours Log'!$D:$D,'Hours Log'!$A:$A,"&gt;="&amp;$J818,'Hours Log'!$A:$A,"&lt;"&amp;$J818+7))</f>
        <v/>
      </c>
      <c r="E818">
        <f>IF($J818="","",IFERROR(C818/(B818*40),0))</f>
        <v/>
      </c>
      <c r="F818">
        <f>IF($J818="","",0)</f>
        <v/>
      </c>
      <c r="G818">
        <f>IF($J818="","",SUMIFS('Hours Log'!$E:$E,'Hours Log'!$A:$A,"&gt;="&amp;$J818,'Hours Log'!$A:$A,"&lt;"&amp;$J818+7))</f>
        <v/>
      </c>
      <c r="J818">
        <f>IF(COUNT('Hours Log'!$A$4:$A$5000)=0,"",IF(MIN('Hours Log'!$A$4:$A$5000)+7*(ROW()-10)&gt;MAX('Hours Log'!$A$4:$A$5000),"",MIN('Hours Log'!$A$4:$A$5000)+7*(ROW()-10)))</f>
        <v/>
      </c>
    </row>
    <row r="819">
      <c r="A819">
        <f>IF($J819="","",YEAR($J819-WEEKDAY($J819,2)+4)&amp;"-W"&amp;TEXT(WEEKNUM($J819,21),"00"))</f>
        <v/>
      </c>
      <c r="B819" s="41">
        <f>IF($J819="","",COUNTIFS(Roster!$D$4:$D$500,"Active",Roster!$C$4:$C$500,"&lt;="&amp;$J819))</f>
        <v/>
      </c>
      <c r="C819">
        <f>IF($J819="","",SUMIFS('Hours Log'!$C:$C,'Hours Log'!$A:$A,"&gt;="&amp;$J819,'Hours Log'!$A:$A,"&lt;"&amp;$J819+7)+SUMIFS('Hours Log'!$D:$D,'Hours Log'!$A:$A,"&gt;="&amp;$J819,'Hours Log'!$A:$A,"&lt;"&amp;$J819+7))</f>
        <v/>
      </c>
      <c r="D819">
        <f>IF($J819="","",SUMIFS('Hours Log'!$D:$D,'Hours Log'!$A:$A,"&gt;="&amp;$J819,'Hours Log'!$A:$A,"&lt;"&amp;$J819+7))</f>
        <v/>
      </c>
      <c r="E819">
        <f>IF($J819="","",IFERROR(C819/(B819*40),0))</f>
        <v/>
      </c>
      <c r="F819">
        <f>IF($J819="","",0)</f>
        <v/>
      </c>
      <c r="G819">
        <f>IF($J819="","",SUMIFS('Hours Log'!$E:$E,'Hours Log'!$A:$A,"&gt;="&amp;$J819,'Hours Log'!$A:$A,"&lt;"&amp;$J819+7))</f>
        <v/>
      </c>
      <c r="J819">
        <f>IF(COUNT('Hours Log'!$A$4:$A$5000)=0,"",IF(MIN('Hours Log'!$A$4:$A$5000)+7*(ROW()-10)&gt;MAX('Hours Log'!$A$4:$A$5000),"",MIN('Hours Log'!$A$4:$A$5000)+7*(ROW()-10)))</f>
        <v/>
      </c>
    </row>
    <row r="820">
      <c r="A820">
        <f>IF($J820="","",YEAR($J820-WEEKDAY($J820,2)+4)&amp;"-W"&amp;TEXT(WEEKNUM($J820,21),"00"))</f>
        <v/>
      </c>
      <c r="B820" s="41">
        <f>IF($J820="","",COUNTIFS(Roster!$D$4:$D$500,"Active",Roster!$C$4:$C$500,"&lt;="&amp;$J820))</f>
        <v/>
      </c>
      <c r="C820">
        <f>IF($J820="","",SUMIFS('Hours Log'!$C:$C,'Hours Log'!$A:$A,"&gt;="&amp;$J820,'Hours Log'!$A:$A,"&lt;"&amp;$J820+7)+SUMIFS('Hours Log'!$D:$D,'Hours Log'!$A:$A,"&gt;="&amp;$J820,'Hours Log'!$A:$A,"&lt;"&amp;$J820+7))</f>
        <v/>
      </c>
      <c r="D820">
        <f>IF($J820="","",SUMIFS('Hours Log'!$D:$D,'Hours Log'!$A:$A,"&gt;="&amp;$J820,'Hours Log'!$A:$A,"&lt;"&amp;$J820+7))</f>
        <v/>
      </c>
      <c r="E820">
        <f>IF($J820="","",IFERROR(C820/(B820*40),0))</f>
        <v/>
      </c>
      <c r="F820">
        <f>IF($J820="","",0)</f>
        <v/>
      </c>
      <c r="G820">
        <f>IF($J820="","",SUMIFS('Hours Log'!$E:$E,'Hours Log'!$A:$A,"&gt;="&amp;$J820,'Hours Log'!$A:$A,"&lt;"&amp;$J820+7))</f>
        <v/>
      </c>
      <c r="J820">
        <f>IF(COUNT('Hours Log'!$A$4:$A$5000)=0,"",IF(MIN('Hours Log'!$A$4:$A$5000)+7*(ROW()-10)&gt;MAX('Hours Log'!$A$4:$A$5000),"",MIN('Hours Log'!$A$4:$A$5000)+7*(ROW()-10)))</f>
        <v/>
      </c>
    </row>
    <row r="821">
      <c r="A821">
        <f>IF($J821="","",YEAR($J821-WEEKDAY($J821,2)+4)&amp;"-W"&amp;TEXT(WEEKNUM($J821,21),"00"))</f>
        <v/>
      </c>
      <c r="B821" s="41">
        <f>IF($J821="","",COUNTIFS(Roster!$D$4:$D$500,"Active",Roster!$C$4:$C$500,"&lt;="&amp;$J821))</f>
        <v/>
      </c>
      <c r="C821">
        <f>IF($J821="","",SUMIFS('Hours Log'!$C:$C,'Hours Log'!$A:$A,"&gt;="&amp;$J821,'Hours Log'!$A:$A,"&lt;"&amp;$J821+7)+SUMIFS('Hours Log'!$D:$D,'Hours Log'!$A:$A,"&gt;="&amp;$J821,'Hours Log'!$A:$A,"&lt;"&amp;$J821+7))</f>
        <v/>
      </c>
      <c r="D821">
        <f>IF($J821="","",SUMIFS('Hours Log'!$D:$D,'Hours Log'!$A:$A,"&gt;="&amp;$J821,'Hours Log'!$A:$A,"&lt;"&amp;$J821+7))</f>
        <v/>
      </c>
      <c r="E821">
        <f>IF($J821="","",IFERROR(C821/(B821*40),0))</f>
        <v/>
      </c>
      <c r="F821">
        <f>IF($J821="","",0)</f>
        <v/>
      </c>
      <c r="G821">
        <f>IF($J821="","",SUMIFS('Hours Log'!$E:$E,'Hours Log'!$A:$A,"&gt;="&amp;$J821,'Hours Log'!$A:$A,"&lt;"&amp;$J821+7))</f>
        <v/>
      </c>
      <c r="J821">
        <f>IF(COUNT('Hours Log'!$A$4:$A$5000)=0,"",IF(MIN('Hours Log'!$A$4:$A$5000)+7*(ROW()-10)&gt;MAX('Hours Log'!$A$4:$A$5000),"",MIN('Hours Log'!$A$4:$A$5000)+7*(ROW()-10)))</f>
        <v/>
      </c>
    </row>
    <row r="822">
      <c r="A822">
        <f>IF($J822="","",YEAR($J822-WEEKDAY($J822,2)+4)&amp;"-W"&amp;TEXT(WEEKNUM($J822,21),"00"))</f>
        <v/>
      </c>
      <c r="B822" s="41">
        <f>IF($J822="","",COUNTIFS(Roster!$D$4:$D$500,"Active",Roster!$C$4:$C$500,"&lt;="&amp;$J822))</f>
        <v/>
      </c>
      <c r="C822">
        <f>IF($J822="","",SUMIFS('Hours Log'!$C:$C,'Hours Log'!$A:$A,"&gt;="&amp;$J822,'Hours Log'!$A:$A,"&lt;"&amp;$J822+7)+SUMIFS('Hours Log'!$D:$D,'Hours Log'!$A:$A,"&gt;="&amp;$J822,'Hours Log'!$A:$A,"&lt;"&amp;$J822+7))</f>
        <v/>
      </c>
      <c r="D822">
        <f>IF($J822="","",SUMIFS('Hours Log'!$D:$D,'Hours Log'!$A:$A,"&gt;="&amp;$J822,'Hours Log'!$A:$A,"&lt;"&amp;$J822+7))</f>
        <v/>
      </c>
      <c r="E822">
        <f>IF($J822="","",IFERROR(C822/(B822*40),0))</f>
        <v/>
      </c>
      <c r="F822">
        <f>IF($J822="","",0)</f>
        <v/>
      </c>
      <c r="G822">
        <f>IF($J822="","",SUMIFS('Hours Log'!$E:$E,'Hours Log'!$A:$A,"&gt;="&amp;$J822,'Hours Log'!$A:$A,"&lt;"&amp;$J822+7))</f>
        <v/>
      </c>
      <c r="J822">
        <f>IF(COUNT('Hours Log'!$A$4:$A$5000)=0,"",IF(MIN('Hours Log'!$A$4:$A$5000)+7*(ROW()-10)&gt;MAX('Hours Log'!$A$4:$A$5000),"",MIN('Hours Log'!$A$4:$A$5000)+7*(ROW()-10)))</f>
        <v/>
      </c>
    </row>
    <row r="823">
      <c r="A823">
        <f>IF($J823="","",YEAR($J823-WEEKDAY($J823,2)+4)&amp;"-W"&amp;TEXT(WEEKNUM($J823,21),"00"))</f>
        <v/>
      </c>
      <c r="B823" s="41">
        <f>IF($J823="","",COUNTIFS(Roster!$D$4:$D$500,"Active",Roster!$C$4:$C$500,"&lt;="&amp;$J823))</f>
        <v/>
      </c>
      <c r="C823">
        <f>IF($J823="","",SUMIFS('Hours Log'!$C:$C,'Hours Log'!$A:$A,"&gt;="&amp;$J823,'Hours Log'!$A:$A,"&lt;"&amp;$J823+7)+SUMIFS('Hours Log'!$D:$D,'Hours Log'!$A:$A,"&gt;="&amp;$J823,'Hours Log'!$A:$A,"&lt;"&amp;$J823+7))</f>
        <v/>
      </c>
      <c r="D823">
        <f>IF($J823="","",SUMIFS('Hours Log'!$D:$D,'Hours Log'!$A:$A,"&gt;="&amp;$J823,'Hours Log'!$A:$A,"&lt;"&amp;$J823+7))</f>
        <v/>
      </c>
      <c r="E823">
        <f>IF($J823="","",IFERROR(C823/(B823*40),0))</f>
        <v/>
      </c>
      <c r="F823">
        <f>IF($J823="","",0)</f>
        <v/>
      </c>
      <c r="G823">
        <f>IF($J823="","",SUMIFS('Hours Log'!$E:$E,'Hours Log'!$A:$A,"&gt;="&amp;$J823,'Hours Log'!$A:$A,"&lt;"&amp;$J823+7))</f>
        <v/>
      </c>
      <c r="J823">
        <f>IF(COUNT('Hours Log'!$A$4:$A$5000)=0,"",IF(MIN('Hours Log'!$A$4:$A$5000)+7*(ROW()-10)&gt;MAX('Hours Log'!$A$4:$A$5000),"",MIN('Hours Log'!$A$4:$A$5000)+7*(ROW()-10)))</f>
        <v/>
      </c>
    </row>
    <row r="824">
      <c r="A824">
        <f>IF($J824="","",YEAR($J824-WEEKDAY($J824,2)+4)&amp;"-W"&amp;TEXT(WEEKNUM($J824,21),"00"))</f>
        <v/>
      </c>
      <c r="B824" s="41">
        <f>IF($J824="","",COUNTIFS(Roster!$D$4:$D$500,"Active",Roster!$C$4:$C$500,"&lt;="&amp;$J824))</f>
        <v/>
      </c>
      <c r="C824">
        <f>IF($J824="","",SUMIFS('Hours Log'!$C:$C,'Hours Log'!$A:$A,"&gt;="&amp;$J824,'Hours Log'!$A:$A,"&lt;"&amp;$J824+7)+SUMIFS('Hours Log'!$D:$D,'Hours Log'!$A:$A,"&gt;="&amp;$J824,'Hours Log'!$A:$A,"&lt;"&amp;$J824+7))</f>
        <v/>
      </c>
      <c r="D824">
        <f>IF($J824="","",SUMIFS('Hours Log'!$D:$D,'Hours Log'!$A:$A,"&gt;="&amp;$J824,'Hours Log'!$A:$A,"&lt;"&amp;$J824+7))</f>
        <v/>
      </c>
      <c r="E824">
        <f>IF($J824="","",IFERROR(C824/(B824*40),0))</f>
        <v/>
      </c>
      <c r="F824">
        <f>IF($J824="","",0)</f>
        <v/>
      </c>
      <c r="G824">
        <f>IF($J824="","",SUMIFS('Hours Log'!$E:$E,'Hours Log'!$A:$A,"&gt;="&amp;$J824,'Hours Log'!$A:$A,"&lt;"&amp;$J824+7))</f>
        <v/>
      </c>
      <c r="J824">
        <f>IF(COUNT('Hours Log'!$A$4:$A$5000)=0,"",IF(MIN('Hours Log'!$A$4:$A$5000)+7*(ROW()-10)&gt;MAX('Hours Log'!$A$4:$A$5000),"",MIN('Hours Log'!$A$4:$A$5000)+7*(ROW()-10)))</f>
        <v/>
      </c>
    </row>
    <row r="825">
      <c r="A825">
        <f>IF($J825="","",YEAR($J825-WEEKDAY($J825,2)+4)&amp;"-W"&amp;TEXT(WEEKNUM($J825,21),"00"))</f>
        <v/>
      </c>
      <c r="B825" s="41">
        <f>IF($J825="","",COUNTIFS(Roster!$D$4:$D$500,"Active",Roster!$C$4:$C$500,"&lt;="&amp;$J825))</f>
        <v/>
      </c>
      <c r="C825">
        <f>IF($J825="","",SUMIFS('Hours Log'!$C:$C,'Hours Log'!$A:$A,"&gt;="&amp;$J825,'Hours Log'!$A:$A,"&lt;"&amp;$J825+7)+SUMIFS('Hours Log'!$D:$D,'Hours Log'!$A:$A,"&gt;="&amp;$J825,'Hours Log'!$A:$A,"&lt;"&amp;$J825+7))</f>
        <v/>
      </c>
      <c r="D825">
        <f>IF($J825="","",SUMIFS('Hours Log'!$D:$D,'Hours Log'!$A:$A,"&gt;="&amp;$J825,'Hours Log'!$A:$A,"&lt;"&amp;$J825+7))</f>
        <v/>
      </c>
      <c r="E825">
        <f>IF($J825="","",IFERROR(C825/(B825*40),0))</f>
        <v/>
      </c>
      <c r="F825">
        <f>IF($J825="","",0)</f>
        <v/>
      </c>
      <c r="G825">
        <f>IF($J825="","",SUMIFS('Hours Log'!$E:$E,'Hours Log'!$A:$A,"&gt;="&amp;$J825,'Hours Log'!$A:$A,"&lt;"&amp;$J825+7))</f>
        <v/>
      </c>
      <c r="J825">
        <f>IF(COUNT('Hours Log'!$A$4:$A$5000)=0,"",IF(MIN('Hours Log'!$A$4:$A$5000)+7*(ROW()-10)&gt;MAX('Hours Log'!$A$4:$A$5000),"",MIN('Hours Log'!$A$4:$A$5000)+7*(ROW()-10)))</f>
        <v/>
      </c>
    </row>
    <row r="826">
      <c r="A826">
        <f>IF($J826="","",YEAR($J826-WEEKDAY($J826,2)+4)&amp;"-W"&amp;TEXT(WEEKNUM($J826,21),"00"))</f>
        <v/>
      </c>
      <c r="B826" s="41">
        <f>IF($J826="","",COUNTIFS(Roster!$D$4:$D$500,"Active",Roster!$C$4:$C$500,"&lt;="&amp;$J826))</f>
        <v/>
      </c>
      <c r="C826">
        <f>IF($J826="","",SUMIFS('Hours Log'!$C:$C,'Hours Log'!$A:$A,"&gt;="&amp;$J826,'Hours Log'!$A:$A,"&lt;"&amp;$J826+7)+SUMIFS('Hours Log'!$D:$D,'Hours Log'!$A:$A,"&gt;="&amp;$J826,'Hours Log'!$A:$A,"&lt;"&amp;$J826+7))</f>
        <v/>
      </c>
      <c r="D826">
        <f>IF($J826="","",SUMIFS('Hours Log'!$D:$D,'Hours Log'!$A:$A,"&gt;="&amp;$J826,'Hours Log'!$A:$A,"&lt;"&amp;$J826+7))</f>
        <v/>
      </c>
      <c r="E826">
        <f>IF($J826="","",IFERROR(C826/(B826*40),0))</f>
        <v/>
      </c>
      <c r="F826">
        <f>IF($J826="","",0)</f>
        <v/>
      </c>
      <c r="G826">
        <f>IF($J826="","",SUMIFS('Hours Log'!$E:$E,'Hours Log'!$A:$A,"&gt;="&amp;$J826,'Hours Log'!$A:$A,"&lt;"&amp;$J826+7))</f>
        <v/>
      </c>
      <c r="J826">
        <f>IF(COUNT('Hours Log'!$A$4:$A$5000)=0,"",IF(MIN('Hours Log'!$A$4:$A$5000)+7*(ROW()-10)&gt;MAX('Hours Log'!$A$4:$A$5000),"",MIN('Hours Log'!$A$4:$A$5000)+7*(ROW()-10)))</f>
        <v/>
      </c>
    </row>
    <row r="827">
      <c r="A827">
        <f>IF($J827="","",YEAR($J827-WEEKDAY($J827,2)+4)&amp;"-W"&amp;TEXT(WEEKNUM($J827,21),"00"))</f>
        <v/>
      </c>
      <c r="B827" s="41">
        <f>IF($J827="","",COUNTIFS(Roster!$D$4:$D$500,"Active",Roster!$C$4:$C$500,"&lt;="&amp;$J827))</f>
        <v/>
      </c>
      <c r="C827">
        <f>IF($J827="","",SUMIFS('Hours Log'!$C:$C,'Hours Log'!$A:$A,"&gt;="&amp;$J827,'Hours Log'!$A:$A,"&lt;"&amp;$J827+7)+SUMIFS('Hours Log'!$D:$D,'Hours Log'!$A:$A,"&gt;="&amp;$J827,'Hours Log'!$A:$A,"&lt;"&amp;$J827+7))</f>
        <v/>
      </c>
      <c r="D827">
        <f>IF($J827="","",SUMIFS('Hours Log'!$D:$D,'Hours Log'!$A:$A,"&gt;="&amp;$J827,'Hours Log'!$A:$A,"&lt;"&amp;$J827+7))</f>
        <v/>
      </c>
      <c r="E827">
        <f>IF($J827="","",IFERROR(C827/(B827*40),0))</f>
        <v/>
      </c>
      <c r="F827">
        <f>IF($J827="","",0)</f>
        <v/>
      </c>
      <c r="G827">
        <f>IF($J827="","",SUMIFS('Hours Log'!$E:$E,'Hours Log'!$A:$A,"&gt;="&amp;$J827,'Hours Log'!$A:$A,"&lt;"&amp;$J827+7))</f>
        <v/>
      </c>
      <c r="J827">
        <f>IF(COUNT('Hours Log'!$A$4:$A$5000)=0,"",IF(MIN('Hours Log'!$A$4:$A$5000)+7*(ROW()-10)&gt;MAX('Hours Log'!$A$4:$A$5000),"",MIN('Hours Log'!$A$4:$A$5000)+7*(ROW()-10)))</f>
        <v/>
      </c>
    </row>
    <row r="828">
      <c r="A828">
        <f>IF($J828="","",YEAR($J828-WEEKDAY($J828,2)+4)&amp;"-W"&amp;TEXT(WEEKNUM($J828,21),"00"))</f>
        <v/>
      </c>
      <c r="B828" s="41">
        <f>IF($J828="","",COUNTIFS(Roster!$D$4:$D$500,"Active",Roster!$C$4:$C$500,"&lt;="&amp;$J828))</f>
        <v/>
      </c>
      <c r="C828">
        <f>IF($J828="","",SUMIFS('Hours Log'!$C:$C,'Hours Log'!$A:$A,"&gt;="&amp;$J828,'Hours Log'!$A:$A,"&lt;"&amp;$J828+7)+SUMIFS('Hours Log'!$D:$D,'Hours Log'!$A:$A,"&gt;="&amp;$J828,'Hours Log'!$A:$A,"&lt;"&amp;$J828+7))</f>
        <v/>
      </c>
      <c r="D828">
        <f>IF($J828="","",SUMIFS('Hours Log'!$D:$D,'Hours Log'!$A:$A,"&gt;="&amp;$J828,'Hours Log'!$A:$A,"&lt;"&amp;$J828+7))</f>
        <v/>
      </c>
      <c r="E828">
        <f>IF($J828="","",IFERROR(C828/(B828*40),0))</f>
        <v/>
      </c>
      <c r="F828">
        <f>IF($J828="","",0)</f>
        <v/>
      </c>
      <c r="G828">
        <f>IF($J828="","",SUMIFS('Hours Log'!$E:$E,'Hours Log'!$A:$A,"&gt;="&amp;$J828,'Hours Log'!$A:$A,"&lt;"&amp;$J828+7))</f>
        <v/>
      </c>
      <c r="J828">
        <f>IF(COUNT('Hours Log'!$A$4:$A$5000)=0,"",IF(MIN('Hours Log'!$A$4:$A$5000)+7*(ROW()-10)&gt;MAX('Hours Log'!$A$4:$A$5000),"",MIN('Hours Log'!$A$4:$A$5000)+7*(ROW()-10)))</f>
        <v/>
      </c>
    </row>
    <row r="829">
      <c r="A829">
        <f>IF($J829="","",YEAR($J829-WEEKDAY($J829,2)+4)&amp;"-W"&amp;TEXT(WEEKNUM($J829,21),"00"))</f>
        <v/>
      </c>
      <c r="B829" s="41">
        <f>IF($J829="","",COUNTIFS(Roster!$D$4:$D$500,"Active",Roster!$C$4:$C$500,"&lt;="&amp;$J829))</f>
        <v/>
      </c>
      <c r="C829">
        <f>IF($J829="","",SUMIFS('Hours Log'!$C:$C,'Hours Log'!$A:$A,"&gt;="&amp;$J829,'Hours Log'!$A:$A,"&lt;"&amp;$J829+7)+SUMIFS('Hours Log'!$D:$D,'Hours Log'!$A:$A,"&gt;="&amp;$J829,'Hours Log'!$A:$A,"&lt;"&amp;$J829+7))</f>
        <v/>
      </c>
      <c r="D829">
        <f>IF($J829="","",SUMIFS('Hours Log'!$D:$D,'Hours Log'!$A:$A,"&gt;="&amp;$J829,'Hours Log'!$A:$A,"&lt;"&amp;$J829+7))</f>
        <v/>
      </c>
      <c r="E829">
        <f>IF($J829="","",IFERROR(C829/(B829*40),0))</f>
        <v/>
      </c>
      <c r="F829">
        <f>IF($J829="","",0)</f>
        <v/>
      </c>
      <c r="G829">
        <f>IF($J829="","",SUMIFS('Hours Log'!$E:$E,'Hours Log'!$A:$A,"&gt;="&amp;$J829,'Hours Log'!$A:$A,"&lt;"&amp;$J829+7))</f>
        <v/>
      </c>
      <c r="J829">
        <f>IF(COUNT('Hours Log'!$A$4:$A$5000)=0,"",IF(MIN('Hours Log'!$A$4:$A$5000)+7*(ROW()-10)&gt;MAX('Hours Log'!$A$4:$A$5000),"",MIN('Hours Log'!$A$4:$A$5000)+7*(ROW()-10)))</f>
        <v/>
      </c>
    </row>
    <row r="830">
      <c r="A830">
        <f>IF($J830="","",YEAR($J830-WEEKDAY($J830,2)+4)&amp;"-W"&amp;TEXT(WEEKNUM($J830,21),"00"))</f>
        <v/>
      </c>
      <c r="B830" s="41">
        <f>IF($J830="","",COUNTIFS(Roster!$D$4:$D$500,"Active",Roster!$C$4:$C$500,"&lt;="&amp;$J830))</f>
        <v/>
      </c>
      <c r="C830">
        <f>IF($J830="","",SUMIFS('Hours Log'!$C:$C,'Hours Log'!$A:$A,"&gt;="&amp;$J830,'Hours Log'!$A:$A,"&lt;"&amp;$J830+7)+SUMIFS('Hours Log'!$D:$D,'Hours Log'!$A:$A,"&gt;="&amp;$J830,'Hours Log'!$A:$A,"&lt;"&amp;$J830+7))</f>
        <v/>
      </c>
      <c r="D830">
        <f>IF($J830="","",SUMIFS('Hours Log'!$D:$D,'Hours Log'!$A:$A,"&gt;="&amp;$J830,'Hours Log'!$A:$A,"&lt;"&amp;$J830+7))</f>
        <v/>
      </c>
      <c r="E830">
        <f>IF($J830="","",IFERROR(C830/(B830*40),0))</f>
        <v/>
      </c>
      <c r="F830">
        <f>IF($J830="","",0)</f>
        <v/>
      </c>
      <c r="G830">
        <f>IF($J830="","",SUMIFS('Hours Log'!$E:$E,'Hours Log'!$A:$A,"&gt;="&amp;$J830,'Hours Log'!$A:$A,"&lt;"&amp;$J830+7))</f>
        <v/>
      </c>
      <c r="J830">
        <f>IF(COUNT('Hours Log'!$A$4:$A$5000)=0,"",IF(MIN('Hours Log'!$A$4:$A$5000)+7*(ROW()-10)&gt;MAX('Hours Log'!$A$4:$A$5000),"",MIN('Hours Log'!$A$4:$A$5000)+7*(ROW()-10)))</f>
        <v/>
      </c>
    </row>
    <row r="831">
      <c r="A831">
        <f>IF($J831="","",YEAR($J831-WEEKDAY($J831,2)+4)&amp;"-W"&amp;TEXT(WEEKNUM($J831,21),"00"))</f>
        <v/>
      </c>
      <c r="B831" s="41">
        <f>IF($J831="","",COUNTIFS(Roster!$D$4:$D$500,"Active",Roster!$C$4:$C$500,"&lt;="&amp;$J831))</f>
        <v/>
      </c>
      <c r="C831">
        <f>IF($J831="","",SUMIFS('Hours Log'!$C:$C,'Hours Log'!$A:$A,"&gt;="&amp;$J831,'Hours Log'!$A:$A,"&lt;"&amp;$J831+7)+SUMIFS('Hours Log'!$D:$D,'Hours Log'!$A:$A,"&gt;="&amp;$J831,'Hours Log'!$A:$A,"&lt;"&amp;$J831+7))</f>
        <v/>
      </c>
      <c r="D831">
        <f>IF($J831="","",SUMIFS('Hours Log'!$D:$D,'Hours Log'!$A:$A,"&gt;="&amp;$J831,'Hours Log'!$A:$A,"&lt;"&amp;$J831+7))</f>
        <v/>
      </c>
      <c r="E831">
        <f>IF($J831="","",IFERROR(C831/(B831*40),0))</f>
        <v/>
      </c>
      <c r="F831">
        <f>IF($J831="","",0)</f>
        <v/>
      </c>
      <c r="G831">
        <f>IF($J831="","",SUMIFS('Hours Log'!$E:$E,'Hours Log'!$A:$A,"&gt;="&amp;$J831,'Hours Log'!$A:$A,"&lt;"&amp;$J831+7))</f>
        <v/>
      </c>
      <c r="J831">
        <f>IF(COUNT('Hours Log'!$A$4:$A$5000)=0,"",IF(MIN('Hours Log'!$A$4:$A$5000)+7*(ROW()-10)&gt;MAX('Hours Log'!$A$4:$A$5000),"",MIN('Hours Log'!$A$4:$A$5000)+7*(ROW()-10)))</f>
        <v/>
      </c>
    </row>
    <row r="832">
      <c r="A832">
        <f>IF($J832="","",YEAR($J832-WEEKDAY($J832,2)+4)&amp;"-W"&amp;TEXT(WEEKNUM($J832,21),"00"))</f>
        <v/>
      </c>
      <c r="B832" s="41">
        <f>IF($J832="","",COUNTIFS(Roster!$D$4:$D$500,"Active",Roster!$C$4:$C$500,"&lt;="&amp;$J832))</f>
        <v/>
      </c>
      <c r="C832">
        <f>IF($J832="","",SUMIFS('Hours Log'!$C:$C,'Hours Log'!$A:$A,"&gt;="&amp;$J832,'Hours Log'!$A:$A,"&lt;"&amp;$J832+7)+SUMIFS('Hours Log'!$D:$D,'Hours Log'!$A:$A,"&gt;="&amp;$J832,'Hours Log'!$A:$A,"&lt;"&amp;$J832+7))</f>
        <v/>
      </c>
      <c r="D832">
        <f>IF($J832="","",SUMIFS('Hours Log'!$D:$D,'Hours Log'!$A:$A,"&gt;="&amp;$J832,'Hours Log'!$A:$A,"&lt;"&amp;$J832+7))</f>
        <v/>
      </c>
      <c r="E832">
        <f>IF($J832="","",IFERROR(C832/(B832*40),0))</f>
        <v/>
      </c>
      <c r="F832">
        <f>IF($J832="","",0)</f>
        <v/>
      </c>
      <c r="G832">
        <f>IF($J832="","",SUMIFS('Hours Log'!$E:$E,'Hours Log'!$A:$A,"&gt;="&amp;$J832,'Hours Log'!$A:$A,"&lt;"&amp;$J832+7))</f>
        <v/>
      </c>
      <c r="J832">
        <f>IF(COUNT('Hours Log'!$A$4:$A$5000)=0,"",IF(MIN('Hours Log'!$A$4:$A$5000)+7*(ROW()-10)&gt;MAX('Hours Log'!$A$4:$A$5000),"",MIN('Hours Log'!$A$4:$A$5000)+7*(ROW()-10)))</f>
        <v/>
      </c>
    </row>
    <row r="833">
      <c r="A833">
        <f>IF($J833="","",YEAR($J833-WEEKDAY($J833,2)+4)&amp;"-W"&amp;TEXT(WEEKNUM($J833,21),"00"))</f>
        <v/>
      </c>
      <c r="B833" s="41">
        <f>IF($J833="","",COUNTIFS(Roster!$D$4:$D$500,"Active",Roster!$C$4:$C$500,"&lt;="&amp;$J833))</f>
        <v/>
      </c>
      <c r="C833">
        <f>IF($J833="","",SUMIFS('Hours Log'!$C:$C,'Hours Log'!$A:$A,"&gt;="&amp;$J833,'Hours Log'!$A:$A,"&lt;"&amp;$J833+7)+SUMIFS('Hours Log'!$D:$D,'Hours Log'!$A:$A,"&gt;="&amp;$J833,'Hours Log'!$A:$A,"&lt;"&amp;$J833+7))</f>
        <v/>
      </c>
      <c r="D833">
        <f>IF($J833="","",SUMIFS('Hours Log'!$D:$D,'Hours Log'!$A:$A,"&gt;="&amp;$J833,'Hours Log'!$A:$A,"&lt;"&amp;$J833+7))</f>
        <v/>
      </c>
      <c r="E833">
        <f>IF($J833="","",IFERROR(C833/(B833*40),0))</f>
        <v/>
      </c>
      <c r="F833">
        <f>IF($J833="","",0)</f>
        <v/>
      </c>
      <c r="G833">
        <f>IF($J833="","",SUMIFS('Hours Log'!$E:$E,'Hours Log'!$A:$A,"&gt;="&amp;$J833,'Hours Log'!$A:$A,"&lt;"&amp;$J833+7))</f>
        <v/>
      </c>
      <c r="J833">
        <f>IF(COUNT('Hours Log'!$A$4:$A$5000)=0,"",IF(MIN('Hours Log'!$A$4:$A$5000)+7*(ROW()-10)&gt;MAX('Hours Log'!$A$4:$A$5000),"",MIN('Hours Log'!$A$4:$A$5000)+7*(ROW()-10)))</f>
        <v/>
      </c>
    </row>
    <row r="834">
      <c r="A834">
        <f>IF($J834="","",YEAR($J834-WEEKDAY($J834,2)+4)&amp;"-W"&amp;TEXT(WEEKNUM($J834,21),"00"))</f>
        <v/>
      </c>
      <c r="B834" s="41">
        <f>IF($J834="","",COUNTIFS(Roster!$D$4:$D$500,"Active",Roster!$C$4:$C$500,"&lt;="&amp;$J834))</f>
        <v/>
      </c>
      <c r="C834">
        <f>IF($J834="","",SUMIFS('Hours Log'!$C:$C,'Hours Log'!$A:$A,"&gt;="&amp;$J834,'Hours Log'!$A:$A,"&lt;"&amp;$J834+7)+SUMIFS('Hours Log'!$D:$D,'Hours Log'!$A:$A,"&gt;="&amp;$J834,'Hours Log'!$A:$A,"&lt;"&amp;$J834+7))</f>
        <v/>
      </c>
      <c r="D834">
        <f>IF($J834="","",SUMIFS('Hours Log'!$D:$D,'Hours Log'!$A:$A,"&gt;="&amp;$J834,'Hours Log'!$A:$A,"&lt;"&amp;$J834+7))</f>
        <v/>
      </c>
      <c r="E834">
        <f>IF($J834="","",IFERROR(C834/(B834*40),0))</f>
        <v/>
      </c>
      <c r="F834">
        <f>IF($J834="","",0)</f>
        <v/>
      </c>
      <c r="G834">
        <f>IF($J834="","",SUMIFS('Hours Log'!$E:$E,'Hours Log'!$A:$A,"&gt;="&amp;$J834,'Hours Log'!$A:$A,"&lt;"&amp;$J834+7))</f>
        <v/>
      </c>
      <c r="J834">
        <f>IF(COUNT('Hours Log'!$A$4:$A$5000)=0,"",IF(MIN('Hours Log'!$A$4:$A$5000)+7*(ROW()-10)&gt;MAX('Hours Log'!$A$4:$A$5000),"",MIN('Hours Log'!$A$4:$A$5000)+7*(ROW()-10)))</f>
        <v/>
      </c>
    </row>
    <row r="835">
      <c r="A835">
        <f>IF($J835="","",YEAR($J835-WEEKDAY($J835,2)+4)&amp;"-W"&amp;TEXT(WEEKNUM($J835,21),"00"))</f>
        <v/>
      </c>
      <c r="B835" s="41">
        <f>IF($J835="","",COUNTIFS(Roster!$D$4:$D$500,"Active",Roster!$C$4:$C$500,"&lt;="&amp;$J835))</f>
        <v/>
      </c>
      <c r="C835">
        <f>IF($J835="","",SUMIFS('Hours Log'!$C:$C,'Hours Log'!$A:$A,"&gt;="&amp;$J835,'Hours Log'!$A:$A,"&lt;"&amp;$J835+7)+SUMIFS('Hours Log'!$D:$D,'Hours Log'!$A:$A,"&gt;="&amp;$J835,'Hours Log'!$A:$A,"&lt;"&amp;$J835+7))</f>
        <v/>
      </c>
      <c r="D835">
        <f>IF($J835="","",SUMIFS('Hours Log'!$D:$D,'Hours Log'!$A:$A,"&gt;="&amp;$J835,'Hours Log'!$A:$A,"&lt;"&amp;$J835+7))</f>
        <v/>
      </c>
      <c r="E835">
        <f>IF($J835="","",IFERROR(C835/(B835*40),0))</f>
        <v/>
      </c>
      <c r="F835">
        <f>IF($J835="","",0)</f>
        <v/>
      </c>
      <c r="G835">
        <f>IF($J835="","",SUMIFS('Hours Log'!$E:$E,'Hours Log'!$A:$A,"&gt;="&amp;$J835,'Hours Log'!$A:$A,"&lt;"&amp;$J835+7))</f>
        <v/>
      </c>
      <c r="J835">
        <f>IF(COUNT('Hours Log'!$A$4:$A$5000)=0,"",IF(MIN('Hours Log'!$A$4:$A$5000)+7*(ROW()-10)&gt;MAX('Hours Log'!$A$4:$A$5000),"",MIN('Hours Log'!$A$4:$A$5000)+7*(ROW()-10)))</f>
        <v/>
      </c>
    </row>
    <row r="836">
      <c r="A836">
        <f>IF($J836="","",YEAR($J836-WEEKDAY($J836,2)+4)&amp;"-W"&amp;TEXT(WEEKNUM($J836,21),"00"))</f>
        <v/>
      </c>
      <c r="B836" s="41">
        <f>IF($J836="","",COUNTIFS(Roster!$D$4:$D$500,"Active",Roster!$C$4:$C$500,"&lt;="&amp;$J836))</f>
        <v/>
      </c>
      <c r="C836">
        <f>IF($J836="","",SUMIFS('Hours Log'!$C:$C,'Hours Log'!$A:$A,"&gt;="&amp;$J836,'Hours Log'!$A:$A,"&lt;"&amp;$J836+7)+SUMIFS('Hours Log'!$D:$D,'Hours Log'!$A:$A,"&gt;="&amp;$J836,'Hours Log'!$A:$A,"&lt;"&amp;$J836+7))</f>
        <v/>
      </c>
      <c r="D836">
        <f>IF($J836="","",SUMIFS('Hours Log'!$D:$D,'Hours Log'!$A:$A,"&gt;="&amp;$J836,'Hours Log'!$A:$A,"&lt;"&amp;$J836+7))</f>
        <v/>
      </c>
      <c r="E836">
        <f>IF($J836="","",IFERROR(C836/(B836*40),0))</f>
        <v/>
      </c>
      <c r="F836">
        <f>IF($J836="","",0)</f>
        <v/>
      </c>
      <c r="G836">
        <f>IF($J836="","",SUMIFS('Hours Log'!$E:$E,'Hours Log'!$A:$A,"&gt;="&amp;$J836,'Hours Log'!$A:$A,"&lt;"&amp;$J836+7))</f>
        <v/>
      </c>
      <c r="J836">
        <f>IF(COUNT('Hours Log'!$A$4:$A$5000)=0,"",IF(MIN('Hours Log'!$A$4:$A$5000)+7*(ROW()-10)&gt;MAX('Hours Log'!$A$4:$A$5000),"",MIN('Hours Log'!$A$4:$A$5000)+7*(ROW()-10)))</f>
        <v/>
      </c>
    </row>
    <row r="837">
      <c r="A837">
        <f>IF($J837="","",YEAR($J837-WEEKDAY($J837,2)+4)&amp;"-W"&amp;TEXT(WEEKNUM($J837,21),"00"))</f>
        <v/>
      </c>
      <c r="B837" s="41">
        <f>IF($J837="","",COUNTIFS(Roster!$D$4:$D$500,"Active",Roster!$C$4:$C$500,"&lt;="&amp;$J837))</f>
        <v/>
      </c>
      <c r="C837">
        <f>IF($J837="","",SUMIFS('Hours Log'!$C:$C,'Hours Log'!$A:$A,"&gt;="&amp;$J837,'Hours Log'!$A:$A,"&lt;"&amp;$J837+7)+SUMIFS('Hours Log'!$D:$D,'Hours Log'!$A:$A,"&gt;="&amp;$J837,'Hours Log'!$A:$A,"&lt;"&amp;$J837+7))</f>
        <v/>
      </c>
      <c r="D837">
        <f>IF($J837="","",SUMIFS('Hours Log'!$D:$D,'Hours Log'!$A:$A,"&gt;="&amp;$J837,'Hours Log'!$A:$A,"&lt;"&amp;$J837+7))</f>
        <v/>
      </c>
      <c r="E837">
        <f>IF($J837="","",IFERROR(C837/(B837*40),0))</f>
        <v/>
      </c>
      <c r="F837">
        <f>IF($J837="","",0)</f>
        <v/>
      </c>
      <c r="G837">
        <f>IF($J837="","",SUMIFS('Hours Log'!$E:$E,'Hours Log'!$A:$A,"&gt;="&amp;$J837,'Hours Log'!$A:$A,"&lt;"&amp;$J837+7))</f>
        <v/>
      </c>
      <c r="J837">
        <f>IF(COUNT('Hours Log'!$A$4:$A$5000)=0,"",IF(MIN('Hours Log'!$A$4:$A$5000)+7*(ROW()-10)&gt;MAX('Hours Log'!$A$4:$A$5000),"",MIN('Hours Log'!$A$4:$A$5000)+7*(ROW()-10)))</f>
        <v/>
      </c>
    </row>
    <row r="838">
      <c r="A838">
        <f>IF($J838="","",YEAR($J838-WEEKDAY($J838,2)+4)&amp;"-W"&amp;TEXT(WEEKNUM($J838,21),"00"))</f>
        <v/>
      </c>
      <c r="B838" s="41">
        <f>IF($J838="","",COUNTIFS(Roster!$D$4:$D$500,"Active",Roster!$C$4:$C$500,"&lt;="&amp;$J838))</f>
        <v/>
      </c>
      <c r="C838">
        <f>IF($J838="","",SUMIFS('Hours Log'!$C:$C,'Hours Log'!$A:$A,"&gt;="&amp;$J838,'Hours Log'!$A:$A,"&lt;"&amp;$J838+7)+SUMIFS('Hours Log'!$D:$D,'Hours Log'!$A:$A,"&gt;="&amp;$J838,'Hours Log'!$A:$A,"&lt;"&amp;$J838+7))</f>
        <v/>
      </c>
      <c r="D838">
        <f>IF($J838="","",SUMIFS('Hours Log'!$D:$D,'Hours Log'!$A:$A,"&gt;="&amp;$J838,'Hours Log'!$A:$A,"&lt;"&amp;$J838+7))</f>
        <v/>
      </c>
      <c r="E838">
        <f>IF($J838="","",IFERROR(C838/(B838*40),0))</f>
        <v/>
      </c>
      <c r="F838">
        <f>IF($J838="","",0)</f>
        <v/>
      </c>
      <c r="G838">
        <f>IF($J838="","",SUMIFS('Hours Log'!$E:$E,'Hours Log'!$A:$A,"&gt;="&amp;$J838,'Hours Log'!$A:$A,"&lt;"&amp;$J838+7))</f>
        <v/>
      </c>
      <c r="J838">
        <f>IF(COUNT('Hours Log'!$A$4:$A$5000)=0,"",IF(MIN('Hours Log'!$A$4:$A$5000)+7*(ROW()-10)&gt;MAX('Hours Log'!$A$4:$A$5000),"",MIN('Hours Log'!$A$4:$A$5000)+7*(ROW()-10)))</f>
        <v/>
      </c>
    </row>
    <row r="839">
      <c r="A839">
        <f>IF($J839="","",YEAR($J839-WEEKDAY($J839,2)+4)&amp;"-W"&amp;TEXT(WEEKNUM($J839,21),"00"))</f>
        <v/>
      </c>
      <c r="B839" s="41">
        <f>IF($J839="","",COUNTIFS(Roster!$D$4:$D$500,"Active",Roster!$C$4:$C$500,"&lt;="&amp;$J839))</f>
        <v/>
      </c>
      <c r="C839">
        <f>IF($J839="","",SUMIFS('Hours Log'!$C:$C,'Hours Log'!$A:$A,"&gt;="&amp;$J839,'Hours Log'!$A:$A,"&lt;"&amp;$J839+7)+SUMIFS('Hours Log'!$D:$D,'Hours Log'!$A:$A,"&gt;="&amp;$J839,'Hours Log'!$A:$A,"&lt;"&amp;$J839+7))</f>
        <v/>
      </c>
      <c r="D839">
        <f>IF($J839="","",SUMIFS('Hours Log'!$D:$D,'Hours Log'!$A:$A,"&gt;="&amp;$J839,'Hours Log'!$A:$A,"&lt;"&amp;$J839+7))</f>
        <v/>
      </c>
      <c r="E839">
        <f>IF($J839="","",IFERROR(C839/(B839*40),0))</f>
        <v/>
      </c>
      <c r="F839">
        <f>IF($J839="","",0)</f>
        <v/>
      </c>
      <c r="G839">
        <f>IF($J839="","",SUMIFS('Hours Log'!$E:$E,'Hours Log'!$A:$A,"&gt;="&amp;$J839,'Hours Log'!$A:$A,"&lt;"&amp;$J839+7))</f>
        <v/>
      </c>
      <c r="J839">
        <f>IF(COUNT('Hours Log'!$A$4:$A$5000)=0,"",IF(MIN('Hours Log'!$A$4:$A$5000)+7*(ROW()-10)&gt;MAX('Hours Log'!$A$4:$A$5000),"",MIN('Hours Log'!$A$4:$A$5000)+7*(ROW()-10)))</f>
        <v/>
      </c>
    </row>
    <row r="840">
      <c r="A840">
        <f>IF($J840="","",YEAR($J840-WEEKDAY($J840,2)+4)&amp;"-W"&amp;TEXT(WEEKNUM($J840,21),"00"))</f>
        <v/>
      </c>
      <c r="B840" s="41">
        <f>IF($J840="","",COUNTIFS(Roster!$D$4:$D$500,"Active",Roster!$C$4:$C$500,"&lt;="&amp;$J840))</f>
        <v/>
      </c>
      <c r="C840">
        <f>IF($J840="","",SUMIFS('Hours Log'!$C:$C,'Hours Log'!$A:$A,"&gt;="&amp;$J840,'Hours Log'!$A:$A,"&lt;"&amp;$J840+7)+SUMIFS('Hours Log'!$D:$D,'Hours Log'!$A:$A,"&gt;="&amp;$J840,'Hours Log'!$A:$A,"&lt;"&amp;$J840+7))</f>
        <v/>
      </c>
      <c r="D840">
        <f>IF($J840="","",SUMIFS('Hours Log'!$D:$D,'Hours Log'!$A:$A,"&gt;="&amp;$J840,'Hours Log'!$A:$A,"&lt;"&amp;$J840+7))</f>
        <v/>
      </c>
      <c r="E840">
        <f>IF($J840="","",IFERROR(C840/(B840*40),0))</f>
        <v/>
      </c>
      <c r="F840">
        <f>IF($J840="","",0)</f>
        <v/>
      </c>
      <c r="G840">
        <f>IF($J840="","",SUMIFS('Hours Log'!$E:$E,'Hours Log'!$A:$A,"&gt;="&amp;$J840,'Hours Log'!$A:$A,"&lt;"&amp;$J840+7))</f>
        <v/>
      </c>
      <c r="J840">
        <f>IF(COUNT('Hours Log'!$A$4:$A$5000)=0,"",IF(MIN('Hours Log'!$A$4:$A$5000)+7*(ROW()-10)&gt;MAX('Hours Log'!$A$4:$A$5000),"",MIN('Hours Log'!$A$4:$A$5000)+7*(ROW()-10)))</f>
        <v/>
      </c>
    </row>
    <row r="841">
      <c r="A841">
        <f>IF($J841="","",YEAR($J841-WEEKDAY($J841,2)+4)&amp;"-W"&amp;TEXT(WEEKNUM($J841,21),"00"))</f>
        <v/>
      </c>
      <c r="B841" s="41">
        <f>IF($J841="","",COUNTIFS(Roster!$D$4:$D$500,"Active",Roster!$C$4:$C$500,"&lt;="&amp;$J841))</f>
        <v/>
      </c>
      <c r="C841">
        <f>IF($J841="","",SUMIFS('Hours Log'!$C:$C,'Hours Log'!$A:$A,"&gt;="&amp;$J841,'Hours Log'!$A:$A,"&lt;"&amp;$J841+7)+SUMIFS('Hours Log'!$D:$D,'Hours Log'!$A:$A,"&gt;="&amp;$J841,'Hours Log'!$A:$A,"&lt;"&amp;$J841+7))</f>
        <v/>
      </c>
      <c r="D841">
        <f>IF($J841="","",SUMIFS('Hours Log'!$D:$D,'Hours Log'!$A:$A,"&gt;="&amp;$J841,'Hours Log'!$A:$A,"&lt;"&amp;$J841+7))</f>
        <v/>
      </c>
      <c r="E841">
        <f>IF($J841="","",IFERROR(C841/(B841*40),0))</f>
        <v/>
      </c>
      <c r="F841">
        <f>IF($J841="","",0)</f>
        <v/>
      </c>
      <c r="G841">
        <f>IF($J841="","",SUMIFS('Hours Log'!$E:$E,'Hours Log'!$A:$A,"&gt;="&amp;$J841,'Hours Log'!$A:$A,"&lt;"&amp;$J841+7))</f>
        <v/>
      </c>
      <c r="J841">
        <f>IF(COUNT('Hours Log'!$A$4:$A$5000)=0,"",IF(MIN('Hours Log'!$A$4:$A$5000)+7*(ROW()-10)&gt;MAX('Hours Log'!$A$4:$A$5000),"",MIN('Hours Log'!$A$4:$A$5000)+7*(ROW()-10)))</f>
        <v/>
      </c>
    </row>
    <row r="842">
      <c r="A842">
        <f>IF($J842="","",YEAR($J842-WEEKDAY($J842,2)+4)&amp;"-W"&amp;TEXT(WEEKNUM($J842,21),"00"))</f>
        <v/>
      </c>
      <c r="B842" s="41">
        <f>IF($J842="","",COUNTIFS(Roster!$D$4:$D$500,"Active",Roster!$C$4:$C$500,"&lt;="&amp;$J842))</f>
        <v/>
      </c>
      <c r="C842">
        <f>IF($J842="","",SUMIFS('Hours Log'!$C:$C,'Hours Log'!$A:$A,"&gt;="&amp;$J842,'Hours Log'!$A:$A,"&lt;"&amp;$J842+7)+SUMIFS('Hours Log'!$D:$D,'Hours Log'!$A:$A,"&gt;="&amp;$J842,'Hours Log'!$A:$A,"&lt;"&amp;$J842+7))</f>
        <v/>
      </c>
      <c r="D842">
        <f>IF($J842="","",SUMIFS('Hours Log'!$D:$D,'Hours Log'!$A:$A,"&gt;="&amp;$J842,'Hours Log'!$A:$A,"&lt;"&amp;$J842+7))</f>
        <v/>
      </c>
      <c r="E842">
        <f>IF($J842="","",IFERROR(C842/(B842*40),0))</f>
        <v/>
      </c>
      <c r="F842">
        <f>IF($J842="","",0)</f>
        <v/>
      </c>
      <c r="G842">
        <f>IF($J842="","",SUMIFS('Hours Log'!$E:$E,'Hours Log'!$A:$A,"&gt;="&amp;$J842,'Hours Log'!$A:$A,"&lt;"&amp;$J842+7))</f>
        <v/>
      </c>
      <c r="J842">
        <f>IF(COUNT('Hours Log'!$A$4:$A$5000)=0,"",IF(MIN('Hours Log'!$A$4:$A$5000)+7*(ROW()-10)&gt;MAX('Hours Log'!$A$4:$A$5000),"",MIN('Hours Log'!$A$4:$A$5000)+7*(ROW()-10)))</f>
        <v/>
      </c>
    </row>
    <row r="843">
      <c r="A843">
        <f>IF($J843="","",YEAR($J843-WEEKDAY($J843,2)+4)&amp;"-W"&amp;TEXT(WEEKNUM($J843,21),"00"))</f>
        <v/>
      </c>
      <c r="B843" s="41">
        <f>IF($J843="","",COUNTIFS(Roster!$D$4:$D$500,"Active",Roster!$C$4:$C$500,"&lt;="&amp;$J843))</f>
        <v/>
      </c>
      <c r="C843">
        <f>IF($J843="","",SUMIFS('Hours Log'!$C:$C,'Hours Log'!$A:$A,"&gt;="&amp;$J843,'Hours Log'!$A:$A,"&lt;"&amp;$J843+7)+SUMIFS('Hours Log'!$D:$D,'Hours Log'!$A:$A,"&gt;="&amp;$J843,'Hours Log'!$A:$A,"&lt;"&amp;$J843+7))</f>
        <v/>
      </c>
      <c r="D843">
        <f>IF($J843="","",SUMIFS('Hours Log'!$D:$D,'Hours Log'!$A:$A,"&gt;="&amp;$J843,'Hours Log'!$A:$A,"&lt;"&amp;$J843+7))</f>
        <v/>
      </c>
      <c r="E843">
        <f>IF($J843="","",IFERROR(C843/(B843*40),0))</f>
        <v/>
      </c>
      <c r="F843">
        <f>IF($J843="","",0)</f>
        <v/>
      </c>
      <c r="G843">
        <f>IF($J843="","",SUMIFS('Hours Log'!$E:$E,'Hours Log'!$A:$A,"&gt;="&amp;$J843,'Hours Log'!$A:$A,"&lt;"&amp;$J843+7))</f>
        <v/>
      </c>
      <c r="J843">
        <f>IF(COUNT('Hours Log'!$A$4:$A$5000)=0,"",IF(MIN('Hours Log'!$A$4:$A$5000)+7*(ROW()-10)&gt;MAX('Hours Log'!$A$4:$A$5000),"",MIN('Hours Log'!$A$4:$A$5000)+7*(ROW()-10)))</f>
        <v/>
      </c>
    </row>
    <row r="844">
      <c r="A844">
        <f>IF($J844="","",YEAR($J844-WEEKDAY($J844,2)+4)&amp;"-W"&amp;TEXT(WEEKNUM($J844,21),"00"))</f>
        <v/>
      </c>
      <c r="B844" s="41">
        <f>IF($J844="","",COUNTIFS(Roster!$D$4:$D$500,"Active",Roster!$C$4:$C$500,"&lt;="&amp;$J844))</f>
        <v/>
      </c>
      <c r="C844">
        <f>IF($J844="","",SUMIFS('Hours Log'!$C:$C,'Hours Log'!$A:$A,"&gt;="&amp;$J844,'Hours Log'!$A:$A,"&lt;"&amp;$J844+7)+SUMIFS('Hours Log'!$D:$D,'Hours Log'!$A:$A,"&gt;="&amp;$J844,'Hours Log'!$A:$A,"&lt;"&amp;$J844+7))</f>
        <v/>
      </c>
      <c r="D844">
        <f>IF($J844="","",SUMIFS('Hours Log'!$D:$D,'Hours Log'!$A:$A,"&gt;="&amp;$J844,'Hours Log'!$A:$A,"&lt;"&amp;$J844+7))</f>
        <v/>
      </c>
      <c r="E844">
        <f>IF($J844="","",IFERROR(C844/(B844*40),0))</f>
        <v/>
      </c>
      <c r="F844">
        <f>IF($J844="","",0)</f>
        <v/>
      </c>
      <c r="G844">
        <f>IF($J844="","",SUMIFS('Hours Log'!$E:$E,'Hours Log'!$A:$A,"&gt;="&amp;$J844,'Hours Log'!$A:$A,"&lt;"&amp;$J844+7))</f>
        <v/>
      </c>
      <c r="J844">
        <f>IF(COUNT('Hours Log'!$A$4:$A$5000)=0,"",IF(MIN('Hours Log'!$A$4:$A$5000)+7*(ROW()-10)&gt;MAX('Hours Log'!$A$4:$A$5000),"",MIN('Hours Log'!$A$4:$A$5000)+7*(ROW()-10)))</f>
        <v/>
      </c>
    </row>
    <row r="845">
      <c r="A845">
        <f>IF($J845="","",YEAR($J845-WEEKDAY($J845,2)+4)&amp;"-W"&amp;TEXT(WEEKNUM($J845,21),"00"))</f>
        <v/>
      </c>
      <c r="B845" s="41">
        <f>IF($J845="","",COUNTIFS(Roster!$D$4:$D$500,"Active",Roster!$C$4:$C$500,"&lt;="&amp;$J845))</f>
        <v/>
      </c>
      <c r="C845">
        <f>IF($J845="","",SUMIFS('Hours Log'!$C:$C,'Hours Log'!$A:$A,"&gt;="&amp;$J845,'Hours Log'!$A:$A,"&lt;"&amp;$J845+7)+SUMIFS('Hours Log'!$D:$D,'Hours Log'!$A:$A,"&gt;="&amp;$J845,'Hours Log'!$A:$A,"&lt;"&amp;$J845+7))</f>
        <v/>
      </c>
      <c r="D845">
        <f>IF($J845="","",SUMIFS('Hours Log'!$D:$D,'Hours Log'!$A:$A,"&gt;="&amp;$J845,'Hours Log'!$A:$A,"&lt;"&amp;$J845+7))</f>
        <v/>
      </c>
      <c r="E845">
        <f>IF($J845="","",IFERROR(C845/(B845*40),0))</f>
        <v/>
      </c>
      <c r="F845">
        <f>IF($J845="","",0)</f>
        <v/>
      </c>
      <c r="G845">
        <f>IF($J845="","",SUMIFS('Hours Log'!$E:$E,'Hours Log'!$A:$A,"&gt;="&amp;$J845,'Hours Log'!$A:$A,"&lt;"&amp;$J845+7))</f>
        <v/>
      </c>
      <c r="J845">
        <f>IF(COUNT('Hours Log'!$A$4:$A$5000)=0,"",IF(MIN('Hours Log'!$A$4:$A$5000)+7*(ROW()-10)&gt;MAX('Hours Log'!$A$4:$A$5000),"",MIN('Hours Log'!$A$4:$A$5000)+7*(ROW()-10)))</f>
        <v/>
      </c>
    </row>
    <row r="846">
      <c r="A846">
        <f>IF($J846="","",YEAR($J846-WEEKDAY($J846,2)+4)&amp;"-W"&amp;TEXT(WEEKNUM($J846,21),"00"))</f>
        <v/>
      </c>
      <c r="B846" s="41">
        <f>IF($J846="","",COUNTIFS(Roster!$D$4:$D$500,"Active",Roster!$C$4:$C$500,"&lt;="&amp;$J846))</f>
        <v/>
      </c>
      <c r="C846">
        <f>IF($J846="","",SUMIFS('Hours Log'!$C:$C,'Hours Log'!$A:$A,"&gt;="&amp;$J846,'Hours Log'!$A:$A,"&lt;"&amp;$J846+7)+SUMIFS('Hours Log'!$D:$D,'Hours Log'!$A:$A,"&gt;="&amp;$J846,'Hours Log'!$A:$A,"&lt;"&amp;$J846+7))</f>
        <v/>
      </c>
      <c r="D846">
        <f>IF($J846="","",SUMIFS('Hours Log'!$D:$D,'Hours Log'!$A:$A,"&gt;="&amp;$J846,'Hours Log'!$A:$A,"&lt;"&amp;$J846+7))</f>
        <v/>
      </c>
      <c r="E846">
        <f>IF($J846="","",IFERROR(C846/(B846*40),0))</f>
        <v/>
      </c>
      <c r="F846">
        <f>IF($J846="","",0)</f>
        <v/>
      </c>
      <c r="G846">
        <f>IF($J846="","",SUMIFS('Hours Log'!$E:$E,'Hours Log'!$A:$A,"&gt;="&amp;$J846,'Hours Log'!$A:$A,"&lt;"&amp;$J846+7))</f>
        <v/>
      </c>
      <c r="J846">
        <f>IF(COUNT('Hours Log'!$A$4:$A$5000)=0,"",IF(MIN('Hours Log'!$A$4:$A$5000)+7*(ROW()-10)&gt;MAX('Hours Log'!$A$4:$A$5000),"",MIN('Hours Log'!$A$4:$A$5000)+7*(ROW()-10)))</f>
        <v/>
      </c>
    </row>
    <row r="847">
      <c r="A847">
        <f>IF($J847="","",YEAR($J847-WEEKDAY($J847,2)+4)&amp;"-W"&amp;TEXT(WEEKNUM($J847,21),"00"))</f>
        <v/>
      </c>
      <c r="B847" s="41">
        <f>IF($J847="","",COUNTIFS(Roster!$D$4:$D$500,"Active",Roster!$C$4:$C$500,"&lt;="&amp;$J847))</f>
        <v/>
      </c>
      <c r="C847">
        <f>IF($J847="","",SUMIFS('Hours Log'!$C:$C,'Hours Log'!$A:$A,"&gt;="&amp;$J847,'Hours Log'!$A:$A,"&lt;"&amp;$J847+7)+SUMIFS('Hours Log'!$D:$D,'Hours Log'!$A:$A,"&gt;="&amp;$J847,'Hours Log'!$A:$A,"&lt;"&amp;$J847+7))</f>
        <v/>
      </c>
      <c r="D847">
        <f>IF($J847="","",SUMIFS('Hours Log'!$D:$D,'Hours Log'!$A:$A,"&gt;="&amp;$J847,'Hours Log'!$A:$A,"&lt;"&amp;$J847+7))</f>
        <v/>
      </c>
      <c r="E847">
        <f>IF($J847="","",IFERROR(C847/(B847*40),0))</f>
        <v/>
      </c>
      <c r="F847">
        <f>IF($J847="","",0)</f>
        <v/>
      </c>
      <c r="G847">
        <f>IF($J847="","",SUMIFS('Hours Log'!$E:$E,'Hours Log'!$A:$A,"&gt;="&amp;$J847,'Hours Log'!$A:$A,"&lt;"&amp;$J847+7))</f>
        <v/>
      </c>
      <c r="J847">
        <f>IF(COUNT('Hours Log'!$A$4:$A$5000)=0,"",IF(MIN('Hours Log'!$A$4:$A$5000)+7*(ROW()-10)&gt;MAX('Hours Log'!$A$4:$A$5000),"",MIN('Hours Log'!$A$4:$A$5000)+7*(ROW()-10)))</f>
        <v/>
      </c>
    </row>
    <row r="848">
      <c r="A848">
        <f>IF($J848="","",YEAR($J848-WEEKDAY($J848,2)+4)&amp;"-W"&amp;TEXT(WEEKNUM($J848,21),"00"))</f>
        <v/>
      </c>
      <c r="B848" s="41">
        <f>IF($J848="","",COUNTIFS(Roster!$D$4:$D$500,"Active",Roster!$C$4:$C$500,"&lt;="&amp;$J848))</f>
        <v/>
      </c>
      <c r="C848">
        <f>IF($J848="","",SUMIFS('Hours Log'!$C:$C,'Hours Log'!$A:$A,"&gt;="&amp;$J848,'Hours Log'!$A:$A,"&lt;"&amp;$J848+7)+SUMIFS('Hours Log'!$D:$D,'Hours Log'!$A:$A,"&gt;="&amp;$J848,'Hours Log'!$A:$A,"&lt;"&amp;$J848+7))</f>
        <v/>
      </c>
      <c r="D848">
        <f>IF($J848="","",SUMIFS('Hours Log'!$D:$D,'Hours Log'!$A:$A,"&gt;="&amp;$J848,'Hours Log'!$A:$A,"&lt;"&amp;$J848+7))</f>
        <v/>
      </c>
      <c r="E848">
        <f>IF($J848="","",IFERROR(C848/(B848*40),0))</f>
        <v/>
      </c>
      <c r="F848">
        <f>IF($J848="","",0)</f>
        <v/>
      </c>
      <c r="G848">
        <f>IF($J848="","",SUMIFS('Hours Log'!$E:$E,'Hours Log'!$A:$A,"&gt;="&amp;$J848,'Hours Log'!$A:$A,"&lt;"&amp;$J848+7))</f>
        <v/>
      </c>
      <c r="J848">
        <f>IF(COUNT('Hours Log'!$A$4:$A$5000)=0,"",IF(MIN('Hours Log'!$A$4:$A$5000)+7*(ROW()-10)&gt;MAX('Hours Log'!$A$4:$A$5000),"",MIN('Hours Log'!$A$4:$A$5000)+7*(ROW()-10)))</f>
        <v/>
      </c>
    </row>
    <row r="849">
      <c r="A849">
        <f>IF($J849="","",YEAR($J849-WEEKDAY($J849,2)+4)&amp;"-W"&amp;TEXT(WEEKNUM($J849,21),"00"))</f>
        <v/>
      </c>
      <c r="B849" s="41">
        <f>IF($J849="","",COUNTIFS(Roster!$D$4:$D$500,"Active",Roster!$C$4:$C$500,"&lt;="&amp;$J849))</f>
        <v/>
      </c>
      <c r="C849">
        <f>IF($J849="","",SUMIFS('Hours Log'!$C:$C,'Hours Log'!$A:$A,"&gt;="&amp;$J849,'Hours Log'!$A:$A,"&lt;"&amp;$J849+7)+SUMIFS('Hours Log'!$D:$D,'Hours Log'!$A:$A,"&gt;="&amp;$J849,'Hours Log'!$A:$A,"&lt;"&amp;$J849+7))</f>
        <v/>
      </c>
      <c r="D849">
        <f>IF($J849="","",SUMIFS('Hours Log'!$D:$D,'Hours Log'!$A:$A,"&gt;="&amp;$J849,'Hours Log'!$A:$A,"&lt;"&amp;$J849+7))</f>
        <v/>
      </c>
      <c r="E849">
        <f>IF($J849="","",IFERROR(C849/(B849*40),0))</f>
        <v/>
      </c>
      <c r="F849">
        <f>IF($J849="","",0)</f>
        <v/>
      </c>
      <c r="G849">
        <f>IF($J849="","",SUMIFS('Hours Log'!$E:$E,'Hours Log'!$A:$A,"&gt;="&amp;$J849,'Hours Log'!$A:$A,"&lt;"&amp;$J849+7))</f>
        <v/>
      </c>
      <c r="J849">
        <f>IF(COUNT('Hours Log'!$A$4:$A$5000)=0,"",IF(MIN('Hours Log'!$A$4:$A$5000)+7*(ROW()-10)&gt;MAX('Hours Log'!$A$4:$A$5000),"",MIN('Hours Log'!$A$4:$A$5000)+7*(ROW()-10)))</f>
        <v/>
      </c>
    </row>
    <row r="850">
      <c r="A850">
        <f>IF($J850="","",YEAR($J850-WEEKDAY($J850,2)+4)&amp;"-W"&amp;TEXT(WEEKNUM($J850,21),"00"))</f>
        <v/>
      </c>
      <c r="B850" s="41">
        <f>IF($J850="","",COUNTIFS(Roster!$D$4:$D$500,"Active",Roster!$C$4:$C$500,"&lt;="&amp;$J850))</f>
        <v/>
      </c>
      <c r="C850">
        <f>IF($J850="","",SUMIFS('Hours Log'!$C:$C,'Hours Log'!$A:$A,"&gt;="&amp;$J850,'Hours Log'!$A:$A,"&lt;"&amp;$J850+7)+SUMIFS('Hours Log'!$D:$D,'Hours Log'!$A:$A,"&gt;="&amp;$J850,'Hours Log'!$A:$A,"&lt;"&amp;$J850+7))</f>
        <v/>
      </c>
      <c r="D850">
        <f>IF($J850="","",SUMIFS('Hours Log'!$D:$D,'Hours Log'!$A:$A,"&gt;="&amp;$J850,'Hours Log'!$A:$A,"&lt;"&amp;$J850+7))</f>
        <v/>
      </c>
      <c r="E850">
        <f>IF($J850="","",IFERROR(C850/(B850*40),0))</f>
        <v/>
      </c>
      <c r="F850">
        <f>IF($J850="","",0)</f>
        <v/>
      </c>
      <c r="G850">
        <f>IF($J850="","",SUMIFS('Hours Log'!$E:$E,'Hours Log'!$A:$A,"&gt;="&amp;$J850,'Hours Log'!$A:$A,"&lt;"&amp;$J850+7))</f>
        <v/>
      </c>
      <c r="J850">
        <f>IF(COUNT('Hours Log'!$A$4:$A$5000)=0,"",IF(MIN('Hours Log'!$A$4:$A$5000)+7*(ROW()-10)&gt;MAX('Hours Log'!$A$4:$A$5000),"",MIN('Hours Log'!$A$4:$A$5000)+7*(ROW()-10)))</f>
        <v/>
      </c>
    </row>
    <row r="851">
      <c r="A851">
        <f>IF($J851="","",YEAR($J851-WEEKDAY($J851,2)+4)&amp;"-W"&amp;TEXT(WEEKNUM($J851,21),"00"))</f>
        <v/>
      </c>
      <c r="B851" s="41">
        <f>IF($J851="","",COUNTIFS(Roster!$D$4:$D$500,"Active",Roster!$C$4:$C$500,"&lt;="&amp;$J851))</f>
        <v/>
      </c>
      <c r="C851">
        <f>IF($J851="","",SUMIFS('Hours Log'!$C:$C,'Hours Log'!$A:$A,"&gt;="&amp;$J851,'Hours Log'!$A:$A,"&lt;"&amp;$J851+7)+SUMIFS('Hours Log'!$D:$D,'Hours Log'!$A:$A,"&gt;="&amp;$J851,'Hours Log'!$A:$A,"&lt;"&amp;$J851+7))</f>
        <v/>
      </c>
      <c r="D851">
        <f>IF($J851="","",SUMIFS('Hours Log'!$D:$D,'Hours Log'!$A:$A,"&gt;="&amp;$J851,'Hours Log'!$A:$A,"&lt;"&amp;$J851+7))</f>
        <v/>
      </c>
      <c r="E851">
        <f>IF($J851="","",IFERROR(C851/(B851*40),0))</f>
        <v/>
      </c>
      <c r="F851">
        <f>IF($J851="","",0)</f>
        <v/>
      </c>
      <c r="G851">
        <f>IF($J851="","",SUMIFS('Hours Log'!$E:$E,'Hours Log'!$A:$A,"&gt;="&amp;$J851,'Hours Log'!$A:$A,"&lt;"&amp;$J851+7))</f>
        <v/>
      </c>
      <c r="J851">
        <f>IF(COUNT('Hours Log'!$A$4:$A$5000)=0,"",IF(MIN('Hours Log'!$A$4:$A$5000)+7*(ROW()-10)&gt;MAX('Hours Log'!$A$4:$A$5000),"",MIN('Hours Log'!$A$4:$A$5000)+7*(ROW()-10)))</f>
        <v/>
      </c>
    </row>
    <row r="852">
      <c r="A852">
        <f>IF($J852="","",YEAR($J852-WEEKDAY($J852,2)+4)&amp;"-W"&amp;TEXT(WEEKNUM($J852,21),"00"))</f>
        <v/>
      </c>
      <c r="B852" s="41">
        <f>IF($J852="","",COUNTIFS(Roster!$D$4:$D$500,"Active",Roster!$C$4:$C$500,"&lt;="&amp;$J852))</f>
        <v/>
      </c>
      <c r="C852">
        <f>IF($J852="","",SUMIFS('Hours Log'!$C:$C,'Hours Log'!$A:$A,"&gt;="&amp;$J852,'Hours Log'!$A:$A,"&lt;"&amp;$J852+7)+SUMIFS('Hours Log'!$D:$D,'Hours Log'!$A:$A,"&gt;="&amp;$J852,'Hours Log'!$A:$A,"&lt;"&amp;$J852+7))</f>
        <v/>
      </c>
      <c r="D852">
        <f>IF($J852="","",SUMIFS('Hours Log'!$D:$D,'Hours Log'!$A:$A,"&gt;="&amp;$J852,'Hours Log'!$A:$A,"&lt;"&amp;$J852+7))</f>
        <v/>
      </c>
      <c r="E852">
        <f>IF($J852="","",IFERROR(C852/(B852*40),0))</f>
        <v/>
      </c>
      <c r="F852">
        <f>IF($J852="","",0)</f>
        <v/>
      </c>
      <c r="G852">
        <f>IF($J852="","",SUMIFS('Hours Log'!$E:$E,'Hours Log'!$A:$A,"&gt;="&amp;$J852,'Hours Log'!$A:$A,"&lt;"&amp;$J852+7))</f>
        <v/>
      </c>
      <c r="J852">
        <f>IF(COUNT('Hours Log'!$A$4:$A$5000)=0,"",IF(MIN('Hours Log'!$A$4:$A$5000)+7*(ROW()-10)&gt;MAX('Hours Log'!$A$4:$A$5000),"",MIN('Hours Log'!$A$4:$A$5000)+7*(ROW()-10)))</f>
        <v/>
      </c>
    </row>
    <row r="853">
      <c r="A853">
        <f>IF($J853="","",YEAR($J853-WEEKDAY($J853,2)+4)&amp;"-W"&amp;TEXT(WEEKNUM($J853,21),"00"))</f>
        <v/>
      </c>
      <c r="B853" s="41">
        <f>IF($J853="","",COUNTIFS(Roster!$D$4:$D$500,"Active",Roster!$C$4:$C$500,"&lt;="&amp;$J853))</f>
        <v/>
      </c>
      <c r="C853">
        <f>IF($J853="","",SUMIFS('Hours Log'!$C:$C,'Hours Log'!$A:$A,"&gt;="&amp;$J853,'Hours Log'!$A:$A,"&lt;"&amp;$J853+7)+SUMIFS('Hours Log'!$D:$D,'Hours Log'!$A:$A,"&gt;="&amp;$J853,'Hours Log'!$A:$A,"&lt;"&amp;$J853+7))</f>
        <v/>
      </c>
      <c r="D853">
        <f>IF($J853="","",SUMIFS('Hours Log'!$D:$D,'Hours Log'!$A:$A,"&gt;="&amp;$J853,'Hours Log'!$A:$A,"&lt;"&amp;$J853+7))</f>
        <v/>
      </c>
      <c r="E853">
        <f>IF($J853="","",IFERROR(C853/(B853*40),0))</f>
        <v/>
      </c>
      <c r="F853">
        <f>IF($J853="","",0)</f>
        <v/>
      </c>
      <c r="G853">
        <f>IF($J853="","",SUMIFS('Hours Log'!$E:$E,'Hours Log'!$A:$A,"&gt;="&amp;$J853,'Hours Log'!$A:$A,"&lt;"&amp;$J853+7))</f>
        <v/>
      </c>
      <c r="J853">
        <f>IF(COUNT('Hours Log'!$A$4:$A$5000)=0,"",IF(MIN('Hours Log'!$A$4:$A$5000)+7*(ROW()-10)&gt;MAX('Hours Log'!$A$4:$A$5000),"",MIN('Hours Log'!$A$4:$A$5000)+7*(ROW()-10)))</f>
        <v/>
      </c>
    </row>
    <row r="854">
      <c r="A854">
        <f>IF($J854="","",YEAR($J854-WEEKDAY($J854,2)+4)&amp;"-W"&amp;TEXT(WEEKNUM($J854,21),"00"))</f>
        <v/>
      </c>
      <c r="B854" s="41">
        <f>IF($J854="","",COUNTIFS(Roster!$D$4:$D$500,"Active",Roster!$C$4:$C$500,"&lt;="&amp;$J854))</f>
        <v/>
      </c>
      <c r="C854">
        <f>IF($J854="","",SUMIFS('Hours Log'!$C:$C,'Hours Log'!$A:$A,"&gt;="&amp;$J854,'Hours Log'!$A:$A,"&lt;"&amp;$J854+7)+SUMIFS('Hours Log'!$D:$D,'Hours Log'!$A:$A,"&gt;="&amp;$J854,'Hours Log'!$A:$A,"&lt;"&amp;$J854+7))</f>
        <v/>
      </c>
      <c r="D854">
        <f>IF($J854="","",SUMIFS('Hours Log'!$D:$D,'Hours Log'!$A:$A,"&gt;="&amp;$J854,'Hours Log'!$A:$A,"&lt;"&amp;$J854+7))</f>
        <v/>
      </c>
      <c r="E854">
        <f>IF($J854="","",IFERROR(C854/(B854*40),0))</f>
        <v/>
      </c>
      <c r="F854">
        <f>IF($J854="","",0)</f>
        <v/>
      </c>
      <c r="G854">
        <f>IF($J854="","",SUMIFS('Hours Log'!$E:$E,'Hours Log'!$A:$A,"&gt;="&amp;$J854,'Hours Log'!$A:$A,"&lt;"&amp;$J854+7))</f>
        <v/>
      </c>
      <c r="J854">
        <f>IF(COUNT('Hours Log'!$A$4:$A$5000)=0,"",IF(MIN('Hours Log'!$A$4:$A$5000)+7*(ROW()-10)&gt;MAX('Hours Log'!$A$4:$A$5000),"",MIN('Hours Log'!$A$4:$A$5000)+7*(ROW()-10)))</f>
        <v/>
      </c>
    </row>
    <row r="855">
      <c r="A855">
        <f>IF($J855="","",YEAR($J855-WEEKDAY($J855,2)+4)&amp;"-W"&amp;TEXT(WEEKNUM($J855,21),"00"))</f>
        <v/>
      </c>
      <c r="B855" s="41">
        <f>IF($J855="","",COUNTIFS(Roster!$D$4:$D$500,"Active",Roster!$C$4:$C$500,"&lt;="&amp;$J855))</f>
        <v/>
      </c>
      <c r="C855">
        <f>IF($J855="","",SUMIFS('Hours Log'!$C:$C,'Hours Log'!$A:$A,"&gt;="&amp;$J855,'Hours Log'!$A:$A,"&lt;"&amp;$J855+7)+SUMIFS('Hours Log'!$D:$D,'Hours Log'!$A:$A,"&gt;="&amp;$J855,'Hours Log'!$A:$A,"&lt;"&amp;$J855+7))</f>
        <v/>
      </c>
      <c r="D855">
        <f>IF($J855="","",SUMIFS('Hours Log'!$D:$D,'Hours Log'!$A:$A,"&gt;="&amp;$J855,'Hours Log'!$A:$A,"&lt;"&amp;$J855+7))</f>
        <v/>
      </c>
      <c r="E855">
        <f>IF($J855="","",IFERROR(C855/(B855*40),0))</f>
        <v/>
      </c>
      <c r="F855">
        <f>IF($J855="","",0)</f>
        <v/>
      </c>
      <c r="G855">
        <f>IF($J855="","",SUMIFS('Hours Log'!$E:$E,'Hours Log'!$A:$A,"&gt;="&amp;$J855,'Hours Log'!$A:$A,"&lt;"&amp;$J855+7))</f>
        <v/>
      </c>
      <c r="J855">
        <f>IF(COUNT('Hours Log'!$A$4:$A$5000)=0,"",IF(MIN('Hours Log'!$A$4:$A$5000)+7*(ROW()-10)&gt;MAX('Hours Log'!$A$4:$A$5000),"",MIN('Hours Log'!$A$4:$A$5000)+7*(ROW()-10)))</f>
        <v/>
      </c>
    </row>
    <row r="856">
      <c r="A856">
        <f>IF($J856="","",YEAR($J856-WEEKDAY($J856,2)+4)&amp;"-W"&amp;TEXT(WEEKNUM($J856,21),"00"))</f>
        <v/>
      </c>
      <c r="B856" s="41">
        <f>IF($J856="","",COUNTIFS(Roster!$D$4:$D$500,"Active",Roster!$C$4:$C$500,"&lt;="&amp;$J856))</f>
        <v/>
      </c>
      <c r="C856">
        <f>IF($J856="","",SUMIFS('Hours Log'!$C:$C,'Hours Log'!$A:$A,"&gt;="&amp;$J856,'Hours Log'!$A:$A,"&lt;"&amp;$J856+7)+SUMIFS('Hours Log'!$D:$D,'Hours Log'!$A:$A,"&gt;="&amp;$J856,'Hours Log'!$A:$A,"&lt;"&amp;$J856+7))</f>
        <v/>
      </c>
      <c r="D856">
        <f>IF($J856="","",SUMIFS('Hours Log'!$D:$D,'Hours Log'!$A:$A,"&gt;="&amp;$J856,'Hours Log'!$A:$A,"&lt;"&amp;$J856+7))</f>
        <v/>
      </c>
      <c r="E856">
        <f>IF($J856="","",IFERROR(C856/(B856*40),0))</f>
        <v/>
      </c>
      <c r="F856">
        <f>IF($J856="","",0)</f>
        <v/>
      </c>
      <c r="G856">
        <f>IF($J856="","",SUMIFS('Hours Log'!$E:$E,'Hours Log'!$A:$A,"&gt;="&amp;$J856,'Hours Log'!$A:$A,"&lt;"&amp;$J856+7))</f>
        <v/>
      </c>
      <c r="J856">
        <f>IF(COUNT('Hours Log'!$A$4:$A$5000)=0,"",IF(MIN('Hours Log'!$A$4:$A$5000)+7*(ROW()-10)&gt;MAX('Hours Log'!$A$4:$A$5000),"",MIN('Hours Log'!$A$4:$A$5000)+7*(ROW()-10)))</f>
        <v/>
      </c>
    </row>
    <row r="857">
      <c r="A857">
        <f>IF($J857="","",YEAR($J857-WEEKDAY($J857,2)+4)&amp;"-W"&amp;TEXT(WEEKNUM($J857,21),"00"))</f>
        <v/>
      </c>
      <c r="B857" s="41">
        <f>IF($J857="","",COUNTIFS(Roster!$D$4:$D$500,"Active",Roster!$C$4:$C$500,"&lt;="&amp;$J857))</f>
        <v/>
      </c>
      <c r="C857">
        <f>IF($J857="","",SUMIFS('Hours Log'!$C:$C,'Hours Log'!$A:$A,"&gt;="&amp;$J857,'Hours Log'!$A:$A,"&lt;"&amp;$J857+7)+SUMIFS('Hours Log'!$D:$D,'Hours Log'!$A:$A,"&gt;="&amp;$J857,'Hours Log'!$A:$A,"&lt;"&amp;$J857+7))</f>
        <v/>
      </c>
      <c r="D857">
        <f>IF($J857="","",SUMIFS('Hours Log'!$D:$D,'Hours Log'!$A:$A,"&gt;="&amp;$J857,'Hours Log'!$A:$A,"&lt;"&amp;$J857+7))</f>
        <v/>
      </c>
      <c r="E857">
        <f>IF($J857="","",IFERROR(C857/(B857*40),0))</f>
        <v/>
      </c>
      <c r="F857">
        <f>IF($J857="","",0)</f>
        <v/>
      </c>
      <c r="G857">
        <f>IF($J857="","",SUMIFS('Hours Log'!$E:$E,'Hours Log'!$A:$A,"&gt;="&amp;$J857,'Hours Log'!$A:$A,"&lt;"&amp;$J857+7))</f>
        <v/>
      </c>
      <c r="J857">
        <f>IF(COUNT('Hours Log'!$A$4:$A$5000)=0,"",IF(MIN('Hours Log'!$A$4:$A$5000)+7*(ROW()-10)&gt;MAX('Hours Log'!$A$4:$A$5000),"",MIN('Hours Log'!$A$4:$A$5000)+7*(ROW()-10)))</f>
        <v/>
      </c>
    </row>
    <row r="858">
      <c r="A858">
        <f>IF($J858="","",YEAR($J858-WEEKDAY($J858,2)+4)&amp;"-W"&amp;TEXT(WEEKNUM($J858,21),"00"))</f>
        <v/>
      </c>
      <c r="B858" s="41">
        <f>IF($J858="","",COUNTIFS(Roster!$D$4:$D$500,"Active",Roster!$C$4:$C$500,"&lt;="&amp;$J858))</f>
        <v/>
      </c>
      <c r="C858">
        <f>IF($J858="","",SUMIFS('Hours Log'!$C:$C,'Hours Log'!$A:$A,"&gt;="&amp;$J858,'Hours Log'!$A:$A,"&lt;"&amp;$J858+7)+SUMIFS('Hours Log'!$D:$D,'Hours Log'!$A:$A,"&gt;="&amp;$J858,'Hours Log'!$A:$A,"&lt;"&amp;$J858+7))</f>
        <v/>
      </c>
      <c r="D858">
        <f>IF($J858="","",SUMIFS('Hours Log'!$D:$D,'Hours Log'!$A:$A,"&gt;="&amp;$J858,'Hours Log'!$A:$A,"&lt;"&amp;$J858+7))</f>
        <v/>
      </c>
      <c r="E858">
        <f>IF($J858="","",IFERROR(C858/(B858*40),0))</f>
        <v/>
      </c>
      <c r="F858">
        <f>IF($J858="","",0)</f>
        <v/>
      </c>
      <c r="G858">
        <f>IF($J858="","",SUMIFS('Hours Log'!$E:$E,'Hours Log'!$A:$A,"&gt;="&amp;$J858,'Hours Log'!$A:$A,"&lt;"&amp;$J858+7))</f>
        <v/>
      </c>
      <c r="J858">
        <f>IF(COUNT('Hours Log'!$A$4:$A$5000)=0,"",IF(MIN('Hours Log'!$A$4:$A$5000)+7*(ROW()-10)&gt;MAX('Hours Log'!$A$4:$A$5000),"",MIN('Hours Log'!$A$4:$A$5000)+7*(ROW()-10)))</f>
        <v/>
      </c>
    </row>
    <row r="859">
      <c r="A859">
        <f>IF($J859="","",YEAR($J859-WEEKDAY($J859,2)+4)&amp;"-W"&amp;TEXT(WEEKNUM($J859,21),"00"))</f>
        <v/>
      </c>
      <c r="B859" s="41">
        <f>IF($J859="","",COUNTIFS(Roster!$D$4:$D$500,"Active",Roster!$C$4:$C$500,"&lt;="&amp;$J859))</f>
        <v/>
      </c>
      <c r="C859">
        <f>IF($J859="","",SUMIFS('Hours Log'!$C:$C,'Hours Log'!$A:$A,"&gt;="&amp;$J859,'Hours Log'!$A:$A,"&lt;"&amp;$J859+7)+SUMIFS('Hours Log'!$D:$D,'Hours Log'!$A:$A,"&gt;="&amp;$J859,'Hours Log'!$A:$A,"&lt;"&amp;$J859+7))</f>
        <v/>
      </c>
      <c r="D859">
        <f>IF($J859="","",SUMIFS('Hours Log'!$D:$D,'Hours Log'!$A:$A,"&gt;="&amp;$J859,'Hours Log'!$A:$A,"&lt;"&amp;$J859+7))</f>
        <v/>
      </c>
      <c r="E859">
        <f>IF($J859="","",IFERROR(C859/(B859*40),0))</f>
        <v/>
      </c>
      <c r="F859">
        <f>IF($J859="","",0)</f>
        <v/>
      </c>
      <c r="G859">
        <f>IF($J859="","",SUMIFS('Hours Log'!$E:$E,'Hours Log'!$A:$A,"&gt;="&amp;$J859,'Hours Log'!$A:$A,"&lt;"&amp;$J859+7))</f>
        <v/>
      </c>
      <c r="J859">
        <f>IF(COUNT('Hours Log'!$A$4:$A$5000)=0,"",IF(MIN('Hours Log'!$A$4:$A$5000)+7*(ROW()-10)&gt;MAX('Hours Log'!$A$4:$A$5000),"",MIN('Hours Log'!$A$4:$A$5000)+7*(ROW()-10)))</f>
        <v/>
      </c>
    </row>
    <row r="860">
      <c r="A860">
        <f>IF($J860="","",YEAR($J860-WEEKDAY($J860,2)+4)&amp;"-W"&amp;TEXT(WEEKNUM($J860,21),"00"))</f>
        <v/>
      </c>
      <c r="B860" s="41">
        <f>IF($J860="","",COUNTIFS(Roster!$D$4:$D$500,"Active",Roster!$C$4:$C$500,"&lt;="&amp;$J860))</f>
        <v/>
      </c>
      <c r="C860">
        <f>IF($J860="","",SUMIFS('Hours Log'!$C:$C,'Hours Log'!$A:$A,"&gt;="&amp;$J860,'Hours Log'!$A:$A,"&lt;"&amp;$J860+7)+SUMIFS('Hours Log'!$D:$D,'Hours Log'!$A:$A,"&gt;="&amp;$J860,'Hours Log'!$A:$A,"&lt;"&amp;$J860+7))</f>
        <v/>
      </c>
      <c r="D860">
        <f>IF($J860="","",SUMIFS('Hours Log'!$D:$D,'Hours Log'!$A:$A,"&gt;="&amp;$J860,'Hours Log'!$A:$A,"&lt;"&amp;$J860+7))</f>
        <v/>
      </c>
      <c r="E860">
        <f>IF($J860="","",IFERROR(C860/(B860*40),0))</f>
        <v/>
      </c>
      <c r="F860">
        <f>IF($J860="","",0)</f>
        <v/>
      </c>
      <c r="G860">
        <f>IF($J860="","",SUMIFS('Hours Log'!$E:$E,'Hours Log'!$A:$A,"&gt;="&amp;$J860,'Hours Log'!$A:$A,"&lt;"&amp;$J860+7))</f>
        <v/>
      </c>
      <c r="J860">
        <f>IF(COUNT('Hours Log'!$A$4:$A$5000)=0,"",IF(MIN('Hours Log'!$A$4:$A$5000)+7*(ROW()-10)&gt;MAX('Hours Log'!$A$4:$A$5000),"",MIN('Hours Log'!$A$4:$A$5000)+7*(ROW()-10)))</f>
        <v/>
      </c>
    </row>
    <row r="861">
      <c r="A861">
        <f>IF($J861="","",YEAR($J861-WEEKDAY($J861,2)+4)&amp;"-W"&amp;TEXT(WEEKNUM($J861,21),"00"))</f>
        <v/>
      </c>
      <c r="B861" s="41">
        <f>IF($J861="","",COUNTIFS(Roster!$D$4:$D$500,"Active",Roster!$C$4:$C$500,"&lt;="&amp;$J861))</f>
        <v/>
      </c>
      <c r="C861">
        <f>IF($J861="","",SUMIFS('Hours Log'!$C:$C,'Hours Log'!$A:$A,"&gt;="&amp;$J861,'Hours Log'!$A:$A,"&lt;"&amp;$J861+7)+SUMIFS('Hours Log'!$D:$D,'Hours Log'!$A:$A,"&gt;="&amp;$J861,'Hours Log'!$A:$A,"&lt;"&amp;$J861+7))</f>
        <v/>
      </c>
      <c r="D861">
        <f>IF($J861="","",SUMIFS('Hours Log'!$D:$D,'Hours Log'!$A:$A,"&gt;="&amp;$J861,'Hours Log'!$A:$A,"&lt;"&amp;$J861+7))</f>
        <v/>
      </c>
      <c r="E861">
        <f>IF($J861="","",IFERROR(C861/(B861*40),0))</f>
        <v/>
      </c>
      <c r="F861">
        <f>IF($J861="","",0)</f>
        <v/>
      </c>
      <c r="G861">
        <f>IF($J861="","",SUMIFS('Hours Log'!$E:$E,'Hours Log'!$A:$A,"&gt;="&amp;$J861,'Hours Log'!$A:$A,"&lt;"&amp;$J861+7))</f>
        <v/>
      </c>
      <c r="J861">
        <f>IF(COUNT('Hours Log'!$A$4:$A$5000)=0,"",IF(MIN('Hours Log'!$A$4:$A$5000)+7*(ROW()-10)&gt;MAX('Hours Log'!$A$4:$A$5000),"",MIN('Hours Log'!$A$4:$A$5000)+7*(ROW()-10)))</f>
        <v/>
      </c>
    </row>
    <row r="862">
      <c r="A862">
        <f>IF($J862="","",YEAR($J862-WEEKDAY($J862,2)+4)&amp;"-W"&amp;TEXT(WEEKNUM($J862,21),"00"))</f>
        <v/>
      </c>
      <c r="B862" s="41">
        <f>IF($J862="","",COUNTIFS(Roster!$D$4:$D$500,"Active",Roster!$C$4:$C$500,"&lt;="&amp;$J862))</f>
        <v/>
      </c>
      <c r="C862">
        <f>IF($J862="","",SUMIFS('Hours Log'!$C:$C,'Hours Log'!$A:$A,"&gt;="&amp;$J862,'Hours Log'!$A:$A,"&lt;"&amp;$J862+7)+SUMIFS('Hours Log'!$D:$D,'Hours Log'!$A:$A,"&gt;="&amp;$J862,'Hours Log'!$A:$A,"&lt;"&amp;$J862+7))</f>
        <v/>
      </c>
      <c r="D862">
        <f>IF($J862="","",SUMIFS('Hours Log'!$D:$D,'Hours Log'!$A:$A,"&gt;="&amp;$J862,'Hours Log'!$A:$A,"&lt;"&amp;$J862+7))</f>
        <v/>
      </c>
      <c r="E862">
        <f>IF($J862="","",IFERROR(C862/(B862*40),0))</f>
        <v/>
      </c>
      <c r="F862">
        <f>IF($J862="","",0)</f>
        <v/>
      </c>
      <c r="G862">
        <f>IF($J862="","",SUMIFS('Hours Log'!$E:$E,'Hours Log'!$A:$A,"&gt;="&amp;$J862,'Hours Log'!$A:$A,"&lt;"&amp;$J862+7))</f>
        <v/>
      </c>
      <c r="J862">
        <f>IF(COUNT('Hours Log'!$A$4:$A$5000)=0,"",IF(MIN('Hours Log'!$A$4:$A$5000)+7*(ROW()-10)&gt;MAX('Hours Log'!$A$4:$A$5000),"",MIN('Hours Log'!$A$4:$A$5000)+7*(ROW()-10)))</f>
        <v/>
      </c>
    </row>
    <row r="863">
      <c r="A863">
        <f>IF($J863="","",YEAR($J863-WEEKDAY($J863,2)+4)&amp;"-W"&amp;TEXT(WEEKNUM($J863,21),"00"))</f>
        <v/>
      </c>
      <c r="B863" s="41">
        <f>IF($J863="","",COUNTIFS(Roster!$D$4:$D$500,"Active",Roster!$C$4:$C$500,"&lt;="&amp;$J863))</f>
        <v/>
      </c>
      <c r="C863">
        <f>IF($J863="","",SUMIFS('Hours Log'!$C:$C,'Hours Log'!$A:$A,"&gt;="&amp;$J863,'Hours Log'!$A:$A,"&lt;"&amp;$J863+7)+SUMIFS('Hours Log'!$D:$D,'Hours Log'!$A:$A,"&gt;="&amp;$J863,'Hours Log'!$A:$A,"&lt;"&amp;$J863+7))</f>
        <v/>
      </c>
      <c r="D863">
        <f>IF($J863="","",SUMIFS('Hours Log'!$D:$D,'Hours Log'!$A:$A,"&gt;="&amp;$J863,'Hours Log'!$A:$A,"&lt;"&amp;$J863+7))</f>
        <v/>
      </c>
      <c r="E863">
        <f>IF($J863="","",IFERROR(C863/(B863*40),0))</f>
        <v/>
      </c>
      <c r="F863">
        <f>IF($J863="","",0)</f>
        <v/>
      </c>
      <c r="G863">
        <f>IF($J863="","",SUMIFS('Hours Log'!$E:$E,'Hours Log'!$A:$A,"&gt;="&amp;$J863,'Hours Log'!$A:$A,"&lt;"&amp;$J863+7))</f>
        <v/>
      </c>
      <c r="J863">
        <f>IF(COUNT('Hours Log'!$A$4:$A$5000)=0,"",IF(MIN('Hours Log'!$A$4:$A$5000)+7*(ROW()-10)&gt;MAX('Hours Log'!$A$4:$A$5000),"",MIN('Hours Log'!$A$4:$A$5000)+7*(ROW()-10)))</f>
        <v/>
      </c>
    </row>
    <row r="864">
      <c r="A864">
        <f>IF($J864="","",YEAR($J864-WEEKDAY($J864,2)+4)&amp;"-W"&amp;TEXT(WEEKNUM($J864,21),"00"))</f>
        <v/>
      </c>
      <c r="B864" s="41">
        <f>IF($J864="","",COUNTIFS(Roster!$D$4:$D$500,"Active",Roster!$C$4:$C$500,"&lt;="&amp;$J864))</f>
        <v/>
      </c>
      <c r="C864">
        <f>IF($J864="","",SUMIFS('Hours Log'!$C:$C,'Hours Log'!$A:$A,"&gt;="&amp;$J864,'Hours Log'!$A:$A,"&lt;"&amp;$J864+7)+SUMIFS('Hours Log'!$D:$D,'Hours Log'!$A:$A,"&gt;="&amp;$J864,'Hours Log'!$A:$A,"&lt;"&amp;$J864+7))</f>
        <v/>
      </c>
      <c r="D864">
        <f>IF($J864="","",SUMIFS('Hours Log'!$D:$D,'Hours Log'!$A:$A,"&gt;="&amp;$J864,'Hours Log'!$A:$A,"&lt;"&amp;$J864+7))</f>
        <v/>
      </c>
      <c r="E864">
        <f>IF($J864="","",IFERROR(C864/(B864*40),0))</f>
        <v/>
      </c>
      <c r="F864">
        <f>IF($J864="","",0)</f>
        <v/>
      </c>
      <c r="G864">
        <f>IF($J864="","",SUMIFS('Hours Log'!$E:$E,'Hours Log'!$A:$A,"&gt;="&amp;$J864,'Hours Log'!$A:$A,"&lt;"&amp;$J864+7))</f>
        <v/>
      </c>
      <c r="J864">
        <f>IF(COUNT('Hours Log'!$A$4:$A$5000)=0,"",IF(MIN('Hours Log'!$A$4:$A$5000)+7*(ROW()-10)&gt;MAX('Hours Log'!$A$4:$A$5000),"",MIN('Hours Log'!$A$4:$A$5000)+7*(ROW()-10)))</f>
        <v/>
      </c>
    </row>
    <row r="865">
      <c r="A865">
        <f>IF($J865="","",YEAR($J865-WEEKDAY($J865,2)+4)&amp;"-W"&amp;TEXT(WEEKNUM($J865,21),"00"))</f>
        <v/>
      </c>
      <c r="B865" s="41">
        <f>IF($J865="","",COUNTIFS(Roster!$D$4:$D$500,"Active",Roster!$C$4:$C$500,"&lt;="&amp;$J865))</f>
        <v/>
      </c>
      <c r="C865">
        <f>IF($J865="","",SUMIFS('Hours Log'!$C:$C,'Hours Log'!$A:$A,"&gt;="&amp;$J865,'Hours Log'!$A:$A,"&lt;"&amp;$J865+7)+SUMIFS('Hours Log'!$D:$D,'Hours Log'!$A:$A,"&gt;="&amp;$J865,'Hours Log'!$A:$A,"&lt;"&amp;$J865+7))</f>
        <v/>
      </c>
      <c r="D865">
        <f>IF($J865="","",SUMIFS('Hours Log'!$D:$D,'Hours Log'!$A:$A,"&gt;="&amp;$J865,'Hours Log'!$A:$A,"&lt;"&amp;$J865+7))</f>
        <v/>
      </c>
      <c r="E865">
        <f>IF($J865="","",IFERROR(C865/(B865*40),0))</f>
        <v/>
      </c>
      <c r="F865">
        <f>IF($J865="","",0)</f>
        <v/>
      </c>
      <c r="G865">
        <f>IF($J865="","",SUMIFS('Hours Log'!$E:$E,'Hours Log'!$A:$A,"&gt;="&amp;$J865,'Hours Log'!$A:$A,"&lt;"&amp;$J865+7))</f>
        <v/>
      </c>
      <c r="J865">
        <f>IF(COUNT('Hours Log'!$A$4:$A$5000)=0,"",IF(MIN('Hours Log'!$A$4:$A$5000)+7*(ROW()-10)&gt;MAX('Hours Log'!$A$4:$A$5000),"",MIN('Hours Log'!$A$4:$A$5000)+7*(ROW()-10)))</f>
        <v/>
      </c>
    </row>
    <row r="866">
      <c r="A866">
        <f>IF($J866="","",YEAR($J866-WEEKDAY($J866,2)+4)&amp;"-W"&amp;TEXT(WEEKNUM($J866,21),"00"))</f>
        <v/>
      </c>
      <c r="B866" s="41">
        <f>IF($J866="","",COUNTIFS(Roster!$D$4:$D$500,"Active",Roster!$C$4:$C$500,"&lt;="&amp;$J866))</f>
        <v/>
      </c>
      <c r="C866">
        <f>IF($J866="","",SUMIFS('Hours Log'!$C:$C,'Hours Log'!$A:$A,"&gt;="&amp;$J866,'Hours Log'!$A:$A,"&lt;"&amp;$J866+7)+SUMIFS('Hours Log'!$D:$D,'Hours Log'!$A:$A,"&gt;="&amp;$J866,'Hours Log'!$A:$A,"&lt;"&amp;$J866+7))</f>
        <v/>
      </c>
      <c r="D866">
        <f>IF($J866="","",SUMIFS('Hours Log'!$D:$D,'Hours Log'!$A:$A,"&gt;="&amp;$J866,'Hours Log'!$A:$A,"&lt;"&amp;$J866+7))</f>
        <v/>
      </c>
      <c r="E866">
        <f>IF($J866="","",IFERROR(C866/(B866*40),0))</f>
        <v/>
      </c>
      <c r="F866">
        <f>IF($J866="","",0)</f>
        <v/>
      </c>
      <c r="G866">
        <f>IF($J866="","",SUMIFS('Hours Log'!$E:$E,'Hours Log'!$A:$A,"&gt;="&amp;$J866,'Hours Log'!$A:$A,"&lt;"&amp;$J866+7))</f>
        <v/>
      </c>
      <c r="J866">
        <f>IF(COUNT('Hours Log'!$A$4:$A$5000)=0,"",IF(MIN('Hours Log'!$A$4:$A$5000)+7*(ROW()-10)&gt;MAX('Hours Log'!$A$4:$A$5000),"",MIN('Hours Log'!$A$4:$A$5000)+7*(ROW()-10)))</f>
        <v/>
      </c>
    </row>
    <row r="867">
      <c r="A867">
        <f>IF($J867="","",YEAR($J867-WEEKDAY($J867,2)+4)&amp;"-W"&amp;TEXT(WEEKNUM($J867,21),"00"))</f>
        <v/>
      </c>
      <c r="B867" s="41">
        <f>IF($J867="","",COUNTIFS(Roster!$D$4:$D$500,"Active",Roster!$C$4:$C$500,"&lt;="&amp;$J867))</f>
        <v/>
      </c>
      <c r="C867">
        <f>IF($J867="","",SUMIFS('Hours Log'!$C:$C,'Hours Log'!$A:$A,"&gt;="&amp;$J867,'Hours Log'!$A:$A,"&lt;"&amp;$J867+7)+SUMIFS('Hours Log'!$D:$D,'Hours Log'!$A:$A,"&gt;="&amp;$J867,'Hours Log'!$A:$A,"&lt;"&amp;$J867+7))</f>
        <v/>
      </c>
      <c r="D867">
        <f>IF($J867="","",SUMIFS('Hours Log'!$D:$D,'Hours Log'!$A:$A,"&gt;="&amp;$J867,'Hours Log'!$A:$A,"&lt;"&amp;$J867+7))</f>
        <v/>
      </c>
      <c r="E867">
        <f>IF($J867="","",IFERROR(C867/(B867*40),0))</f>
        <v/>
      </c>
      <c r="F867">
        <f>IF($J867="","",0)</f>
        <v/>
      </c>
      <c r="G867">
        <f>IF($J867="","",SUMIFS('Hours Log'!$E:$E,'Hours Log'!$A:$A,"&gt;="&amp;$J867,'Hours Log'!$A:$A,"&lt;"&amp;$J867+7))</f>
        <v/>
      </c>
      <c r="J867">
        <f>IF(COUNT('Hours Log'!$A$4:$A$5000)=0,"",IF(MIN('Hours Log'!$A$4:$A$5000)+7*(ROW()-10)&gt;MAX('Hours Log'!$A$4:$A$5000),"",MIN('Hours Log'!$A$4:$A$5000)+7*(ROW()-10)))</f>
        <v/>
      </c>
    </row>
    <row r="868">
      <c r="A868">
        <f>IF($J868="","",YEAR($J868-WEEKDAY($J868,2)+4)&amp;"-W"&amp;TEXT(WEEKNUM($J868,21),"00"))</f>
        <v/>
      </c>
      <c r="B868" s="41">
        <f>IF($J868="","",COUNTIFS(Roster!$D$4:$D$500,"Active",Roster!$C$4:$C$500,"&lt;="&amp;$J868))</f>
        <v/>
      </c>
      <c r="C868">
        <f>IF($J868="","",SUMIFS('Hours Log'!$C:$C,'Hours Log'!$A:$A,"&gt;="&amp;$J868,'Hours Log'!$A:$A,"&lt;"&amp;$J868+7)+SUMIFS('Hours Log'!$D:$D,'Hours Log'!$A:$A,"&gt;="&amp;$J868,'Hours Log'!$A:$A,"&lt;"&amp;$J868+7))</f>
        <v/>
      </c>
      <c r="D868">
        <f>IF($J868="","",SUMIFS('Hours Log'!$D:$D,'Hours Log'!$A:$A,"&gt;="&amp;$J868,'Hours Log'!$A:$A,"&lt;"&amp;$J868+7))</f>
        <v/>
      </c>
      <c r="E868">
        <f>IF($J868="","",IFERROR(C868/(B868*40),0))</f>
        <v/>
      </c>
      <c r="F868">
        <f>IF($J868="","",0)</f>
        <v/>
      </c>
      <c r="G868">
        <f>IF($J868="","",SUMIFS('Hours Log'!$E:$E,'Hours Log'!$A:$A,"&gt;="&amp;$J868,'Hours Log'!$A:$A,"&lt;"&amp;$J868+7))</f>
        <v/>
      </c>
      <c r="J868">
        <f>IF(COUNT('Hours Log'!$A$4:$A$5000)=0,"",IF(MIN('Hours Log'!$A$4:$A$5000)+7*(ROW()-10)&gt;MAX('Hours Log'!$A$4:$A$5000),"",MIN('Hours Log'!$A$4:$A$5000)+7*(ROW()-10)))</f>
        <v/>
      </c>
    </row>
    <row r="869">
      <c r="A869">
        <f>IF($J869="","",YEAR($J869-WEEKDAY($J869,2)+4)&amp;"-W"&amp;TEXT(WEEKNUM($J869,21),"00"))</f>
        <v/>
      </c>
      <c r="B869" s="41">
        <f>IF($J869="","",COUNTIFS(Roster!$D$4:$D$500,"Active",Roster!$C$4:$C$500,"&lt;="&amp;$J869))</f>
        <v/>
      </c>
      <c r="C869">
        <f>IF($J869="","",SUMIFS('Hours Log'!$C:$C,'Hours Log'!$A:$A,"&gt;="&amp;$J869,'Hours Log'!$A:$A,"&lt;"&amp;$J869+7)+SUMIFS('Hours Log'!$D:$D,'Hours Log'!$A:$A,"&gt;="&amp;$J869,'Hours Log'!$A:$A,"&lt;"&amp;$J869+7))</f>
        <v/>
      </c>
      <c r="D869">
        <f>IF($J869="","",SUMIFS('Hours Log'!$D:$D,'Hours Log'!$A:$A,"&gt;="&amp;$J869,'Hours Log'!$A:$A,"&lt;"&amp;$J869+7))</f>
        <v/>
      </c>
      <c r="E869">
        <f>IF($J869="","",IFERROR(C869/(B869*40),0))</f>
        <v/>
      </c>
      <c r="F869">
        <f>IF($J869="","",0)</f>
        <v/>
      </c>
      <c r="G869">
        <f>IF($J869="","",SUMIFS('Hours Log'!$E:$E,'Hours Log'!$A:$A,"&gt;="&amp;$J869,'Hours Log'!$A:$A,"&lt;"&amp;$J869+7))</f>
        <v/>
      </c>
      <c r="J869">
        <f>IF(COUNT('Hours Log'!$A$4:$A$5000)=0,"",IF(MIN('Hours Log'!$A$4:$A$5000)+7*(ROW()-10)&gt;MAX('Hours Log'!$A$4:$A$5000),"",MIN('Hours Log'!$A$4:$A$5000)+7*(ROW()-10)))</f>
        <v/>
      </c>
    </row>
    <row r="870">
      <c r="A870">
        <f>IF($J870="","",YEAR($J870-WEEKDAY($J870,2)+4)&amp;"-W"&amp;TEXT(WEEKNUM($J870,21),"00"))</f>
        <v/>
      </c>
      <c r="B870" s="41">
        <f>IF($J870="","",COUNTIFS(Roster!$D$4:$D$500,"Active",Roster!$C$4:$C$500,"&lt;="&amp;$J870))</f>
        <v/>
      </c>
      <c r="C870">
        <f>IF($J870="","",SUMIFS('Hours Log'!$C:$C,'Hours Log'!$A:$A,"&gt;="&amp;$J870,'Hours Log'!$A:$A,"&lt;"&amp;$J870+7)+SUMIFS('Hours Log'!$D:$D,'Hours Log'!$A:$A,"&gt;="&amp;$J870,'Hours Log'!$A:$A,"&lt;"&amp;$J870+7))</f>
        <v/>
      </c>
      <c r="D870">
        <f>IF($J870="","",SUMIFS('Hours Log'!$D:$D,'Hours Log'!$A:$A,"&gt;="&amp;$J870,'Hours Log'!$A:$A,"&lt;"&amp;$J870+7))</f>
        <v/>
      </c>
      <c r="E870">
        <f>IF($J870="","",IFERROR(C870/(B870*40),0))</f>
        <v/>
      </c>
      <c r="F870">
        <f>IF($J870="","",0)</f>
        <v/>
      </c>
      <c r="G870">
        <f>IF($J870="","",SUMIFS('Hours Log'!$E:$E,'Hours Log'!$A:$A,"&gt;="&amp;$J870,'Hours Log'!$A:$A,"&lt;"&amp;$J870+7))</f>
        <v/>
      </c>
      <c r="J870">
        <f>IF(COUNT('Hours Log'!$A$4:$A$5000)=0,"",IF(MIN('Hours Log'!$A$4:$A$5000)+7*(ROW()-10)&gt;MAX('Hours Log'!$A$4:$A$5000),"",MIN('Hours Log'!$A$4:$A$5000)+7*(ROW()-10)))</f>
        <v/>
      </c>
    </row>
    <row r="871">
      <c r="A871">
        <f>IF($J871="","",YEAR($J871-WEEKDAY($J871,2)+4)&amp;"-W"&amp;TEXT(WEEKNUM($J871,21),"00"))</f>
        <v/>
      </c>
      <c r="B871" s="41">
        <f>IF($J871="","",COUNTIFS(Roster!$D$4:$D$500,"Active",Roster!$C$4:$C$500,"&lt;="&amp;$J871))</f>
        <v/>
      </c>
      <c r="C871">
        <f>IF($J871="","",SUMIFS('Hours Log'!$C:$C,'Hours Log'!$A:$A,"&gt;="&amp;$J871,'Hours Log'!$A:$A,"&lt;"&amp;$J871+7)+SUMIFS('Hours Log'!$D:$D,'Hours Log'!$A:$A,"&gt;="&amp;$J871,'Hours Log'!$A:$A,"&lt;"&amp;$J871+7))</f>
        <v/>
      </c>
      <c r="D871">
        <f>IF($J871="","",SUMIFS('Hours Log'!$D:$D,'Hours Log'!$A:$A,"&gt;="&amp;$J871,'Hours Log'!$A:$A,"&lt;"&amp;$J871+7))</f>
        <v/>
      </c>
      <c r="E871">
        <f>IF($J871="","",IFERROR(C871/(B871*40),0))</f>
        <v/>
      </c>
      <c r="F871">
        <f>IF($J871="","",0)</f>
        <v/>
      </c>
      <c r="G871">
        <f>IF($J871="","",SUMIFS('Hours Log'!$E:$E,'Hours Log'!$A:$A,"&gt;="&amp;$J871,'Hours Log'!$A:$A,"&lt;"&amp;$J871+7))</f>
        <v/>
      </c>
      <c r="J871">
        <f>IF(COUNT('Hours Log'!$A$4:$A$5000)=0,"",IF(MIN('Hours Log'!$A$4:$A$5000)+7*(ROW()-10)&gt;MAX('Hours Log'!$A$4:$A$5000),"",MIN('Hours Log'!$A$4:$A$5000)+7*(ROW()-10)))</f>
        <v/>
      </c>
    </row>
    <row r="872">
      <c r="A872">
        <f>IF($J872="","",YEAR($J872-WEEKDAY($J872,2)+4)&amp;"-W"&amp;TEXT(WEEKNUM($J872,21),"00"))</f>
        <v/>
      </c>
      <c r="B872" s="41">
        <f>IF($J872="","",COUNTIFS(Roster!$D$4:$D$500,"Active",Roster!$C$4:$C$500,"&lt;="&amp;$J872))</f>
        <v/>
      </c>
      <c r="C872">
        <f>IF($J872="","",SUMIFS('Hours Log'!$C:$C,'Hours Log'!$A:$A,"&gt;="&amp;$J872,'Hours Log'!$A:$A,"&lt;"&amp;$J872+7)+SUMIFS('Hours Log'!$D:$D,'Hours Log'!$A:$A,"&gt;="&amp;$J872,'Hours Log'!$A:$A,"&lt;"&amp;$J872+7))</f>
        <v/>
      </c>
      <c r="D872">
        <f>IF($J872="","",SUMIFS('Hours Log'!$D:$D,'Hours Log'!$A:$A,"&gt;="&amp;$J872,'Hours Log'!$A:$A,"&lt;"&amp;$J872+7))</f>
        <v/>
      </c>
      <c r="E872">
        <f>IF($J872="","",IFERROR(C872/(B872*40),0))</f>
        <v/>
      </c>
      <c r="F872">
        <f>IF($J872="","",0)</f>
        <v/>
      </c>
      <c r="G872">
        <f>IF($J872="","",SUMIFS('Hours Log'!$E:$E,'Hours Log'!$A:$A,"&gt;="&amp;$J872,'Hours Log'!$A:$A,"&lt;"&amp;$J872+7))</f>
        <v/>
      </c>
      <c r="J872">
        <f>IF(COUNT('Hours Log'!$A$4:$A$5000)=0,"",IF(MIN('Hours Log'!$A$4:$A$5000)+7*(ROW()-10)&gt;MAX('Hours Log'!$A$4:$A$5000),"",MIN('Hours Log'!$A$4:$A$5000)+7*(ROW()-10)))</f>
        <v/>
      </c>
    </row>
    <row r="873">
      <c r="A873">
        <f>IF($J873="","",YEAR($J873-WEEKDAY($J873,2)+4)&amp;"-W"&amp;TEXT(WEEKNUM($J873,21),"00"))</f>
        <v/>
      </c>
      <c r="B873" s="41">
        <f>IF($J873="","",COUNTIFS(Roster!$D$4:$D$500,"Active",Roster!$C$4:$C$500,"&lt;="&amp;$J873))</f>
        <v/>
      </c>
      <c r="C873">
        <f>IF($J873="","",SUMIFS('Hours Log'!$C:$C,'Hours Log'!$A:$A,"&gt;="&amp;$J873,'Hours Log'!$A:$A,"&lt;"&amp;$J873+7)+SUMIFS('Hours Log'!$D:$D,'Hours Log'!$A:$A,"&gt;="&amp;$J873,'Hours Log'!$A:$A,"&lt;"&amp;$J873+7))</f>
        <v/>
      </c>
      <c r="D873">
        <f>IF($J873="","",SUMIFS('Hours Log'!$D:$D,'Hours Log'!$A:$A,"&gt;="&amp;$J873,'Hours Log'!$A:$A,"&lt;"&amp;$J873+7))</f>
        <v/>
      </c>
      <c r="E873">
        <f>IF($J873="","",IFERROR(C873/(B873*40),0))</f>
        <v/>
      </c>
      <c r="F873">
        <f>IF($J873="","",0)</f>
        <v/>
      </c>
      <c r="G873">
        <f>IF($J873="","",SUMIFS('Hours Log'!$E:$E,'Hours Log'!$A:$A,"&gt;="&amp;$J873,'Hours Log'!$A:$A,"&lt;"&amp;$J873+7))</f>
        <v/>
      </c>
      <c r="J873">
        <f>IF(COUNT('Hours Log'!$A$4:$A$5000)=0,"",IF(MIN('Hours Log'!$A$4:$A$5000)+7*(ROW()-10)&gt;MAX('Hours Log'!$A$4:$A$5000),"",MIN('Hours Log'!$A$4:$A$5000)+7*(ROW()-10)))</f>
        <v/>
      </c>
    </row>
    <row r="874">
      <c r="A874">
        <f>IF($J874="","",YEAR($J874-WEEKDAY($J874,2)+4)&amp;"-W"&amp;TEXT(WEEKNUM($J874,21),"00"))</f>
        <v/>
      </c>
      <c r="B874" s="41">
        <f>IF($J874="","",COUNTIFS(Roster!$D$4:$D$500,"Active",Roster!$C$4:$C$500,"&lt;="&amp;$J874))</f>
        <v/>
      </c>
      <c r="C874">
        <f>IF($J874="","",SUMIFS('Hours Log'!$C:$C,'Hours Log'!$A:$A,"&gt;="&amp;$J874,'Hours Log'!$A:$A,"&lt;"&amp;$J874+7)+SUMIFS('Hours Log'!$D:$D,'Hours Log'!$A:$A,"&gt;="&amp;$J874,'Hours Log'!$A:$A,"&lt;"&amp;$J874+7))</f>
        <v/>
      </c>
      <c r="D874">
        <f>IF($J874="","",SUMIFS('Hours Log'!$D:$D,'Hours Log'!$A:$A,"&gt;="&amp;$J874,'Hours Log'!$A:$A,"&lt;"&amp;$J874+7))</f>
        <v/>
      </c>
      <c r="E874">
        <f>IF($J874="","",IFERROR(C874/(B874*40),0))</f>
        <v/>
      </c>
      <c r="F874">
        <f>IF($J874="","",0)</f>
        <v/>
      </c>
      <c r="G874">
        <f>IF($J874="","",SUMIFS('Hours Log'!$E:$E,'Hours Log'!$A:$A,"&gt;="&amp;$J874,'Hours Log'!$A:$A,"&lt;"&amp;$J874+7))</f>
        <v/>
      </c>
      <c r="J874">
        <f>IF(COUNT('Hours Log'!$A$4:$A$5000)=0,"",IF(MIN('Hours Log'!$A$4:$A$5000)+7*(ROW()-10)&gt;MAX('Hours Log'!$A$4:$A$5000),"",MIN('Hours Log'!$A$4:$A$5000)+7*(ROW()-10)))</f>
        <v/>
      </c>
    </row>
    <row r="875">
      <c r="A875">
        <f>IF($J875="","",YEAR($J875-WEEKDAY($J875,2)+4)&amp;"-W"&amp;TEXT(WEEKNUM($J875,21),"00"))</f>
        <v/>
      </c>
      <c r="B875" s="41">
        <f>IF($J875="","",COUNTIFS(Roster!$D$4:$D$500,"Active",Roster!$C$4:$C$500,"&lt;="&amp;$J875))</f>
        <v/>
      </c>
      <c r="C875">
        <f>IF($J875="","",SUMIFS('Hours Log'!$C:$C,'Hours Log'!$A:$A,"&gt;="&amp;$J875,'Hours Log'!$A:$A,"&lt;"&amp;$J875+7)+SUMIFS('Hours Log'!$D:$D,'Hours Log'!$A:$A,"&gt;="&amp;$J875,'Hours Log'!$A:$A,"&lt;"&amp;$J875+7))</f>
        <v/>
      </c>
      <c r="D875">
        <f>IF($J875="","",SUMIFS('Hours Log'!$D:$D,'Hours Log'!$A:$A,"&gt;="&amp;$J875,'Hours Log'!$A:$A,"&lt;"&amp;$J875+7))</f>
        <v/>
      </c>
      <c r="E875">
        <f>IF($J875="","",IFERROR(C875/(B875*40),0))</f>
        <v/>
      </c>
      <c r="F875">
        <f>IF($J875="","",0)</f>
        <v/>
      </c>
      <c r="G875">
        <f>IF($J875="","",SUMIFS('Hours Log'!$E:$E,'Hours Log'!$A:$A,"&gt;="&amp;$J875,'Hours Log'!$A:$A,"&lt;"&amp;$J875+7))</f>
        <v/>
      </c>
      <c r="J875">
        <f>IF(COUNT('Hours Log'!$A$4:$A$5000)=0,"",IF(MIN('Hours Log'!$A$4:$A$5000)+7*(ROW()-10)&gt;MAX('Hours Log'!$A$4:$A$5000),"",MIN('Hours Log'!$A$4:$A$5000)+7*(ROW()-10)))</f>
        <v/>
      </c>
    </row>
    <row r="876">
      <c r="A876">
        <f>IF($J876="","",YEAR($J876-WEEKDAY($J876,2)+4)&amp;"-W"&amp;TEXT(WEEKNUM($J876,21),"00"))</f>
        <v/>
      </c>
      <c r="B876" s="41">
        <f>IF($J876="","",COUNTIFS(Roster!$D$4:$D$500,"Active",Roster!$C$4:$C$500,"&lt;="&amp;$J876))</f>
        <v/>
      </c>
      <c r="C876">
        <f>IF($J876="","",SUMIFS('Hours Log'!$C:$C,'Hours Log'!$A:$A,"&gt;="&amp;$J876,'Hours Log'!$A:$A,"&lt;"&amp;$J876+7)+SUMIFS('Hours Log'!$D:$D,'Hours Log'!$A:$A,"&gt;="&amp;$J876,'Hours Log'!$A:$A,"&lt;"&amp;$J876+7))</f>
        <v/>
      </c>
      <c r="D876">
        <f>IF($J876="","",SUMIFS('Hours Log'!$D:$D,'Hours Log'!$A:$A,"&gt;="&amp;$J876,'Hours Log'!$A:$A,"&lt;"&amp;$J876+7))</f>
        <v/>
      </c>
      <c r="E876">
        <f>IF($J876="","",IFERROR(C876/(B876*40),0))</f>
        <v/>
      </c>
      <c r="F876">
        <f>IF($J876="","",0)</f>
        <v/>
      </c>
      <c r="G876">
        <f>IF($J876="","",SUMIFS('Hours Log'!$E:$E,'Hours Log'!$A:$A,"&gt;="&amp;$J876,'Hours Log'!$A:$A,"&lt;"&amp;$J876+7))</f>
        <v/>
      </c>
      <c r="J876">
        <f>IF(COUNT('Hours Log'!$A$4:$A$5000)=0,"",IF(MIN('Hours Log'!$A$4:$A$5000)+7*(ROW()-10)&gt;MAX('Hours Log'!$A$4:$A$5000),"",MIN('Hours Log'!$A$4:$A$5000)+7*(ROW()-10)))</f>
        <v/>
      </c>
    </row>
    <row r="877">
      <c r="A877">
        <f>IF($J877="","",YEAR($J877-WEEKDAY($J877,2)+4)&amp;"-W"&amp;TEXT(WEEKNUM($J877,21),"00"))</f>
        <v/>
      </c>
      <c r="B877" s="41">
        <f>IF($J877="","",COUNTIFS(Roster!$D$4:$D$500,"Active",Roster!$C$4:$C$500,"&lt;="&amp;$J877))</f>
        <v/>
      </c>
      <c r="C877">
        <f>IF($J877="","",SUMIFS('Hours Log'!$C:$C,'Hours Log'!$A:$A,"&gt;="&amp;$J877,'Hours Log'!$A:$A,"&lt;"&amp;$J877+7)+SUMIFS('Hours Log'!$D:$D,'Hours Log'!$A:$A,"&gt;="&amp;$J877,'Hours Log'!$A:$A,"&lt;"&amp;$J877+7))</f>
        <v/>
      </c>
      <c r="D877">
        <f>IF($J877="","",SUMIFS('Hours Log'!$D:$D,'Hours Log'!$A:$A,"&gt;="&amp;$J877,'Hours Log'!$A:$A,"&lt;"&amp;$J877+7))</f>
        <v/>
      </c>
      <c r="E877">
        <f>IF($J877="","",IFERROR(C877/(B877*40),0))</f>
        <v/>
      </c>
      <c r="F877">
        <f>IF($J877="","",0)</f>
        <v/>
      </c>
      <c r="G877">
        <f>IF($J877="","",SUMIFS('Hours Log'!$E:$E,'Hours Log'!$A:$A,"&gt;="&amp;$J877,'Hours Log'!$A:$A,"&lt;"&amp;$J877+7))</f>
        <v/>
      </c>
      <c r="J877">
        <f>IF(COUNT('Hours Log'!$A$4:$A$5000)=0,"",IF(MIN('Hours Log'!$A$4:$A$5000)+7*(ROW()-10)&gt;MAX('Hours Log'!$A$4:$A$5000),"",MIN('Hours Log'!$A$4:$A$5000)+7*(ROW()-10)))</f>
        <v/>
      </c>
    </row>
    <row r="878">
      <c r="A878">
        <f>IF($J878="","",YEAR($J878-WEEKDAY($J878,2)+4)&amp;"-W"&amp;TEXT(WEEKNUM($J878,21),"00"))</f>
        <v/>
      </c>
      <c r="B878" s="41">
        <f>IF($J878="","",COUNTIFS(Roster!$D$4:$D$500,"Active",Roster!$C$4:$C$500,"&lt;="&amp;$J878))</f>
        <v/>
      </c>
      <c r="C878">
        <f>IF($J878="","",SUMIFS('Hours Log'!$C:$C,'Hours Log'!$A:$A,"&gt;="&amp;$J878,'Hours Log'!$A:$A,"&lt;"&amp;$J878+7)+SUMIFS('Hours Log'!$D:$D,'Hours Log'!$A:$A,"&gt;="&amp;$J878,'Hours Log'!$A:$A,"&lt;"&amp;$J878+7))</f>
        <v/>
      </c>
      <c r="D878">
        <f>IF($J878="","",SUMIFS('Hours Log'!$D:$D,'Hours Log'!$A:$A,"&gt;="&amp;$J878,'Hours Log'!$A:$A,"&lt;"&amp;$J878+7))</f>
        <v/>
      </c>
      <c r="E878">
        <f>IF($J878="","",IFERROR(C878/(B878*40),0))</f>
        <v/>
      </c>
      <c r="F878">
        <f>IF($J878="","",0)</f>
        <v/>
      </c>
      <c r="G878">
        <f>IF($J878="","",SUMIFS('Hours Log'!$E:$E,'Hours Log'!$A:$A,"&gt;="&amp;$J878,'Hours Log'!$A:$A,"&lt;"&amp;$J878+7))</f>
        <v/>
      </c>
      <c r="J878">
        <f>IF(COUNT('Hours Log'!$A$4:$A$5000)=0,"",IF(MIN('Hours Log'!$A$4:$A$5000)+7*(ROW()-10)&gt;MAX('Hours Log'!$A$4:$A$5000),"",MIN('Hours Log'!$A$4:$A$5000)+7*(ROW()-10)))</f>
        <v/>
      </c>
    </row>
    <row r="879">
      <c r="A879">
        <f>IF($J879="","",YEAR($J879-WEEKDAY($J879,2)+4)&amp;"-W"&amp;TEXT(WEEKNUM($J879,21),"00"))</f>
        <v/>
      </c>
      <c r="B879" s="41">
        <f>IF($J879="","",COUNTIFS(Roster!$D$4:$D$500,"Active",Roster!$C$4:$C$500,"&lt;="&amp;$J879))</f>
        <v/>
      </c>
      <c r="C879">
        <f>IF($J879="","",SUMIFS('Hours Log'!$C:$C,'Hours Log'!$A:$A,"&gt;="&amp;$J879,'Hours Log'!$A:$A,"&lt;"&amp;$J879+7)+SUMIFS('Hours Log'!$D:$D,'Hours Log'!$A:$A,"&gt;="&amp;$J879,'Hours Log'!$A:$A,"&lt;"&amp;$J879+7))</f>
        <v/>
      </c>
      <c r="D879">
        <f>IF($J879="","",SUMIFS('Hours Log'!$D:$D,'Hours Log'!$A:$A,"&gt;="&amp;$J879,'Hours Log'!$A:$A,"&lt;"&amp;$J879+7))</f>
        <v/>
      </c>
      <c r="E879">
        <f>IF($J879="","",IFERROR(C879/(B879*40),0))</f>
        <v/>
      </c>
      <c r="F879">
        <f>IF($J879="","",0)</f>
        <v/>
      </c>
      <c r="G879">
        <f>IF($J879="","",SUMIFS('Hours Log'!$E:$E,'Hours Log'!$A:$A,"&gt;="&amp;$J879,'Hours Log'!$A:$A,"&lt;"&amp;$J879+7))</f>
        <v/>
      </c>
      <c r="J879">
        <f>IF(COUNT('Hours Log'!$A$4:$A$5000)=0,"",IF(MIN('Hours Log'!$A$4:$A$5000)+7*(ROW()-10)&gt;MAX('Hours Log'!$A$4:$A$5000),"",MIN('Hours Log'!$A$4:$A$5000)+7*(ROW()-10)))</f>
        <v/>
      </c>
    </row>
    <row r="880">
      <c r="A880">
        <f>IF($J880="","",YEAR($J880-WEEKDAY($J880,2)+4)&amp;"-W"&amp;TEXT(WEEKNUM($J880,21),"00"))</f>
        <v/>
      </c>
      <c r="B880" s="41">
        <f>IF($J880="","",COUNTIFS(Roster!$D$4:$D$500,"Active",Roster!$C$4:$C$500,"&lt;="&amp;$J880))</f>
        <v/>
      </c>
      <c r="C880">
        <f>IF($J880="","",SUMIFS('Hours Log'!$C:$C,'Hours Log'!$A:$A,"&gt;="&amp;$J880,'Hours Log'!$A:$A,"&lt;"&amp;$J880+7)+SUMIFS('Hours Log'!$D:$D,'Hours Log'!$A:$A,"&gt;="&amp;$J880,'Hours Log'!$A:$A,"&lt;"&amp;$J880+7))</f>
        <v/>
      </c>
      <c r="D880">
        <f>IF($J880="","",SUMIFS('Hours Log'!$D:$D,'Hours Log'!$A:$A,"&gt;="&amp;$J880,'Hours Log'!$A:$A,"&lt;"&amp;$J880+7))</f>
        <v/>
      </c>
      <c r="E880">
        <f>IF($J880="","",IFERROR(C880/(B880*40),0))</f>
        <v/>
      </c>
      <c r="F880">
        <f>IF($J880="","",0)</f>
        <v/>
      </c>
      <c r="G880">
        <f>IF($J880="","",SUMIFS('Hours Log'!$E:$E,'Hours Log'!$A:$A,"&gt;="&amp;$J880,'Hours Log'!$A:$A,"&lt;"&amp;$J880+7))</f>
        <v/>
      </c>
      <c r="J880">
        <f>IF(COUNT('Hours Log'!$A$4:$A$5000)=0,"",IF(MIN('Hours Log'!$A$4:$A$5000)+7*(ROW()-10)&gt;MAX('Hours Log'!$A$4:$A$5000),"",MIN('Hours Log'!$A$4:$A$5000)+7*(ROW()-10)))</f>
        <v/>
      </c>
    </row>
    <row r="881">
      <c r="A881">
        <f>IF($J881="","",YEAR($J881-WEEKDAY($J881,2)+4)&amp;"-W"&amp;TEXT(WEEKNUM($J881,21),"00"))</f>
        <v/>
      </c>
      <c r="B881" s="41">
        <f>IF($J881="","",COUNTIFS(Roster!$D$4:$D$500,"Active",Roster!$C$4:$C$500,"&lt;="&amp;$J881))</f>
        <v/>
      </c>
      <c r="C881">
        <f>IF($J881="","",SUMIFS('Hours Log'!$C:$C,'Hours Log'!$A:$A,"&gt;="&amp;$J881,'Hours Log'!$A:$A,"&lt;"&amp;$J881+7)+SUMIFS('Hours Log'!$D:$D,'Hours Log'!$A:$A,"&gt;="&amp;$J881,'Hours Log'!$A:$A,"&lt;"&amp;$J881+7))</f>
        <v/>
      </c>
      <c r="D881">
        <f>IF($J881="","",SUMIFS('Hours Log'!$D:$D,'Hours Log'!$A:$A,"&gt;="&amp;$J881,'Hours Log'!$A:$A,"&lt;"&amp;$J881+7))</f>
        <v/>
      </c>
      <c r="E881">
        <f>IF($J881="","",IFERROR(C881/(B881*40),0))</f>
        <v/>
      </c>
      <c r="F881">
        <f>IF($J881="","",0)</f>
        <v/>
      </c>
      <c r="G881">
        <f>IF($J881="","",SUMIFS('Hours Log'!$E:$E,'Hours Log'!$A:$A,"&gt;="&amp;$J881,'Hours Log'!$A:$A,"&lt;"&amp;$J881+7))</f>
        <v/>
      </c>
      <c r="J881">
        <f>IF(COUNT('Hours Log'!$A$4:$A$5000)=0,"",IF(MIN('Hours Log'!$A$4:$A$5000)+7*(ROW()-10)&gt;MAX('Hours Log'!$A$4:$A$5000),"",MIN('Hours Log'!$A$4:$A$5000)+7*(ROW()-10)))</f>
        <v/>
      </c>
    </row>
    <row r="882">
      <c r="A882">
        <f>IF($J882="","",YEAR($J882-WEEKDAY($J882,2)+4)&amp;"-W"&amp;TEXT(WEEKNUM($J882,21),"00"))</f>
        <v/>
      </c>
      <c r="B882" s="41">
        <f>IF($J882="","",COUNTIFS(Roster!$D$4:$D$500,"Active",Roster!$C$4:$C$500,"&lt;="&amp;$J882))</f>
        <v/>
      </c>
      <c r="C882">
        <f>IF($J882="","",SUMIFS('Hours Log'!$C:$C,'Hours Log'!$A:$A,"&gt;="&amp;$J882,'Hours Log'!$A:$A,"&lt;"&amp;$J882+7)+SUMIFS('Hours Log'!$D:$D,'Hours Log'!$A:$A,"&gt;="&amp;$J882,'Hours Log'!$A:$A,"&lt;"&amp;$J882+7))</f>
        <v/>
      </c>
      <c r="D882">
        <f>IF($J882="","",SUMIFS('Hours Log'!$D:$D,'Hours Log'!$A:$A,"&gt;="&amp;$J882,'Hours Log'!$A:$A,"&lt;"&amp;$J882+7))</f>
        <v/>
      </c>
      <c r="E882">
        <f>IF($J882="","",IFERROR(C882/(B882*40),0))</f>
        <v/>
      </c>
      <c r="F882">
        <f>IF($J882="","",0)</f>
        <v/>
      </c>
      <c r="G882">
        <f>IF($J882="","",SUMIFS('Hours Log'!$E:$E,'Hours Log'!$A:$A,"&gt;="&amp;$J882,'Hours Log'!$A:$A,"&lt;"&amp;$J882+7))</f>
        <v/>
      </c>
      <c r="J882">
        <f>IF(COUNT('Hours Log'!$A$4:$A$5000)=0,"",IF(MIN('Hours Log'!$A$4:$A$5000)+7*(ROW()-10)&gt;MAX('Hours Log'!$A$4:$A$5000),"",MIN('Hours Log'!$A$4:$A$5000)+7*(ROW()-10)))</f>
        <v/>
      </c>
    </row>
    <row r="883">
      <c r="A883">
        <f>IF($J883="","",YEAR($J883-WEEKDAY($J883,2)+4)&amp;"-W"&amp;TEXT(WEEKNUM($J883,21),"00"))</f>
        <v/>
      </c>
      <c r="B883" s="41">
        <f>IF($J883="","",COUNTIFS(Roster!$D$4:$D$500,"Active",Roster!$C$4:$C$500,"&lt;="&amp;$J883))</f>
        <v/>
      </c>
      <c r="C883">
        <f>IF($J883="","",SUMIFS('Hours Log'!$C:$C,'Hours Log'!$A:$A,"&gt;="&amp;$J883,'Hours Log'!$A:$A,"&lt;"&amp;$J883+7)+SUMIFS('Hours Log'!$D:$D,'Hours Log'!$A:$A,"&gt;="&amp;$J883,'Hours Log'!$A:$A,"&lt;"&amp;$J883+7))</f>
        <v/>
      </c>
      <c r="D883">
        <f>IF($J883="","",SUMIFS('Hours Log'!$D:$D,'Hours Log'!$A:$A,"&gt;="&amp;$J883,'Hours Log'!$A:$A,"&lt;"&amp;$J883+7))</f>
        <v/>
      </c>
      <c r="E883">
        <f>IF($J883="","",IFERROR(C883/(B883*40),0))</f>
        <v/>
      </c>
      <c r="F883">
        <f>IF($J883="","",0)</f>
        <v/>
      </c>
      <c r="G883">
        <f>IF($J883="","",SUMIFS('Hours Log'!$E:$E,'Hours Log'!$A:$A,"&gt;="&amp;$J883,'Hours Log'!$A:$A,"&lt;"&amp;$J883+7))</f>
        <v/>
      </c>
      <c r="J883">
        <f>IF(COUNT('Hours Log'!$A$4:$A$5000)=0,"",IF(MIN('Hours Log'!$A$4:$A$5000)+7*(ROW()-10)&gt;MAX('Hours Log'!$A$4:$A$5000),"",MIN('Hours Log'!$A$4:$A$5000)+7*(ROW()-10)))</f>
        <v/>
      </c>
    </row>
    <row r="884">
      <c r="A884">
        <f>IF($J884="","",YEAR($J884-WEEKDAY($J884,2)+4)&amp;"-W"&amp;TEXT(WEEKNUM($J884,21),"00"))</f>
        <v/>
      </c>
      <c r="B884" s="41">
        <f>IF($J884="","",COUNTIFS(Roster!$D$4:$D$500,"Active",Roster!$C$4:$C$500,"&lt;="&amp;$J884))</f>
        <v/>
      </c>
      <c r="C884">
        <f>IF($J884="","",SUMIFS('Hours Log'!$C:$C,'Hours Log'!$A:$A,"&gt;="&amp;$J884,'Hours Log'!$A:$A,"&lt;"&amp;$J884+7)+SUMIFS('Hours Log'!$D:$D,'Hours Log'!$A:$A,"&gt;="&amp;$J884,'Hours Log'!$A:$A,"&lt;"&amp;$J884+7))</f>
        <v/>
      </c>
      <c r="D884">
        <f>IF($J884="","",SUMIFS('Hours Log'!$D:$D,'Hours Log'!$A:$A,"&gt;="&amp;$J884,'Hours Log'!$A:$A,"&lt;"&amp;$J884+7))</f>
        <v/>
      </c>
      <c r="E884">
        <f>IF($J884="","",IFERROR(C884/(B884*40),0))</f>
        <v/>
      </c>
      <c r="F884">
        <f>IF($J884="","",0)</f>
        <v/>
      </c>
      <c r="G884">
        <f>IF($J884="","",SUMIFS('Hours Log'!$E:$E,'Hours Log'!$A:$A,"&gt;="&amp;$J884,'Hours Log'!$A:$A,"&lt;"&amp;$J884+7))</f>
        <v/>
      </c>
      <c r="J884">
        <f>IF(COUNT('Hours Log'!$A$4:$A$5000)=0,"",IF(MIN('Hours Log'!$A$4:$A$5000)+7*(ROW()-10)&gt;MAX('Hours Log'!$A$4:$A$5000),"",MIN('Hours Log'!$A$4:$A$5000)+7*(ROW()-10)))</f>
        <v/>
      </c>
    </row>
    <row r="885">
      <c r="A885">
        <f>IF($J885="","",YEAR($J885-WEEKDAY($J885,2)+4)&amp;"-W"&amp;TEXT(WEEKNUM($J885,21),"00"))</f>
        <v/>
      </c>
      <c r="B885" s="41">
        <f>IF($J885="","",COUNTIFS(Roster!$D$4:$D$500,"Active",Roster!$C$4:$C$500,"&lt;="&amp;$J885))</f>
        <v/>
      </c>
      <c r="C885">
        <f>IF($J885="","",SUMIFS('Hours Log'!$C:$C,'Hours Log'!$A:$A,"&gt;="&amp;$J885,'Hours Log'!$A:$A,"&lt;"&amp;$J885+7)+SUMIFS('Hours Log'!$D:$D,'Hours Log'!$A:$A,"&gt;="&amp;$J885,'Hours Log'!$A:$A,"&lt;"&amp;$J885+7))</f>
        <v/>
      </c>
      <c r="D885">
        <f>IF($J885="","",SUMIFS('Hours Log'!$D:$D,'Hours Log'!$A:$A,"&gt;="&amp;$J885,'Hours Log'!$A:$A,"&lt;"&amp;$J885+7))</f>
        <v/>
      </c>
      <c r="E885">
        <f>IF($J885="","",IFERROR(C885/(B885*40),0))</f>
        <v/>
      </c>
      <c r="F885">
        <f>IF($J885="","",0)</f>
        <v/>
      </c>
      <c r="G885">
        <f>IF($J885="","",SUMIFS('Hours Log'!$E:$E,'Hours Log'!$A:$A,"&gt;="&amp;$J885,'Hours Log'!$A:$A,"&lt;"&amp;$J885+7))</f>
        <v/>
      </c>
      <c r="J885">
        <f>IF(COUNT('Hours Log'!$A$4:$A$5000)=0,"",IF(MIN('Hours Log'!$A$4:$A$5000)+7*(ROW()-10)&gt;MAX('Hours Log'!$A$4:$A$5000),"",MIN('Hours Log'!$A$4:$A$5000)+7*(ROW()-10)))</f>
        <v/>
      </c>
    </row>
    <row r="886">
      <c r="A886">
        <f>IF($J886="","",YEAR($J886-WEEKDAY($J886,2)+4)&amp;"-W"&amp;TEXT(WEEKNUM($J886,21),"00"))</f>
        <v/>
      </c>
      <c r="B886" s="41">
        <f>IF($J886="","",COUNTIFS(Roster!$D$4:$D$500,"Active",Roster!$C$4:$C$500,"&lt;="&amp;$J886))</f>
        <v/>
      </c>
      <c r="C886">
        <f>IF($J886="","",SUMIFS('Hours Log'!$C:$C,'Hours Log'!$A:$A,"&gt;="&amp;$J886,'Hours Log'!$A:$A,"&lt;"&amp;$J886+7)+SUMIFS('Hours Log'!$D:$D,'Hours Log'!$A:$A,"&gt;="&amp;$J886,'Hours Log'!$A:$A,"&lt;"&amp;$J886+7))</f>
        <v/>
      </c>
      <c r="D886">
        <f>IF($J886="","",SUMIFS('Hours Log'!$D:$D,'Hours Log'!$A:$A,"&gt;="&amp;$J886,'Hours Log'!$A:$A,"&lt;"&amp;$J886+7))</f>
        <v/>
      </c>
      <c r="E886">
        <f>IF($J886="","",IFERROR(C886/(B886*40),0))</f>
        <v/>
      </c>
      <c r="F886">
        <f>IF($J886="","",0)</f>
        <v/>
      </c>
      <c r="G886">
        <f>IF($J886="","",SUMIFS('Hours Log'!$E:$E,'Hours Log'!$A:$A,"&gt;="&amp;$J886,'Hours Log'!$A:$A,"&lt;"&amp;$J886+7))</f>
        <v/>
      </c>
      <c r="J886">
        <f>IF(COUNT('Hours Log'!$A$4:$A$5000)=0,"",IF(MIN('Hours Log'!$A$4:$A$5000)+7*(ROW()-10)&gt;MAX('Hours Log'!$A$4:$A$5000),"",MIN('Hours Log'!$A$4:$A$5000)+7*(ROW()-10)))</f>
        <v/>
      </c>
    </row>
    <row r="887">
      <c r="A887">
        <f>IF($J887="","",YEAR($J887-WEEKDAY($J887,2)+4)&amp;"-W"&amp;TEXT(WEEKNUM($J887,21),"00"))</f>
        <v/>
      </c>
      <c r="B887" s="41">
        <f>IF($J887="","",COUNTIFS(Roster!$D$4:$D$500,"Active",Roster!$C$4:$C$500,"&lt;="&amp;$J887))</f>
        <v/>
      </c>
      <c r="C887">
        <f>IF($J887="","",SUMIFS('Hours Log'!$C:$C,'Hours Log'!$A:$A,"&gt;="&amp;$J887,'Hours Log'!$A:$A,"&lt;"&amp;$J887+7)+SUMIFS('Hours Log'!$D:$D,'Hours Log'!$A:$A,"&gt;="&amp;$J887,'Hours Log'!$A:$A,"&lt;"&amp;$J887+7))</f>
        <v/>
      </c>
      <c r="D887">
        <f>IF($J887="","",SUMIFS('Hours Log'!$D:$D,'Hours Log'!$A:$A,"&gt;="&amp;$J887,'Hours Log'!$A:$A,"&lt;"&amp;$J887+7))</f>
        <v/>
      </c>
      <c r="E887">
        <f>IF($J887="","",IFERROR(C887/(B887*40),0))</f>
        <v/>
      </c>
      <c r="F887">
        <f>IF($J887="","",0)</f>
        <v/>
      </c>
      <c r="G887">
        <f>IF($J887="","",SUMIFS('Hours Log'!$E:$E,'Hours Log'!$A:$A,"&gt;="&amp;$J887,'Hours Log'!$A:$A,"&lt;"&amp;$J887+7))</f>
        <v/>
      </c>
      <c r="J887">
        <f>IF(COUNT('Hours Log'!$A$4:$A$5000)=0,"",IF(MIN('Hours Log'!$A$4:$A$5000)+7*(ROW()-10)&gt;MAX('Hours Log'!$A$4:$A$5000),"",MIN('Hours Log'!$A$4:$A$5000)+7*(ROW()-10)))</f>
        <v/>
      </c>
    </row>
    <row r="888">
      <c r="A888">
        <f>IF($J888="","",YEAR($J888-WEEKDAY($J888,2)+4)&amp;"-W"&amp;TEXT(WEEKNUM($J888,21),"00"))</f>
        <v/>
      </c>
      <c r="B888" s="41">
        <f>IF($J888="","",COUNTIFS(Roster!$D$4:$D$500,"Active",Roster!$C$4:$C$500,"&lt;="&amp;$J888))</f>
        <v/>
      </c>
      <c r="C888">
        <f>IF($J888="","",SUMIFS('Hours Log'!$C:$C,'Hours Log'!$A:$A,"&gt;="&amp;$J888,'Hours Log'!$A:$A,"&lt;"&amp;$J888+7)+SUMIFS('Hours Log'!$D:$D,'Hours Log'!$A:$A,"&gt;="&amp;$J888,'Hours Log'!$A:$A,"&lt;"&amp;$J888+7))</f>
        <v/>
      </c>
      <c r="D888">
        <f>IF($J888="","",SUMIFS('Hours Log'!$D:$D,'Hours Log'!$A:$A,"&gt;="&amp;$J888,'Hours Log'!$A:$A,"&lt;"&amp;$J888+7))</f>
        <v/>
      </c>
      <c r="E888">
        <f>IF($J888="","",IFERROR(C888/(B888*40),0))</f>
        <v/>
      </c>
      <c r="F888">
        <f>IF($J888="","",0)</f>
        <v/>
      </c>
      <c r="G888">
        <f>IF($J888="","",SUMIFS('Hours Log'!$E:$E,'Hours Log'!$A:$A,"&gt;="&amp;$J888,'Hours Log'!$A:$A,"&lt;"&amp;$J888+7))</f>
        <v/>
      </c>
      <c r="J888">
        <f>IF(COUNT('Hours Log'!$A$4:$A$5000)=0,"",IF(MIN('Hours Log'!$A$4:$A$5000)+7*(ROW()-10)&gt;MAX('Hours Log'!$A$4:$A$5000),"",MIN('Hours Log'!$A$4:$A$5000)+7*(ROW()-10)))</f>
        <v/>
      </c>
    </row>
    <row r="889">
      <c r="A889">
        <f>IF($J889="","",YEAR($J889-WEEKDAY($J889,2)+4)&amp;"-W"&amp;TEXT(WEEKNUM($J889,21),"00"))</f>
        <v/>
      </c>
      <c r="B889" s="41">
        <f>IF($J889="","",COUNTIFS(Roster!$D$4:$D$500,"Active",Roster!$C$4:$C$500,"&lt;="&amp;$J889))</f>
        <v/>
      </c>
      <c r="C889">
        <f>IF($J889="","",SUMIFS('Hours Log'!$C:$C,'Hours Log'!$A:$A,"&gt;="&amp;$J889,'Hours Log'!$A:$A,"&lt;"&amp;$J889+7)+SUMIFS('Hours Log'!$D:$D,'Hours Log'!$A:$A,"&gt;="&amp;$J889,'Hours Log'!$A:$A,"&lt;"&amp;$J889+7))</f>
        <v/>
      </c>
      <c r="D889">
        <f>IF($J889="","",SUMIFS('Hours Log'!$D:$D,'Hours Log'!$A:$A,"&gt;="&amp;$J889,'Hours Log'!$A:$A,"&lt;"&amp;$J889+7))</f>
        <v/>
      </c>
      <c r="E889">
        <f>IF($J889="","",IFERROR(C889/(B889*40),0))</f>
        <v/>
      </c>
      <c r="F889">
        <f>IF($J889="","",0)</f>
        <v/>
      </c>
      <c r="G889">
        <f>IF($J889="","",SUMIFS('Hours Log'!$E:$E,'Hours Log'!$A:$A,"&gt;="&amp;$J889,'Hours Log'!$A:$A,"&lt;"&amp;$J889+7))</f>
        <v/>
      </c>
      <c r="J889">
        <f>IF(COUNT('Hours Log'!$A$4:$A$5000)=0,"",IF(MIN('Hours Log'!$A$4:$A$5000)+7*(ROW()-10)&gt;MAX('Hours Log'!$A$4:$A$5000),"",MIN('Hours Log'!$A$4:$A$5000)+7*(ROW()-10)))</f>
        <v/>
      </c>
    </row>
    <row r="890">
      <c r="A890">
        <f>IF($J890="","",YEAR($J890-WEEKDAY($J890,2)+4)&amp;"-W"&amp;TEXT(WEEKNUM($J890,21),"00"))</f>
        <v/>
      </c>
      <c r="B890" s="41">
        <f>IF($J890="","",COUNTIFS(Roster!$D$4:$D$500,"Active",Roster!$C$4:$C$500,"&lt;="&amp;$J890))</f>
        <v/>
      </c>
      <c r="C890">
        <f>IF($J890="","",SUMIFS('Hours Log'!$C:$C,'Hours Log'!$A:$A,"&gt;="&amp;$J890,'Hours Log'!$A:$A,"&lt;"&amp;$J890+7)+SUMIFS('Hours Log'!$D:$D,'Hours Log'!$A:$A,"&gt;="&amp;$J890,'Hours Log'!$A:$A,"&lt;"&amp;$J890+7))</f>
        <v/>
      </c>
      <c r="D890">
        <f>IF($J890="","",SUMIFS('Hours Log'!$D:$D,'Hours Log'!$A:$A,"&gt;="&amp;$J890,'Hours Log'!$A:$A,"&lt;"&amp;$J890+7))</f>
        <v/>
      </c>
      <c r="E890">
        <f>IF($J890="","",IFERROR(C890/(B890*40),0))</f>
        <v/>
      </c>
      <c r="F890">
        <f>IF($J890="","",0)</f>
        <v/>
      </c>
      <c r="G890">
        <f>IF($J890="","",SUMIFS('Hours Log'!$E:$E,'Hours Log'!$A:$A,"&gt;="&amp;$J890,'Hours Log'!$A:$A,"&lt;"&amp;$J890+7))</f>
        <v/>
      </c>
      <c r="J890">
        <f>IF(COUNT('Hours Log'!$A$4:$A$5000)=0,"",IF(MIN('Hours Log'!$A$4:$A$5000)+7*(ROW()-10)&gt;MAX('Hours Log'!$A$4:$A$5000),"",MIN('Hours Log'!$A$4:$A$5000)+7*(ROW()-10)))</f>
        <v/>
      </c>
    </row>
    <row r="891">
      <c r="A891">
        <f>IF($J891="","",YEAR($J891-WEEKDAY($J891,2)+4)&amp;"-W"&amp;TEXT(WEEKNUM($J891,21),"00"))</f>
        <v/>
      </c>
      <c r="B891" s="41">
        <f>IF($J891="","",COUNTIFS(Roster!$D$4:$D$500,"Active",Roster!$C$4:$C$500,"&lt;="&amp;$J891))</f>
        <v/>
      </c>
      <c r="C891">
        <f>IF($J891="","",SUMIFS('Hours Log'!$C:$C,'Hours Log'!$A:$A,"&gt;="&amp;$J891,'Hours Log'!$A:$A,"&lt;"&amp;$J891+7)+SUMIFS('Hours Log'!$D:$D,'Hours Log'!$A:$A,"&gt;="&amp;$J891,'Hours Log'!$A:$A,"&lt;"&amp;$J891+7))</f>
        <v/>
      </c>
      <c r="D891">
        <f>IF($J891="","",SUMIFS('Hours Log'!$D:$D,'Hours Log'!$A:$A,"&gt;="&amp;$J891,'Hours Log'!$A:$A,"&lt;"&amp;$J891+7))</f>
        <v/>
      </c>
      <c r="E891">
        <f>IF($J891="","",IFERROR(C891/(B891*40),0))</f>
        <v/>
      </c>
      <c r="F891">
        <f>IF($J891="","",0)</f>
        <v/>
      </c>
      <c r="G891">
        <f>IF($J891="","",SUMIFS('Hours Log'!$E:$E,'Hours Log'!$A:$A,"&gt;="&amp;$J891,'Hours Log'!$A:$A,"&lt;"&amp;$J891+7))</f>
        <v/>
      </c>
      <c r="J891">
        <f>IF(COUNT('Hours Log'!$A$4:$A$5000)=0,"",IF(MIN('Hours Log'!$A$4:$A$5000)+7*(ROW()-10)&gt;MAX('Hours Log'!$A$4:$A$5000),"",MIN('Hours Log'!$A$4:$A$5000)+7*(ROW()-10)))</f>
        <v/>
      </c>
    </row>
    <row r="892">
      <c r="A892">
        <f>IF($J892="","",YEAR($J892-WEEKDAY($J892,2)+4)&amp;"-W"&amp;TEXT(WEEKNUM($J892,21),"00"))</f>
        <v/>
      </c>
      <c r="B892" s="41">
        <f>IF($J892="","",COUNTIFS(Roster!$D$4:$D$500,"Active",Roster!$C$4:$C$500,"&lt;="&amp;$J892))</f>
        <v/>
      </c>
      <c r="C892">
        <f>IF($J892="","",SUMIFS('Hours Log'!$C:$C,'Hours Log'!$A:$A,"&gt;="&amp;$J892,'Hours Log'!$A:$A,"&lt;"&amp;$J892+7)+SUMIFS('Hours Log'!$D:$D,'Hours Log'!$A:$A,"&gt;="&amp;$J892,'Hours Log'!$A:$A,"&lt;"&amp;$J892+7))</f>
        <v/>
      </c>
      <c r="D892">
        <f>IF($J892="","",SUMIFS('Hours Log'!$D:$D,'Hours Log'!$A:$A,"&gt;="&amp;$J892,'Hours Log'!$A:$A,"&lt;"&amp;$J892+7))</f>
        <v/>
      </c>
      <c r="E892">
        <f>IF($J892="","",IFERROR(C892/(B892*40),0))</f>
        <v/>
      </c>
      <c r="F892">
        <f>IF($J892="","",0)</f>
        <v/>
      </c>
      <c r="G892">
        <f>IF($J892="","",SUMIFS('Hours Log'!$E:$E,'Hours Log'!$A:$A,"&gt;="&amp;$J892,'Hours Log'!$A:$A,"&lt;"&amp;$J892+7))</f>
        <v/>
      </c>
      <c r="J892">
        <f>IF(COUNT('Hours Log'!$A$4:$A$5000)=0,"",IF(MIN('Hours Log'!$A$4:$A$5000)+7*(ROW()-10)&gt;MAX('Hours Log'!$A$4:$A$5000),"",MIN('Hours Log'!$A$4:$A$5000)+7*(ROW()-10)))</f>
        <v/>
      </c>
    </row>
    <row r="893">
      <c r="A893">
        <f>IF($J893="","",YEAR($J893-WEEKDAY($J893,2)+4)&amp;"-W"&amp;TEXT(WEEKNUM($J893,21),"00"))</f>
        <v/>
      </c>
      <c r="B893" s="41">
        <f>IF($J893="","",COUNTIFS(Roster!$D$4:$D$500,"Active",Roster!$C$4:$C$500,"&lt;="&amp;$J893))</f>
        <v/>
      </c>
      <c r="C893">
        <f>IF($J893="","",SUMIFS('Hours Log'!$C:$C,'Hours Log'!$A:$A,"&gt;="&amp;$J893,'Hours Log'!$A:$A,"&lt;"&amp;$J893+7)+SUMIFS('Hours Log'!$D:$D,'Hours Log'!$A:$A,"&gt;="&amp;$J893,'Hours Log'!$A:$A,"&lt;"&amp;$J893+7))</f>
        <v/>
      </c>
      <c r="D893">
        <f>IF($J893="","",SUMIFS('Hours Log'!$D:$D,'Hours Log'!$A:$A,"&gt;="&amp;$J893,'Hours Log'!$A:$A,"&lt;"&amp;$J893+7))</f>
        <v/>
      </c>
      <c r="E893">
        <f>IF($J893="","",IFERROR(C893/(B893*40),0))</f>
        <v/>
      </c>
      <c r="F893">
        <f>IF($J893="","",0)</f>
        <v/>
      </c>
      <c r="G893">
        <f>IF($J893="","",SUMIFS('Hours Log'!$E:$E,'Hours Log'!$A:$A,"&gt;="&amp;$J893,'Hours Log'!$A:$A,"&lt;"&amp;$J893+7))</f>
        <v/>
      </c>
      <c r="J893">
        <f>IF(COUNT('Hours Log'!$A$4:$A$5000)=0,"",IF(MIN('Hours Log'!$A$4:$A$5000)+7*(ROW()-10)&gt;MAX('Hours Log'!$A$4:$A$5000),"",MIN('Hours Log'!$A$4:$A$5000)+7*(ROW()-10)))</f>
        <v/>
      </c>
    </row>
    <row r="894">
      <c r="A894">
        <f>IF($J894="","",YEAR($J894-WEEKDAY($J894,2)+4)&amp;"-W"&amp;TEXT(WEEKNUM($J894,21),"00"))</f>
        <v/>
      </c>
      <c r="B894" s="41">
        <f>IF($J894="","",COUNTIFS(Roster!$D$4:$D$500,"Active",Roster!$C$4:$C$500,"&lt;="&amp;$J894))</f>
        <v/>
      </c>
      <c r="C894">
        <f>IF($J894="","",SUMIFS('Hours Log'!$C:$C,'Hours Log'!$A:$A,"&gt;="&amp;$J894,'Hours Log'!$A:$A,"&lt;"&amp;$J894+7)+SUMIFS('Hours Log'!$D:$D,'Hours Log'!$A:$A,"&gt;="&amp;$J894,'Hours Log'!$A:$A,"&lt;"&amp;$J894+7))</f>
        <v/>
      </c>
      <c r="D894">
        <f>IF($J894="","",SUMIFS('Hours Log'!$D:$D,'Hours Log'!$A:$A,"&gt;="&amp;$J894,'Hours Log'!$A:$A,"&lt;"&amp;$J894+7))</f>
        <v/>
      </c>
      <c r="E894">
        <f>IF($J894="","",IFERROR(C894/(B894*40),0))</f>
        <v/>
      </c>
      <c r="F894">
        <f>IF($J894="","",0)</f>
        <v/>
      </c>
      <c r="G894">
        <f>IF($J894="","",SUMIFS('Hours Log'!$E:$E,'Hours Log'!$A:$A,"&gt;="&amp;$J894,'Hours Log'!$A:$A,"&lt;"&amp;$J894+7))</f>
        <v/>
      </c>
      <c r="J894">
        <f>IF(COUNT('Hours Log'!$A$4:$A$5000)=0,"",IF(MIN('Hours Log'!$A$4:$A$5000)+7*(ROW()-10)&gt;MAX('Hours Log'!$A$4:$A$5000),"",MIN('Hours Log'!$A$4:$A$5000)+7*(ROW()-10)))</f>
        <v/>
      </c>
    </row>
    <row r="895">
      <c r="A895">
        <f>IF($J895="","",YEAR($J895-WEEKDAY($J895,2)+4)&amp;"-W"&amp;TEXT(WEEKNUM($J895,21),"00"))</f>
        <v/>
      </c>
      <c r="B895" s="41">
        <f>IF($J895="","",COUNTIFS(Roster!$D$4:$D$500,"Active",Roster!$C$4:$C$500,"&lt;="&amp;$J895))</f>
        <v/>
      </c>
      <c r="C895">
        <f>IF($J895="","",SUMIFS('Hours Log'!$C:$C,'Hours Log'!$A:$A,"&gt;="&amp;$J895,'Hours Log'!$A:$A,"&lt;"&amp;$J895+7)+SUMIFS('Hours Log'!$D:$D,'Hours Log'!$A:$A,"&gt;="&amp;$J895,'Hours Log'!$A:$A,"&lt;"&amp;$J895+7))</f>
        <v/>
      </c>
      <c r="D895">
        <f>IF($J895="","",SUMIFS('Hours Log'!$D:$D,'Hours Log'!$A:$A,"&gt;="&amp;$J895,'Hours Log'!$A:$A,"&lt;"&amp;$J895+7))</f>
        <v/>
      </c>
      <c r="E895">
        <f>IF($J895="","",IFERROR(C895/(B895*40),0))</f>
        <v/>
      </c>
      <c r="F895">
        <f>IF($J895="","",0)</f>
        <v/>
      </c>
      <c r="G895">
        <f>IF($J895="","",SUMIFS('Hours Log'!$E:$E,'Hours Log'!$A:$A,"&gt;="&amp;$J895,'Hours Log'!$A:$A,"&lt;"&amp;$J895+7))</f>
        <v/>
      </c>
      <c r="J895">
        <f>IF(COUNT('Hours Log'!$A$4:$A$5000)=0,"",IF(MIN('Hours Log'!$A$4:$A$5000)+7*(ROW()-10)&gt;MAX('Hours Log'!$A$4:$A$5000),"",MIN('Hours Log'!$A$4:$A$5000)+7*(ROW()-10)))</f>
        <v/>
      </c>
    </row>
    <row r="896">
      <c r="A896">
        <f>IF($J896="","",YEAR($J896-WEEKDAY($J896,2)+4)&amp;"-W"&amp;TEXT(WEEKNUM($J896,21),"00"))</f>
        <v/>
      </c>
      <c r="B896" s="41">
        <f>IF($J896="","",COUNTIFS(Roster!$D$4:$D$500,"Active",Roster!$C$4:$C$500,"&lt;="&amp;$J896))</f>
        <v/>
      </c>
      <c r="C896">
        <f>IF($J896="","",SUMIFS('Hours Log'!$C:$C,'Hours Log'!$A:$A,"&gt;="&amp;$J896,'Hours Log'!$A:$A,"&lt;"&amp;$J896+7)+SUMIFS('Hours Log'!$D:$D,'Hours Log'!$A:$A,"&gt;="&amp;$J896,'Hours Log'!$A:$A,"&lt;"&amp;$J896+7))</f>
        <v/>
      </c>
      <c r="D896">
        <f>IF($J896="","",SUMIFS('Hours Log'!$D:$D,'Hours Log'!$A:$A,"&gt;="&amp;$J896,'Hours Log'!$A:$A,"&lt;"&amp;$J896+7))</f>
        <v/>
      </c>
      <c r="E896">
        <f>IF($J896="","",IFERROR(C896/(B896*40),0))</f>
        <v/>
      </c>
      <c r="F896">
        <f>IF($J896="","",0)</f>
        <v/>
      </c>
      <c r="G896">
        <f>IF($J896="","",SUMIFS('Hours Log'!$E:$E,'Hours Log'!$A:$A,"&gt;="&amp;$J896,'Hours Log'!$A:$A,"&lt;"&amp;$J896+7))</f>
        <v/>
      </c>
      <c r="J896">
        <f>IF(COUNT('Hours Log'!$A$4:$A$5000)=0,"",IF(MIN('Hours Log'!$A$4:$A$5000)+7*(ROW()-10)&gt;MAX('Hours Log'!$A$4:$A$5000),"",MIN('Hours Log'!$A$4:$A$5000)+7*(ROW()-10)))</f>
        <v/>
      </c>
    </row>
    <row r="897">
      <c r="A897">
        <f>IF($J897="","",YEAR($J897-WEEKDAY($J897,2)+4)&amp;"-W"&amp;TEXT(WEEKNUM($J897,21),"00"))</f>
        <v/>
      </c>
      <c r="B897" s="41">
        <f>IF($J897="","",COUNTIFS(Roster!$D$4:$D$500,"Active",Roster!$C$4:$C$500,"&lt;="&amp;$J897))</f>
        <v/>
      </c>
      <c r="C897">
        <f>IF($J897="","",SUMIFS('Hours Log'!$C:$C,'Hours Log'!$A:$A,"&gt;="&amp;$J897,'Hours Log'!$A:$A,"&lt;"&amp;$J897+7)+SUMIFS('Hours Log'!$D:$D,'Hours Log'!$A:$A,"&gt;="&amp;$J897,'Hours Log'!$A:$A,"&lt;"&amp;$J897+7))</f>
        <v/>
      </c>
      <c r="D897">
        <f>IF($J897="","",SUMIFS('Hours Log'!$D:$D,'Hours Log'!$A:$A,"&gt;="&amp;$J897,'Hours Log'!$A:$A,"&lt;"&amp;$J897+7))</f>
        <v/>
      </c>
      <c r="E897">
        <f>IF($J897="","",IFERROR(C897/(B897*40),0))</f>
        <v/>
      </c>
      <c r="F897">
        <f>IF($J897="","",0)</f>
        <v/>
      </c>
      <c r="G897">
        <f>IF($J897="","",SUMIFS('Hours Log'!$E:$E,'Hours Log'!$A:$A,"&gt;="&amp;$J897,'Hours Log'!$A:$A,"&lt;"&amp;$J897+7))</f>
        <v/>
      </c>
      <c r="J897">
        <f>IF(COUNT('Hours Log'!$A$4:$A$5000)=0,"",IF(MIN('Hours Log'!$A$4:$A$5000)+7*(ROW()-10)&gt;MAX('Hours Log'!$A$4:$A$5000),"",MIN('Hours Log'!$A$4:$A$5000)+7*(ROW()-10)))</f>
        <v/>
      </c>
    </row>
    <row r="898">
      <c r="A898">
        <f>IF($J898="","",YEAR($J898-WEEKDAY($J898,2)+4)&amp;"-W"&amp;TEXT(WEEKNUM($J898,21),"00"))</f>
        <v/>
      </c>
      <c r="B898" s="41">
        <f>IF($J898="","",COUNTIFS(Roster!$D$4:$D$500,"Active",Roster!$C$4:$C$500,"&lt;="&amp;$J898))</f>
        <v/>
      </c>
      <c r="C898">
        <f>IF($J898="","",SUMIFS('Hours Log'!$C:$C,'Hours Log'!$A:$A,"&gt;="&amp;$J898,'Hours Log'!$A:$A,"&lt;"&amp;$J898+7)+SUMIFS('Hours Log'!$D:$D,'Hours Log'!$A:$A,"&gt;="&amp;$J898,'Hours Log'!$A:$A,"&lt;"&amp;$J898+7))</f>
        <v/>
      </c>
      <c r="D898">
        <f>IF($J898="","",SUMIFS('Hours Log'!$D:$D,'Hours Log'!$A:$A,"&gt;="&amp;$J898,'Hours Log'!$A:$A,"&lt;"&amp;$J898+7))</f>
        <v/>
      </c>
      <c r="E898">
        <f>IF($J898="","",IFERROR(C898/(B898*40),0))</f>
        <v/>
      </c>
      <c r="F898">
        <f>IF($J898="","",0)</f>
        <v/>
      </c>
      <c r="G898">
        <f>IF($J898="","",SUMIFS('Hours Log'!$E:$E,'Hours Log'!$A:$A,"&gt;="&amp;$J898,'Hours Log'!$A:$A,"&lt;"&amp;$J898+7))</f>
        <v/>
      </c>
      <c r="J898">
        <f>IF(COUNT('Hours Log'!$A$4:$A$5000)=0,"",IF(MIN('Hours Log'!$A$4:$A$5000)+7*(ROW()-10)&gt;MAX('Hours Log'!$A$4:$A$5000),"",MIN('Hours Log'!$A$4:$A$5000)+7*(ROW()-10)))</f>
        <v/>
      </c>
    </row>
    <row r="899">
      <c r="A899">
        <f>IF($J899="","",YEAR($J899-WEEKDAY($J899,2)+4)&amp;"-W"&amp;TEXT(WEEKNUM($J899,21),"00"))</f>
        <v/>
      </c>
      <c r="B899" s="41">
        <f>IF($J899="","",COUNTIFS(Roster!$D$4:$D$500,"Active",Roster!$C$4:$C$500,"&lt;="&amp;$J899))</f>
        <v/>
      </c>
      <c r="C899">
        <f>IF($J899="","",SUMIFS('Hours Log'!$C:$C,'Hours Log'!$A:$A,"&gt;="&amp;$J899,'Hours Log'!$A:$A,"&lt;"&amp;$J899+7)+SUMIFS('Hours Log'!$D:$D,'Hours Log'!$A:$A,"&gt;="&amp;$J899,'Hours Log'!$A:$A,"&lt;"&amp;$J899+7))</f>
        <v/>
      </c>
      <c r="D899">
        <f>IF($J899="","",SUMIFS('Hours Log'!$D:$D,'Hours Log'!$A:$A,"&gt;="&amp;$J899,'Hours Log'!$A:$A,"&lt;"&amp;$J899+7))</f>
        <v/>
      </c>
      <c r="E899">
        <f>IF($J899="","",IFERROR(C899/(B899*40),0))</f>
        <v/>
      </c>
      <c r="F899">
        <f>IF($J899="","",0)</f>
        <v/>
      </c>
      <c r="G899">
        <f>IF($J899="","",SUMIFS('Hours Log'!$E:$E,'Hours Log'!$A:$A,"&gt;="&amp;$J899,'Hours Log'!$A:$A,"&lt;"&amp;$J899+7))</f>
        <v/>
      </c>
      <c r="J899">
        <f>IF(COUNT('Hours Log'!$A$4:$A$5000)=0,"",IF(MIN('Hours Log'!$A$4:$A$5000)+7*(ROW()-10)&gt;MAX('Hours Log'!$A$4:$A$5000),"",MIN('Hours Log'!$A$4:$A$5000)+7*(ROW()-10)))</f>
        <v/>
      </c>
    </row>
    <row r="900">
      <c r="A900">
        <f>IF($J900="","",YEAR($J900-WEEKDAY($J900,2)+4)&amp;"-W"&amp;TEXT(WEEKNUM($J900,21),"00"))</f>
        <v/>
      </c>
      <c r="B900" s="41">
        <f>IF($J900="","",COUNTIFS(Roster!$D$4:$D$500,"Active",Roster!$C$4:$C$500,"&lt;="&amp;$J900))</f>
        <v/>
      </c>
      <c r="C900">
        <f>IF($J900="","",SUMIFS('Hours Log'!$C:$C,'Hours Log'!$A:$A,"&gt;="&amp;$J900,'Hours Log'!$A:$A,"&lt;"&amp;$J900+7)+SUMIFS('Hours Log'!$D:$D,'Hours Log'!$A:$A,"&gt;="&amp;$J900,'Hours Log'!$A:$A,"&lt;"&amp;$J900+7))</f>
        <v/>
      </c>
      <c r="D900">
        <f>IF($J900="","",SUMIFS('Hours Log'!$D:$D,'Hours Log'!$A:$A,"&gt;="&amp;$J900,'Hours Log'!$A:$A,"&lt;"&amp;$J900+7))</f>
        <v/>
      </c>
      <c r="E900">
        <f>IF($J900="","",IFERROR(C900/(B900*40),0))</f>
        <v/>
      </c>
      <c r="F900">
        <f>IF($J900="","",0)</f>
        <v/>
      </c>
      <c r="G900">
        <f>IF($J900="","",SUMIFS('Hours Log'!$E:$E,'Hours Log'!$A:$A,"&gt;="&amp;$J900,'Hours Log'!$A:$A,"&lt;"&amp;$J900+7))</f>
        <v/>
      </c>
      <c r="J900">
        <f>IF(COUNT('Hours Log'!$A$4:$A$5000)=0,"",IF(MIN('Hours Log'!$A$4:$A$5000)+7*(ROW()-10)&gt;MAX('Hours Log'!$A$4:$A$5000),"",MIN('Hours Log'!$A$4:$A$5000)+7*(ROW()-10)))</f>
        <v/>
      </c>
    </row>
    <row r="901">
      <c r="A901">
        <f>IF($J901="","",YEAR($J901-WEEKDAY($J901,2)+4)&amp;"-W"&amp;TEXT(WEEKNUM($J901,21),"00"))</f>
        <v/>
      </c>
      <c r="B901" s="41">
        <f>IF($J901="","",COUNTIFS(Roster!$D$4:$D$500,"Active",Roster!$C$4:$C$500,"&lt;="&amp;$J901))</f>
        <v/>
      </c>
      <c r="C901">
        <f>IF($J901="","",SUMIFS('Hours Log'!$C:$C,'Hours Log'!$A:$A,"&gt;="&amp;$J901,'Hours Log'!$A:$A,"&lt;"&amp;$J901+7)+SUMIFS('Hours Log'!$D:$D,'Hours Log'!$A:$A,"&gt;="&amp;$J901,'Hours Log'!$A:$A,"&lt;"&amp;$J901+7))</f>
        <v/>
      </c>
      <c r="D901">
        <f>IF($J901="","",SUMIFS('Hours Log'!$D:$D,'Hours Log'!$A:$A,"&gt;="&amp;$J901,'Hours Log'!$A:$A,"&lt;"&amp;$J901+7))</f>
        <v/>
      </c>
      <c r="E901">
        <f>IF($J901="","",IFERROR(C901/(B901*40),0))</f>
        <v/>
      </c>
      <c r="F901">
        <f>IF($J901="","",0)</f>
        <v/>
      </c>
      <c r="G901">
        <f>IF($J901="","",SUMIFS('Hours Log'!$E:$E,'Hours Log'!$A:$A,"&gt;="&amp;$J901,'Hours Log'!$A:$A,"&lt;"&amp;$J901+7))</f>
        <v/>
      </c>
      <c r="J901">
        <f>IF(COUNT('Hours Log'!$A$4:$A$5000)=0,"",IF(MIN('Hours Log'!$A$4:$A$5000)+7*(ROW()-10)&gt;MAX('Hours Log'!$A$4:$A$5000),"",MIN('Hours Log'!$A$4:$A$5000)+7*(ROW()-10)))</f>
        <v/>
      </c>
    </row>
    <row r="902">
      <c r="A902">
        <f>IF($J902="","",YEAR($J902-WEEKDAY($J902,2)+4)&amp;"-W"&amp;TEXT(WEEKNUM($J902,21),"00"))</f>
        <v/>
      </c>
      <c r="B902" s="41">
        <f>IF($J902="","",COUNTIFS(Roster!$D$4:$D$500,"Active",Roster!$C$4:$C$500,"&lt;="&amp;$J902))</f>
        <v/>
      </c>
      <c r="C902">
        <f>IF($J902="","",SUMIFS('Hours Log'!$C:$C,'Hours Log'!$A:$A,"&gt;="&amp;$J902,'Hours Log'!$A:$A,"&lt;"&amp;$J902+7)+SUMIFS('Hours Log'!$D:$D,'Hours Log'!$A:$A,"&gt;="&amp;$J902,'Hours Log'!$A:$A,"&lt;"&amp;$J902+7))</f>
        <v/>
      </c>
      <c r="D902">
        <f>IF($J902="","",SUMIFS('Hours Log'!$D:$D,'Hours Log'!$A:$A,"&gt;="&amp;$J902,'Hours Log'!$A:$A,"&lt;"&amp;$J902+7))</f>
        <v/>
      </c>
      <c r="E902">
        <f>IF($J902="","",IFERROR(C902/(B902*40),0))</f>
        <v/>
      </c>
      <c r="F902">
        <f>IF($J902="","",0)</f>
        <v/>
      </c>
      <c r="G902">
        <f>IF($J902="","",SUMIFS('Hours Log'!$E:$E,'Hours Log'!$A:$A,"&gt;="&amp;$J902,'Hours Log'!$A:$A,"&lt;"&amp;$J902+7))</f>
        <v/>
      </c>
      <c r="J902">
        <f>IF(COUNT('Hours Log'!$A$4:$A$5000)=0,"",IF(MIN('Hours Log'!$A$4:$A$5000)+7*(ROW()-10)&gt;MAX('Hours Log'!$A$4:$A$5000),"",MIN('Hours Log'!$A$4:$A$5000)+7*(ROW()-10)))</f>
        <v/>
      </c>
    </row>
    <row r="903">
      <c r="A903">
        <f>IF($J903="","",YEAR($J903-WEEKDAY($J903,2)+4)&amp;"-W"&amp;TEXT(WEEKNUM($J903,21),"00"))</f>
        <v/>
      </c>
      <c r="B903" s="41">
        <f>IF($J903="","",COUNTIFS(Roster!$D$4:$D$500,"Active",Roster!$C$4:$C$500,"&lt;="&amp;$J903))</f>
        <v/>
      </c>
      <c r="C903">
        <f>IF($J903="","",SUMIFS('Hours Log'!$C:$C,'Hours Log'!$A:$A,"&gt;="&amp;$J903,'Hours Log'!$A:$A,"&lt;"&amp;$J903+7)+SUMIFS('Hours Log'!$D:$D,'Hours Log'!$A:$A,"&gt;="&amp;$J903,'Hours Log'!$A:$A,"&lt;"&amp;$J903+7))</f>
        <v/>
      </c>
      <c r="D903">
        <f>IF($J903="","",SUMIFS('Hours Log'!$D:$D,'Hours Log'!$A:$A,"&gt;="&amp;$J903,'Hours Log'!$A:$A,"&lt;"&amp;$J903+7))</f>
        <v/>
      </c>
      <c r="E903">
        <f>IF($J903="","",IFERROR(C903/(B903*40),0))</f>
        <v/>
      </c>
      <c r="F903">
        <f>IF($J903="","",0)</f>
        <v/>
      </c>
      <c r="G903">
        <f>IF($J903="","",SUMIFS('Hours Log'!$E:$E,'Hours Log'!$A:$A,"&gt;="&amp;$J903,'Hours Log'!$A:$A,"&lt;"&amp;$J903+7))</f>
        <v/>
      </c>
      <c r="J903">
        <f>IF(COUNT('Hours Log'!$A$4:$A$5000)=0,"",IF(MIN('Hours Log'!$A$4:$A$5000)+7*(ROW()-10)&gt;MAX('Hours Log'!$A$4:$A$5000),"",MIN('Hours Log'!$A$4:$A$5000)+7*(ROW()-10)))</f>
        <v/>
      </c>
    </row>
    <row r="904">
      <c r="A904">
        <f>IF($J904="","",YEAR($J904-WEEKDAY($J904,2)+4)&amp;"-W"&amp;TEXT(WEEKNUM($J904,21),"00"))</f>
        <v/>
      </c>
      <c r="B904" s="41">
        <f>IF($J904="","",COUNTIFS(Roster!$D$4:$D$500,"Active",Roster!$C$4:$C$500,"&lt;="&amp;$J904))</f>
        <v/>
      </c>
      <c r="C904">
        <f>IF($J904="","",SUMIFS('Hours Log'!$C:$C,'Hours Log'!$A:$A,"&gt;="&amp;$J904,'Hours Log'!$A:$A,"&lt;"&amp;$J904+7)+SUMIFS('Hours Log'!$D:$D,'Hours Log'!$A:$A,"&gt;="&amp;$J904,'Hours Log'!$A:$A,"&lt;"&amp;$J904+7))</f>
        <v/>
      </c>
      <c r="D904">
        <f>IF($J904="","",SUMIFS('Hours Log'!$D:$D,'Hours Log'!$A:$A,"&gt;="&amp;$J904,'Hours Log'!$A:$A,"&lt;"&amp;$J904+7))</f>
        <v/>
      </c>
      <c r="E904">
        <f>IF($J904="","",IFERROR(C904/(B904*40),0))</f>
        <v/>
      </c>
      <c r="F904">
        <f>IF($J904="","",0)</f>
        <v/>
      </c>
      <c r="G904">
        <f>IF($J904="","",SUMIFS('Hours Log'!$E:$E,'Hours Log'!$A:$A,"&gt;="&amp;$J904,'Hours Log'!$A:$A,"&lt;"&amp;$J904+7))</f>
        <v/>
      </c>
      <c r="J904">
        <f>IF(COUNT('Hours Log'!$A$4:$A$5000)=0,"",IF(MIN('Hours Log'!$A$4:$A$5000)+7*(ROW()-10)&gt;MAX('Hours Log'!$A$4:$A$5000),"",MIN('Hours Log'!$A$4:$A$5000)+7*(ROW()-10)))</f>
        <v/>
      </c>
    </row>
    <row r="905">
      <c r="A905">
        <f>IF($J905="","",YEAR($J905-WEEKDAY($J905,2)+4)&amp;"-W"&amp;TEXT(WEEKNUM($J905,21),"00"))</f>
        <v/>
      </c>
      <c r="B905" s="41">
        <f>IF($J905="","",COUNTIFS(Roster!$D$4:$D$500,"Active",Roster!$C$4:$C$500,"&lt;="&amp;$J905))</f>
        <v/>
      </c>
      <c r="C905">
        <f>IF($J905="","",SUMIFS('Hours Log'!$C:$C,'Hours Log'!$A:$A,"&gt;="&amp;$J905,'Hours Log'!$A:$A,"&lt;"&amp;$J905+7)+SUMIFS('Hours Log'!$D:$D,'Hours Log'!$A:$A,"&gt;="&amp;$J905,'Hours Log'!$A:$A,"&lt;"&amp;$J905+7))</f>
        <v/>
      </c>
      <c r="D905">
        <f>IF($J905="","",SUMIFS('Hours Log'!$D:$D,'Hours Log'!$A:$A,"&gt;="&amp;$J905,'Hours Log'!$A:$A,"&lt;"&amp;$J905+7))</f>
        <v/>
      </c>
      <c r="E905">
        <f>IF($J905="","",IFERROR(C905/(B905*40),0))</f>
        <v/>
      </c>
      <c r="F905">
        <f>IF($J905="","",0)</f>
        <v/>
      </c>
      <c r="G905">
        <f>IF($J905="","",SUMIFS('Hours Log'!$E:$E,'Hours Log'!$A:$A,"&gt;="&amp;$J905,'Hours Log'!$A:$A,"&lt;"&amp;$J905+7))</f>
        <v/>
      </c>
      <c r="J905">
        <f>IF(COUNT('Hours Log'!$A$4:$A$5000)=0,"",IF(MIN('Hours Log'!$A$4:$A$5000)+7*(ROW()-10)&gt;MAX('Hours Log'!$A$4:$A$5000),"",MIN('Hours Log'!$A$4:$A$5000)+7*(ROW()-10)))</f>
        <v/>
      </c>
    </row>
    <row r="906">
      <c r="A906">
        <f>IF($J906="","",YEAR($J906-WEEKDAY($J906,2)+4)&amp;"-W"&amp;TEXT(WEEKNUM($J906,21),"00"))</f>
        <v/>
      </c>
      <c r="B906" s="41">
        <f>IF($J906="","",COUNTIFS(Roster!$D$4:$D$500,"Active",Roster!$C$4:$C$500,"&lt;="&amp;$J906))</f>
        <v/>
      </c>
      <c r="C906">
        <f>IF($J906="","",SUMIFS('Hours Log'!$C:$C,'Hours Log'!$A:$A,"&gt;="&amp;$J906,'Hours Log'!$A:$A,"&lt;"&amp;$J906+7)+SUMIFS('Hours Log'!$D:$D,'Hours Log'!$A:$A,"&gt;="&amp;$J906,'Hours Log'!$A:$A,"&lt;"&amp;$J906+7))</f>
        <v/>
      </c>
      <c r="D906">
        <f>IF($J906="","",SUMIFS('Hours Log'!$D:$D,'Hours Log'!$A:$A,"&gt;="&amp;$J906,'Hours Log'!$A:$A,"&lt;"&amp;$J906+7))</f>
        <v/>
      </c>
      <c r="E906">
        <f>IF($J906="","",IFERROR(C906/(B906*40),0))</f>
        <v/>
      </c>
      <c r="F906">
        <f>IF($J906="","",0)</f>
        <v/>
      </c>
      <c r="G906">
        <f>IF($J906="","",SUMIFS('Hours Log'!$E:$E,'Hours Log'!$A:$A,"&gt;="&amp;$J906,'Hours Log'!$A:$A,"&lt;"&amp;$J906+7))</f>
        <v/>
      </c>
      <c r="J906">
        <f>IF(COUNT('Hours Log'!$A$4:$A$5000)=0,"",IF(MIN('Hours Log'!$A$4:$A$5000)+7*(ROW()-10)&gt;MAX('Hours Log'!$A$4:$A$5000),"",MIN('Hours Log'!$A$4:$A$5000)+7*(ROW()-10)))</f>
        <v/>
      </c>
    </row>
    <row r="907">
      <c r="A907">
        <f>IF($J907="","",YEAR($J907-WEEKDAY($J907,2)+4)&amp;"-W"&amp;TEXT(WEEKNUM($J907,21),"00"))</f>
        <v/>
      </c>
      <c r="B907" s="41">
        <f>IF($J907="","",COUNTIFS(Roster!$D$4:$D$500,"Active",Roster!$C$4:$C$500,"&lt;="&amp;$J907))</f>
        <v/>
      </c>
      <c r="C907">
        <f>IF($J907="","",SUMIFS('Hours Log'!$C:$C,'Hours Log'!$A:$A,"&gt;="&amp;$J907,'Hours Log'!$A:$A,"&lt;"&amp;$J907+7)+SUMIFS('Hours Log'!$D:$D,'Hours Log'!$A:$A,"&gt;="&amp;$J907,'Hours Log'!$A:$A,"&lt;"&amp;$J907+7))</f>
        <v/>
      </c>
      <c r="D907">
        <f>IF($J907="","",SUMIFS('Hours Log'!$D:$D,'Hours Log'!$A:$A,"&gt;="&amp;$J907,'Hours Log'!$A:$A,"&lt;"&amp;$J907+7))</f>
        <v/>
      </c>
      <c r="E907">
        <f>IF($J907="","",IFERROR(C907/(B907*40),0))</f>
        <v/>
      </c>
      <c r="F907">
        <f>IF($J907="","",0)</f>
        <v/>
      </c>
      <c r="G907">
        <f>IF($J907="","",SUMIFS('Hours Log'!$E:$E,'Hours Log'!$A:$A,"&gt;="&amp;$J907,'Hours Log'!$A:$A,"&lt;"&amp;$J907+7))</f>
        <v/>
      </c>
      <c r="J907">
        <f>IF(COUNT('Hours Log'!$A$4:$A$5000)=0,"",IF(MIN('Hours Log'!$A$4:$A$5000)+7*(ROW()-10)&gt;MAX('Hours Log'!$A$4:$A$5000),"",MIN('Hours Log'!$A$4:$A$5000)+7*(ROW()-10)))</f>
        <v/>
      </c>
    </row>
    <row r="908">
      <c r="A908">
        <f>IF($J908="","",YEAR($J908-WEEKDAY($J908,2)+4)&amp;"-W"&amp;TEXT(WEEKNUM($J908,21),"00"))</f>
        <v/>
      </c>
      <c r="B908" s="41">
        <f>IF($J908="","",COUNTIFS(Roster!$D$4:$D$500,"Active",Roster!$C$4:$C$500,"&lt;="&amp;$J908))</f>
        <v/>
      </c>
      <c r="C908">
        <f>IF($J908="","",SUMIFS('Hours Log'!$C:$C,'Hours Log'!$A:$A,"&gt;="&amp;$J908,'Hours Log'!$A:$A,"&lt;"&amp;$J908+7)+SUMIFS('Hours Log'!$D:$D,'Hours Log'!$A:$A,"&gt;="&amp;$J908,'Hours Log'!$A:$A,"&lt;"&amp;$J908+7))</f>
        <v/>
      </c>
      <c r="D908">
        <f>IF($J908="","",SUMIFS('Hours Log'!$D:$D,'Hours Log'!$A:$A,"&gt;="&amp;$J908,'Hours Log'!$A:$A,"&lt;"&amp;$J908+7))</f>
        <v/>
      </c>
      <c r="E908">
        <f>IF($J908="","",IFERROR(C908/(B908*40),0))</f>
        <v/>
      </c>
      <c r="F908">
        <f>IF($J908="","",0)</f>
        <v/>
      </c>
      <c r="G908">
        <f>IF($J908="","",SUMIFS('Hours Log'!$E:$E,'Hours Log'!$A:$A,"&gt;="&amp;$J908,'Hours Log'!$A:$A,"&lt;"&amp;$J908+7))</f>
        <v/>
      </c>
      <c r="J908">
        <f>IF(COUNT('Hours Log'!$A$4:$A$5000)=0,"",IF(MIN('Hours Log'!$A$4:$A$5000)+7*(ROW()-10)&gt;MAX('Hours Log'!$A$4:$A$5000),"",MIN('Hours Log'!$A$4:$A$5000)+7*(ROW()-10)))</f>
        <v/>
      </c>
    </row>
    <row r="909">
      <c r="A909">
        <f>IF($J909="","",YEAR($J909-WEEKDAY($J909,2)+4)&amp;"-W"&amp;TEXT(WEEKNUM($J909,21),"00"))</f>
        <v/>
      </c>
      <c r="B909" s="41">
        <f>IF($J909="","",COUNTIFS(Roster!$D$4:$D$500,"Active",Roster!$C$4:$C$500,"&lt;="&amp;$J909))</f>
        <v/>
      </c>
      <c r="C909">
        <f>IF($J909="","",SUMIFS('Hours Log'!$C:$C,'Hours Log'!$A:$A,"&gt;="&amp;$J909,'Hours Log'!$A:$A,"&lt;"&amp;$J909+7)+SUMIFS('Hours Log'!$D:$D,'Hours Log'!$A:$A,"&gt;="&amp;$J909,'Hours Log'!$A:$A,"&lt;"&amp;$J909+7))</f>
        <v/>
      </c>
      <c r="D909">
        <f>IF($J909="","",SUMIFS('Hours Log'!$D:$D,'Hours Log'!$A:$A,"&gt;="&amp;$J909,'Hours Log'!$A:$A,"&lt;"&amp;$J909+7))</f>
        <v/>
      </c>
      <c r="E909">
        <f>IF($J909="","",IFERROR(C909/(B909*40),0))</f>
        <v/>
      </c>
      <c r="F909">
        <f>IF($J909="","",0)</f>
        <v/>
      </c>
      <c r="G909">
        <f>IF($J909="","",SUMIFS('Hours Log'!$E:$E,'Hours Log'!$A:$A,"&gt;="&amp;$J909,'Hours Log'!$A:$A,"&lt;"&amp;$J909+7))</f>
        <v/>
      </c>
      <c r="J909">
        <f>IF(COUNT('Hours Log'!$A$4:$A$5000)=0,"",IF(MIN('Hours Log'!$A$4:$A$5000)+7*(ROW()-10)&gt;MAX('Hours Log'!$A$4:$A$5000),"",MIN('Hours Log'!$A$4:$A$5000)+7*(ROW()-10)))</f>
        <v/>
      </c>
    </row>
    <row r="910">
      <c r="A910">
        <f>IF($J910="","",YEAR($J910-WEEKDAY($J910,2)+4)&amp;"-W"&amp;TEXT(WEEKNUM($J910,21),"00"))</f>
        <v/>
      </c>
      <c r="B910" s="41">
        <f>IF($J910="","",COUNTIFS(Roster!$D$4:$D$500,"Active",Roster!$C$4:$C$500,"&lt;="&amp;$J910))</f>
        <v/>
      </c>
      <c r="C910">
        <f>IF($J910="","",SUMIFS('Hours Log'!$C:$C,'Hours Log'!$A:$A,"&gt;="&amp;$J910,'Hours Log'!$A:$A,"&lt;"&amp;$J910+7)+SUMIFS('Hours Log'!$D:$D,'Hours Log'!$A:$A,"&gt;="&amp;$J910,'Hours Log'!$A:$A,"&lt;"&amp;$J910+7))</f>
        <v/>
      </c>
      <c r="D910">
        <f>IF($J910="","",SUMIFS('Hours Log'!$D:$D,'Hours Log'!$A:$A,"&gt;="&amp;$J910,'Hours Log'!$A:$A,"&lt;"&amp;$J910+7))</f>
        <v/>
      </c>
      <c r="E910">
        <f>IF($J910="","",IFERROR(C910/(B910*40),0))</f>
        <v/>
      </c>
      <c r="F910">
        <f>IF($J910="","",0)</f>
        <v/>
      </c>
      <c r="G910">
        <f>IF($J910="","",SUMIFS('Hours Log'!$E:$E,'Hours Log'!$A:$A,"&gt;="&amp;$J910,'Hours Log'!$A:$A,"&lt;"&amp;$J910+7))</f>
        <v/>
      </c>
      <c r="J910">
        <f>IF(COUNT('Hours Log'!$A$4:$A$5000)=0,"",IF(MIN('Hours Log'!$A$4:$A$5000)+7*(ROW()-10)&gt;MAX('Hours Log'!$A$4:$A$5000),"",MIN('Hours Log'!$A$4:$A$5000)+7*(ROW()-10)))</f>
        <v/>
      </c>
    </row>
    <row r="911">
      <c r="A911">
        <f>IF($J911="","",YEAR($J911-WEEKDAY($J911,2)+4)&amp;"-W"&amp;TEXT(WEEKNUM($J911,21),"00"))</f>
        <v/>
      </c>
      <c r="B911" s="41">
        <f>IF($J911="","",COUNTIFS(Roster!$D$4:$D$500,"Active",Roster!$C$4:$C$500,"&lt;="&amp;$J911))</f>
        <v/>
      </c>
      <c r="C911">
        <f>IF($J911="","",SUMIFS('Hours Log'!$C:$C,'Hours Log'!$A:$A,"&gt;="&amp;$J911,'Hours Log'!$A:$A,"&lt;"&amp;$J911+7)+SUMIFS('Hours Log'!$D:$D,'Hours Log'!$A:$A,"&gt;="&amp;$J911,'Hours Log'!$A:$A,"&lt;"&amp;$J911+7))</f>
        <v/>
      </c>
      <c r="D911">
        <f>IF($J911="","",SUMIFS('Hours Log'!$D:$D,'Hours Log'!$A:$A,"&gt;="&amp;$J911,'Hours Log'!$A:$A,"&lt;"&amp;$J911+7))</f>
        <v/>
      </c>
      <c r="E911">
        <f>IF($J911="","",IFERROR(C911/(B911*40),0))</f>
        <v/>
      </c>
      <c r="F911">
        <f>IF($J911="","",0)</f>
        <v/>
      </c>
      <c r="G911">
        <f>IF($J911="","",SUMIFS('Hours Log'!$E:$E,'Hours Log'!$A:$A,"&gt;="&amp;$J911,'Hours Log'!$A:$A,"&lt;"&amp;$J911+7))</f>
        <v/>
      </c>
      <c r="J911">
        <f>IF(COUNT('Hours Log'!$A$4:$A$5000)=0,"",IF(MIN('Hours Log'!$A$4:$A$5000)+7*(ROW()-10)&gt;MAX('Hours Log'!$A$4:$A$5000),"",MIN('Hours Log'!$A$4:$A$5000)+7*(ROW()-10)))</f>
        <v/>
      </c>
    </row>
    <row r="912">
      <c r="A912">
        <f>IF($J912="","",YEAR($J912-WEEKDAY($J912,2)+4)&amp;"-W"&amp;TEXT(WEEKNUM($J912,21),"00"))</f>
        <v/>
      </c>
      <c r="B912" s="41">
        <f>IF($J912="","",COUNTIFS(Roster!$D$4:$D$500,"Active",Roster!$C$4:$C$500,"&lt;="&amp;$J912))</f>
        <v/>
      </c>
      <c r="C912">
        <f>IF($J912="","",SUMIFS('Hours Log'!$C:$C,'Hours Log'!$A:$A,"&gt;="&amp;$J912,'Hours Log'!$A:$A,"&lt;"&amp;$J912+7)+SUMIFS('Hours Log'!$D:$D,'Hours Log'!$A:$A,"&gt;="&amp;$J912,'Hours Log'!$A:$A,"&lt;"&amp;$J912+7))</f>
        <v/>
      </c>
      <c r="D912">
        <f>IF($J912="","",SUMIFS('Hours Log'!$D:$D,'Hours Log'!$A:$A,"&gt;="&amp;$J912,'Hours Log'!$A:$A,"&lt;"&amp;$J912+7))</f>
        <v/>
      </c>
      <c r="E912">
        <f>IF($J912="","",IFERROR(C912/(B912*40),0))</f>
        <v/>
      </c>
      <c r="F912">
        <f>IF($J912="","",0)</f>
        <v/>
      </c>
      <c r="G912">
        <f>IF($J912="","",SUMIFS('Hours Log'!$E:$E,'Hours Log'!$A:$A,"&gt;="&amp;$J912,'Hours Log'!$A:$A,"&lt;"&amp;$J912+7))</f>
        <v/>
      </c>
      <c r="J912">
        <f>IF(COUNT('Hours Log'!$A$4:$A$5000)=0,"",IF(MIN('Hours Log'!$A$4:$A$5000)+7*(ROW()-10)&gt;MAX('Hours Log'!$A$4:$A$5000),"",MIN('Hours Log'!$A$4:$A$5000)+7*(ROW()-10)))</f>
        <v/>
      </c>
    </row>
    <row r="913">
      <c r="A913">
        <f>IF($J913="","",YEAR($J913-WEEKDAY($J913,2)+4)&amp;"-W"&amp;TEXT(WEEKNUM($J913,21),"00"))</f>
        <v/>
      </c>
      <c r="B913" s="41">
        <f>IF($J913="","",COUNTIFS(Roster!$D$4:$D$500,"Active",Roster!$C$4:$C$500,"&lt;="&amp;$J913))</f>
        <v/>
      </c>
      <c r="C913">
        <f>IF($J913="","",SUMIFS('Hours Log'!$C:$C,'Hours Log'!$A:$A,"&gt;="&amp;$J913,'Hours Log'!$A:$A,"&lt;"&amp;$J913+7)+SUMIFS('Hours Log'!$D:$D,'Hours Log'!$A:$A,"&gt;="&amp;$J913,'Hours Log'!$A:$A,"&lt;"&amp;$J913+7))</f>
        <v/>
      </c>
      <c r="D913">
        <f>IF($J913="","",SUMIFS('Hours Log'!$D:$D,'Hours Log'!$A:$A,"&gt;="&amp;$J913,'Hours Log'!$A:$A,"&lt;"&amp;$J913+7))</f>
        <v/>
      </c>
      <c r="E913">
        <f>IF($J913="","",IFERROR(C913/(B913*40),0))</f>
        <v/>
      </c>
      <c r="F913">
        <f>IF($J913="","",0)</f>
        <v/>
      </c>
      <c r="G913">
        <f>IF($J913="","",SUMIFS('Hours Log'!$E:$E,'Hours Log'!$A:$A,"&gt;="&amp;$J913,'Hours Log'!$A:$A,"&lt;"&amp;$J913+7))</f>
        <v/>
      </c>
      <c r="J913">
        <f>IF(COUNT('Hours Log'!$A$4:$A$5000)=0,"",IF(MIN('Hours Log'!$A$4:$A$5000)+7*(ROW()-10)&gt;MAX('Hours Log'!$A$4:$A$5000),"",MIN('Hours Log'!$A$4:$A$5000)+7*(ROW()-10)))</f>
        <v/>
      </c>
    </row>
    <row r="914">
      <c r="A914">
        <f>IF($J914="","",YEAR($J914-WEEKDAY($J914,2)+4)&amp;"-W"&amp;TEXT(WEEKNUM($J914,21),"00"))</f>
        <v/>
      </c>
      <c r="B914" s="41">
        <f>IF($J914="","",COUNTIFS(Roster!$D$4:$D$500,"Active",Roster!$C$4:$C$500,"&lt;="&amp;$J914))</f>
        <v/>
      </c>
      <c r="C914">
        <f>IF($J914="","",SUMIFS('Hours Log'!$C:$C,'Hours Log'!$A:$A,"&gt;="&amp;$J914,'Hours Log'!$A:$A,"&lt;"&amp;$J914+7)+SUMIFS('Hours Log'!$D:$D,'Hours Log'!$A:$A,"&gt;="&amp;$J914,'Hours Log'!$A:$A,"&lt;"&amp;$J914+7))</f>
        <v/>
      </c>
      <c r="D914">
        <f>IF($J914="","",SUMIFS('Hours Log'!$D:$D,'Hours Log'!$A:$A,"&gt;="&amp;$J914,'Hours Log'!$A:$A,"&lt;"&amp;$J914+7))</f>
        <v/>
      </c>
      <c r="E914">
        <f>IF($J914="","",IFERROR(C914/(B914*40),0))</f>
        <v/>
      </c>
      <c r="F914">
        <f>IF($J914="","",0)</f>
        <v/>
      </c>
      <c r="G914">
        <f>IF($J914="","",SUMIFS('Hours Log'!$E:$E,'Hours Log'!$A:$A,"&gt;="&amp;$J914,'Hours Log'!$A:$A,"&lt;"&amp;$J914+7))</f>
        <v/>
      </c>
      <c r="J914">
        <f>IF(COUNT('Hours Log'!$A$4:$A$5000)=0,"",IF(MIN('Hours Log'!$A$4:$A$5000)+7*(ROW()-10)&gt;MAX('Hours Log'!$A$4:$A$5000),"",MIN('Hours Log'!$A$4:$A$5000)+7*(ROW()-10)))</f>
        <v/>
      </c>
    </row>
    <row r="915">
      <c r="A915">
        <f>IF($J915="","",YEAR($J915-WEEKDAY($J915,2)+4)&amp;"-W"&amp;TEXT(WEEKNUM($J915,21),"00"))</f>
        <v/>
      </c>
      <c r="B915" s="41">
        <f>IF($J915="","",COUNTIFS(Roster!$D$4:$D$500,"Active",Roster!$C$4:$C$500,"&lt;="&amp;$J915))</f>
        <v/>
      </c>
      <c r="C915">
        <f>IF($J915="","",SUMIFS('Hours Log'!$C:$C,'Hours Log'!$A:$A,"&gt;="&amp;$J915,'Hours Log'!$A:$A,"&lt;"&amp;$J915+7)+SUMIFS('Hours Log'!$D:$D,'Hours Log'!$A:$A,"&gt;="&amp;$J915,'Hours Log'!$A:$A,"&lt;"&amp;$J915+7))</f>
        <v/>
      </c>
      <c r="D915">
        <f>IF($J915="","",SUMIFS('Hours Log'!$D:$D,'Hours Log'!$A:$A,"&gt;="&amp;$J915,'Hours Log'!$A:$A,"&lt;"&amp;$J915+7))</f>
        <v/>
      </c>
      <c r="E915">
        <f>IF($J915="","",IFERROR(C915/(B915*40),0))</f>
        <v/>
      </c>
      <c r="F915">
        <f>IF($J915="","",0)</f>
        <v/>
      </c>
      <c r="G915">
        <f>IF($J915="","",SUMIFS('Hours Log'!$E:$E,'Hours Log'!$A:$A,"&gt;="&amp;$J915,'Hours Log'!$A:$A,"&lt;"&amp;$J915+7))</f>
        <v/>
      </c>
      <c r="J915">
        <f>IF(COUNT('Hours Log'!$A$4:$A$5000)=0,"",IF(MIN('Hours Log'!$A$4:$A$5000)+7*(ROW()-10)&gt;MAX('Hours Log'!$A$4:$A$5000),"",MIN('Hours Log'!$A$4:$A$5000)+7*(ROW()-10)))</f>
        <v/>
      </c>
    </row>
    <row r="916">
      <c r="A916">
        <f>IF($J916="","",YEAR($J916-WEEKDAY($J916,2)+4)&amp;"-W"&amp;TEXT(WEEKNUM($J916,21),"00"))</f>
        <v/>
      </c>
      <c r="B916" s="41">
        <f>IF($J916="","",COUNTIFS(Roster!$D$4:$D$500,"Active",Roster!$C$4:$C$500,"&lt;="&amp;$J916))</f>
        <v/>
      </c>
      <c r="C916">
        <f>IF($J916="","",SUMIFS('Hours Log'!$C:$C,'Hours Log'!$A:$A,"&gt;="&amp;$J916,'Hours Log'!$A:$A,"&lt;"&amp;$J916+7)+SUMIFS('Hours Log'!$D:$D,'Hours Log'!$A:$A,"&gt;="&amp;$J916,'Hours Log'!$A:$A,"&lt;"&amp;$J916+7))</f>
        <v/>
      </c>
      <c r="D916">
        <f>IF($J916="","",SUMIFS('Hours Log'!$D:$D,'Hours Log'!$A:$A,"&gt;="&amp;$J916,'Hours Log'!$A:$A,"&lt;"&amp;$J916+7))</f>
        <v/>
      </c>
      <c r="E916">
        <f>IF($J916="","",IFERROR(C916/(B916*40),0))</f>
        <v/>
      </c>
      <c r="F916">
        <f>IF($J916="","",0)</f>
        <v/>
      </c>
      <c r="G916">
        <f>IF($J916="","",SUMIFS('Hours Log'!$E:$E,'Hours Log'!$A:$A,"&gt;="&amp;$J916,'Hours Log'!$A:$A,"&lt;"&amp;$J916+7))</f>
        <v/>
      </c>
      <c r="J916">
        <f>IF(COUNT('Hours Log'!$A$4:$A$5000)=0,"",IF(MIN('Hours Log'!$A$4:$A$5000)+7*(ROW()-10)&gt;MAX('Hours Log'!$A$4:$A$5000),"",MIN('Hours Log'!$A$4:$A$5000)+7*(ROW()-10)))</f>
        <v/>
      </c>
    </row>
    <row r="917">
      <c r="A917">
        <f>IF($J917="","",YEAR($J917-WEEKDAY($J917,2)+4)&amp;"-W"&amp;TEXT(WEEKNUM($J917,21),"00"))</f>
        <v/>
      </c>
      <c r="B917" s="41">
        <f>IF($J917="","",COUNTIFS(Roster!$D$4:$D$500,"Active",Roster!$C$4:$C$500,"&lt;="&amp;$J917))</f>
        <v/>
      </c>
      <c r="C917">
        <f>IF($J917="","",SUMIFS('Hours Log'!$C:$C,'Hours Log'!$A:$A,"&gt;="&amp;$J917,'Hours Log'!$A:$A,"&lt;"&amp;$J917+7)+SUMIFS('Hours Log'!$D:$D,'Hours Log'!$A:$A,"&gt;="&amp;$J917,'Hours Log'!$A:$A,"&lt;"&amp;$J917+7))</f>
        <v/>
      </c>
      <c r="D917">
        <f>IF($J917="","",SUMIFS('Hours Log'!$D:$D,'Hours Log'!$A:$A,"&gt;="&amp;$J917,'Hours Log'!$A:$A,"&lt;"&amp;$J917+7))</f>
        <v/>
      </c>
      <c r="E917">
        <f>IF($J917="","",IFERROR(C917/(B917*40),0))</f>
        <v/>
      </c>
      <c r="F917">
        <f>IF($J917="","",0)</f>
        <v/>
      </c>
      <c r="G917">
        <f>IF($J917="","",SUMIFS('Hours Log'!$E:$E,'Hours Log'!$A:$A,"&gt;="&amp;$J917,'Hours Log'!$A:$A,"&lt;"&amp;$J917+7))</f>
        <v/>
      </c>
      <c r="J917">
        <f>IF(COUNT('Hours Log'!$A$4:$A$5000)=0,"",IF(MIN('Hours Log'!$A$4:$A$5000)+7*(ROW()-10)&gt;MAX('Hours Log'!$A$4:$A$5000),"",MIN('Hours Log'!$A$4:$A$5000)+7*(ROW()-10)))</f>
        <v/>
      </c>
    </row>
    <row r="918">
      <c r="A918">
        <f>IF($J918="","",YEAR($J918-WEEKDAY($J918,2)+4)&amp;"-W"&amp;TEXT(WEEKNUM($J918,21),"00"))</f>
        <v/>
      </c>
      <c r="B918" s="41">
        <f>IF($J918="","",COUNTIFS(Roster!$D$4:$D$500,"Active",Roster!$C$4:$C$500,"&lt;="&amp;$J918))</f>
        <v/>
      </c>
      <c r="C918">
        <f>IF($J918="","",SUMIFS('Hours Log'!$C:$C,'Hours Log'!$A:$A,"&gt;="&amp;$J918,'Hours Log'!$A:$A,"&lt;"&amp;$J918+7)+SUMIFS('Hours Log'!$D:$D,'Hours Log'!$A:$A,"&gt;="&amp;$J918,'Hours Log'!$A:$A,"&lt;"&amp;$J918+7))</f>
        <v/>
      </c>
      <c r="D918">
        <f>IF($J918="","",SUMIFS('Hours Log'!$D:$D,'Hours Log'!$A:$A,"&gt;="&amp;$J918,'Hours Log'!$A:$A,"&lt;"&amp;$J918+7))</f>
        <v/>
      </c>
      <c r="E918">
        <f>IF($J918="","",IFERROR(C918/(B918*40),0))</f>
        <v/>
      </c>
      <c r="F918">
        <f>IF($J918="","",0)</f>
        <v/>
      </c>
      <c r="G918">
        <f>IF($J918="","",SUMIFS('Hours Log'!$E:$E,'Hours Log'!$A:$A,"&gt;="&amp;$J918,'Hours Log'!$A:$A,"&lt;"&amp;$J918+7))</f>
        <v/>
      </c>
      <c r="J918">
        <f>IF(COUNT('Hours Log'!$A$4:$A$5000)=0,"",IF(MIN('Hours Log'!$A$4:$A$5000)+7*(ROW()-10)&gt;MAX('Hours Log'!$A$4:$A$5000),"",MIN('Hours Log'!$A$4:$A$5000)+7*(ROW()-10)))</f>
        <v/>
      </c>
    </row>
    <row r="919">
      <c r="A919">
        <f>IF($J919="","",YEAR($J919-WEEKDAY($J919,2)+4)&amp;"-W"&amp;TEXT(WEEKNUM($J919,21),"00"))</f>
        <v/>
      </c>
      <c r="B919" s="41">
        <f>IF($J919="","",COUNTIFS(Roster!$D$4:$D$500,"Active",Roster!$C$4:$C$500,"&lt;="&amp;$J919))</f>
        <v/>
      </c>
      <c r="C919">
        <f>IF($J919="","",SUMIFS('Hours Log'!$C:$C,'Hours Log'!$A:$A,"&gt;="&amp;$J919,'Hours Log'!$A:$A,"&lt;"&amp;$J919+7)+SUMIFS('Hours Log'!$D:$D,'Hours Log'!$A:$A,"&gt;="&amp;$J919,'Hours Log'!$A:$A,"&lt;"&amp;$J919+7))</f>
        <v/>
      </c>
      <c r="D919">
        <f>IF($J919="","",SUMIFS('Hours Log'!$D:$D,'Hours Log'!$A:$A,"&gt;="&amp;$J919,'Hours Log'!$A:$A,"&lt;"&amp;$J919+7))</f>
        <v/>
      </c>
      <c r="E919">
        <f>IF($J919="","",IFERROR(C919/(B919*40),0))</f>
        <v/>
      </c>
      <c r="F919">
        <f>IF($J919="","",0)</f>
        <v/>
      </c>
      <c r="G919">
        <f>IF($J919="","",SUMIFS('Hours Log'!$E:$E,'Hours Log'!$A:$A,"&gt;="&amp;$J919,'Hours Log'!$A:$A,"&lt;"&amp;$J919+7))</f>
        <v/>
      </c>
      <c r="J919">
        <f>IF(COUNT('Hours Log'!$A$4:$A$5000)=0,"",IF(MIN('Hours Log'!$A$4:$A$5000)+7*(ROW()-10)&gt;MAX('Hours Log'!$A$4:$A$5000),"",MIN('Hours Log'!$A$4:$A$5000)+7*(ROW()-10)))</f>
        <v/>
      </c>
    </row>
    <row r="920">
      <c r="A920">
        <f>IF($J920="","",YEAR($J920-WEEKDAY($J920,2)+4)&amp;"-W"&amp;TEXT(WEEKNUM($J920,21),"00"))</f>
        <v/>
      </c>
      <c r="B920" s="41">
        <f>IF($J920="","",COUNTIFS(Roster!$D$4:$D$500,"Active",Roster!$C$4:$C$500,"&lt;="&amp;$J920))</f>
        <v/>
      </c>
      <c r="C920">
        <f>IF($J920="","",SUMIFS('Hours Log'!$C:$C,'Hours Log'!$A:$A,"&gt;="&amp;$J920,'Hours Log'!$A:$A,"&lt;"&amp;$J920+7)+SUMIFS('Hours Log'!$D:$D,'Hours Log'!$A:$A,"&gt;="&amp;$J920,'Hours Log'!$A:$A,"&lt;"&amp;$J920+7))</f>
        <v/>
      </c>
      <c r="D920">
        <f>IF($J920="","",SUMIFS('Hours Log'!$D:$D,'Hours Log'!$A:$A,"&gt;="&amp;$J920,'Hours Log'!$A:$A,"&lt;"&amp;$J920+7))</f>
        <v/>
      </c>
      <c r="E920">
        <f>IF($J920="","",IFERROR(C920/(B920*40),0))</f>
        <v/>
      </c>
      <c r="F920">
        <f>IF($J920="","",0)</f>
        <v/>
      </c>
      <c r="G920">
        <f>IF($J920="","",SUMIFS('Hours Log'!$E:$E,'Hours Log'!$A:$A,"&gt;="&amp;$J920,'Hours Log'!$A:$A,"&lt;"&amp;$J920+7))</f>
        <v/>
      </c>
      <c r="J920">
        <f>IF(COUNT('Hours Log'!$A$4:$A$5000)=0,"",IF(MIN('Hours Log'!$A$4:$A$5000)+7*(ROW()-10)&gt;MAX('Hours Log'!$A$4:$A$5000),"",MIN('Hours Log'!$A$4:$A$5000)+7*(ROW()-10)))</f>
        <v/>
      </c>
    </row>
    <row r="921">
      <c r="A921">
        <f>IF($J921="","",YEAR($J921-WEEKDAY($J921,2)+4)&amp;"-W"&amp;TEXT(WEEKNUM($J921,21),"00"))</f>
        <v/>
      </c>
      <c r="B921" s="41">
        <f>IF($J921="","",COUNTIFS(Roster!$D$4:$D$500,"Active",Roster!$C$4:$C$500,"&lt;="&amp;$J921))</f>
        <v/>
      </c>
      <c r="C921">
        <f>IF($J921="","",SUMIFS('Hours Log'!$C:$C,'Hours Log'!$A:$A,"&gt;="&amp;$J921,'Hours Log'!$A:$A,"&lt;"&amp;$J921+7)+SUMIFS('Hours Log'!$D:$D,'Hours Log'!$A:$A,"&gt;="&amp;$J921,'Hours Log'!$A:$A,"&lt;"&amp;$J921+7))</f>
        <v/>
      </c>
      <c r="D921">
        <f>IF($J921="","",SUMIFS('Hours Log'!$D:$D,'Hours Log'!$A:$A,"&gt;="&amp;$J921,'Hours Log'!$A:$A,"&lt;"&amp;$J921+7))</f>
        <v/>
      </c>
      <c r="E921">
        <f>IF($J921="","",IFERROR(C921/(B921*40),0))</f>
        <v/>
      </c>
      <c r="F921">
        <f>IF($J921="","",0)</f>
        <v/>
      </c>
      <c r="G921">
        <f>IF($J921="","",SUMIFS('Hours Log'!$E:$E,'Hours Log'!$A:$A,"&gt;="&amp;$J921,'Hours Log'!$A:$A,"&lt;"&amp;$J921+7))</f>
        <v/>
      </c>
      <c r="J921">
        <f>IF(COUNT('Hours Log'!$A$4:$A$5000)=0,"",IF(MIN('Hours Log'!$A$4:$A$5000)+7*(ROW()-10)&gt;MAX('Hours Log'!$A$4:$A$5000),"",MIN('Hours Log'!$A$4:$A$5000)+7*(ROW()-10)))</f>
        <v/>
      </c>
    </row>
    <row r="922">
      <c r="A922">
        <f>IF($J922="","",YEAR($J922-WEEKDAY($J922,2)+4)&amp;"-W"&amp;TEXT(WEEKNUM($J922,21),"00"))</f>
        <v/>
      </c>
      <c r="B922" s="41">
        <f>IF($J922="","",COUNTIFS(Roster!$D$4:$D$500,"Active",Roster!$C$4:$C$500,"&lt;="&amp;$J922))</f>
        <v/>
      </c>
      <c r="C922">
        <f>IF($J922="","",SUMIFS('Hours Log'!$C:$C,'Hours Log'!$A:$A,"&gt;="&amp;$J922,'Hours Log'!$A:$A,"&lt;"&amp;$J922+7)+SUMIFS('Hours Log'!$D:$D,'Hours Log'!$A:$A,"&gt;="&amp;$J922,'Hours Log'!$A:$A,"&lt;"&amp;$J922+7))</f>
        <v/>
      </c>
      <c r="D922">
        <f>IF($J922="","",SUMIFS('Hours Log'!$D:$D,'Hours Log'!$A:$A,"&gt;="&amp;$J922,'Hours Log'!$A:$A,"&lt;"&amp;$J922+7))</f>
        <v/>
      </c>
      <c r="E922">
        <f>IF($J922="","",IFERROR(C922/(B922*40),0))</f>
        <v/>
      </c>
      <c r="F922">
        <f>IF($J922="","",0)</f>
        <v/>
      </c>
      <c r="G922">
        <f>IF($J922="","",SUMIFS('Hours Log'!$E:$E,'Hours Log'!$A:$A,"&gt;="&amp;$J922,'Hours Log'!$A:$A,"&lt;"&amp;$J922+7))</f>
        <v/>
      </c>
      <c r="J922">
        <f>IF(COUNT('Hours Log'!$A$4:$A$5000)=0,"",IF(MIN('Hours Log'!$A$4:$A$5000)+7*(ROW()-10)&gt;MAX('Hours Log'!$A$4:$A$5000),"",MIN('Hours Log'!$A$4:$A$5000)+7*(ROW()-10)))</f>
        <v/>
      </c>
    </row>
    <row r="923">
      <c r="A923">
        <f>IF($J923="","",YEAR($J923-WEEKDAY($J923,2)+4)&amp;"-W"&amp;TEXT(WEEKNUM($J923,21),"00"))</f>
        <v/>
      </c>
      <c r="B923" s="41">
        <f>IF($J923="","",COUNTIFS(Roster!$D$4:$D$500,"Active",Roster!$C$4:$C$500,"&lt;="&amp;$J923))</f>
        <v/>
      </c>
      <c r="C923">
        <f>IF($J923="","",SUMIFS('Hours Log'!$C:$C,'Hours Log'!$A:$A,"&gt;="&amp;$J923,'Hours Log'!$A:$A,"&lt;"&amp;$J923+7)+SUMIFS('Hours Log'!$D:$D,'Hours Log'!$A:$A,"&gt;="&amp;$J923,'Hours Log'!$A:$A,"&lt;"&amp;$J923+7))</f>
        <v/>
      </c>
      <c r="D923">
        <f>IF($J923="","",SUMIFS('Hours Log'!$D:$D,'Hours Log'!$A:$A,"&gt;="&amp;$J923,'Hours Log'!$A:$A,"&lt;"&amp;$J923+7))</f>
        <v/>
      </c>
      <c r="E923">
        <f>IF($J923="","",IFERROR(C923/(B923*40),0))</f>
        <v/>
      </c>
      <c r="F923">
        <f>IF($J923="","",0)</f>
        <v/>
      </c>
      <c r="G923">
        <f>IF($J923="","",SUMIFS('Hours Log'!$E:$E,'Hours Log'!$A:$A,"&gt;="&amp;$J923,'Hours Log'!$A:$A,"&lt;"&amp;$J923+7))</f>
        <v/>
      </c>
      <c r="J923">
        <f>IF(COUNT('Hours Log'!$A$4:$A$5000)=0,"",IF(MIN('Hours Log'!$A$4:$A$5000)+7*(ROW()-10)&gt;MAX('Hours Log'!$A$4:$A$5000),"",MIN('Hours Log'!$A$4:$A$5000)+7*(ROW()-10)))</f>
        <v/>
      </c>
    </row>
    <row r="924">
      <c r="A924">
        <f>IF($J924="","",YEAR($J924-WEEKDAY($J924,2)+4)&amp;"-W"&amp;TEXT(WEEKNUM($J924,21),"00"))</f>
        <v/>
      </c>
      <c r="B924" s="41">
        <f>IF($J924="","",COUNTIFS(Roster!$D$4:$D$500,"Active",Roster!$C$4:$C$500,"&lt;="&amp;$J924))</f>
        <v/>
      </c>
      <c r="C924">
        <f>IF($J924="","",SUMIFS('Hours Log'!$C:$C,'Hours Log'!$A:$A,"&gt;="&amp;$J924,'Hours Log'!$A:$A,"&lt;"&amp;$J924+7)+SUMIFS('Hours Log'!$D:$D,'Hours Log'!$A:$A,"&gt;="&amp;$J924,'Hours Log'!$A:$A,"&lt;"&amp;$J924+7))</f>
        <v/>
      </c>
      <c r="D924">
        <f>IF($J924="","",SUMIFS('Hours Log'!$D:$D,'Hours Log'!$A:$A,"&gt;="&amp;$J924,'Hours Log'!$A:$A,"&lt;"&amp;$J924+7))</f>
        <v/>
      </c>
      <c r="E924">
        <f>IF($J924="","",IFERROR(C924/(B924*40),0))</f>
        <v/>
      </c>
      <c r="F924">
        <f>IF($J924="","",0)</f>
        <v/>
      </c>
      <c r="G924">
        <f>IF($J924="","",SUMIFS('Hours Log'!$E:$E,'Hours Log'!$A:$A,"&gt;="&amp;$J924,'Hours Log'!$A:$A,"&lt;"&amp;$J924+7))</f>
        <v/>
      </c>
      <c r="J924">
        <f>IF(COUNT('Hours Log'!$A$4:$A$5000)=0,"",IF(MIN('Hours Log'!$A$4:$A$5000)+7*(ROW()-10)&gt;MAX('Hours Log'!$A$4:$A$5000),"",MIN('Hours Log'!$A$4:$A$5000)+7*(ROW()-10)))</f>
        <v/>
      </c>
    </row>
    <row r="925">
      <c r="A925">
        <f>IF($J925="","",YEAR($J925-WEEKDAY($J925,2)+4)&amp;"-W"&amp;TEXT(WEEKNUM($J925,21),"00"))</f>
        <v/>
      </c>
      <c r="B925" s="41">
        <f>IF($J925="","",COUNTIFS(Roster!$D$4:$D$500,"Active",Roster!$C$4:$C$500,"&lt;="&amp;$J925))</f>
        <v/>
      </c>
      <c r="C925">
        <f>IF($J925="","",SUMIFS('Hours Log'!$C:$C,'Hours Log'!$A:$A,"&gt;="&amp;$J925,'Hours Log'!$A:$A,"&lt;"&amp;$J925+7)+SUMIFS('Hours Log'!$D:$D,'Hours Log'!$A:$A,"&gt;="&amp;$J925,'Hours Log'!$A:$A,"&lt;"&amp;$J925+7))</f>
        <v/>
      </c>
      <c r="D925">
        <f>IF($J925="","",SUMIFS('Hours Log'!$D:$D,'Hours Log'!$A:$A,"&gt;="&amp;$J925,'Hours Log'!$A:$A,"&lt;"&amp;$J925+7))</f>
        <v/>
      </c>
      <c r="E925">
        <f>IF($J925="","",IFERROR(C925/(B925*40),0))</f>
        <v/>
      </c>
      <c r="F925">
        <f>IF($J925="","",0)</f>
        <v/>
      </c>
      <c r="G925">
        <f>IF($J925="","",SUMIFS('Hours Log'!$E:$E,'Hours Log'!$A:$A,"&gt;="&amp;$J925,'Hours Log'!$A:$A,"&lt;"&amp;$J925+7))</f>
        <v/>
      </c>
      <c r="J925">
        <f>IF(COUNT('Hours Log'!$A$4:$A$5000)=0,"",IF(MIN('Hours Log'!$A$4:$A$5000)+7*(ROW()-10)&gt;MAX('Hours Log'!$A$4:$A$5000),"",MIN('Hours Log'!$A$4:$A$5000)+7*(ROW()-10)))</f>
        <v/>
      </c>
    </row>
    <row r="926">
      <c r="A926">
        <f>IF($J926="","",YEAR($J926-WEEKDAY($J926,2)+4)&amp;"-W"&amp;TEXT(WEEKNUM($J926,21),"00"))</f>
        <v/>
      </c>
      <c r="B926" s="41">
        <f>IF($J926="","",COUNTIFS(Roster!$D$4:$D$500,"Active",Roster!$C$4:$C$500,"&lt;="&amp;$J926))</f>
        <v/>
      </c>
      <c r="C926">
        <f>IF($J926="","",SUMIFS('Hours Log'!$C:$C,'Hours Log'!$A:$A,"&gt;="&amp;$J926,'Hours Log'!$A:$A,"&lt;"&amp;$J926+7)+SUMIFS('Hours Log'!$D:$D,'Hours Log'!$A:$A,"&gt;="&amp;$J926,'Hours Log'!$A:$A,"&lt;"&amp;$J926+7))</f>
        <v/>
      </c>
      <c r="D926">
        <f>IF($J926="","",SUMIFS('Hours Log'!$D:$D,'Hours Log'!$A:$A,"&gt;="&amp;$J926,'Hours Log'!$A:$A,"&lt;"&amp;$J926+7))</f>
        <v/>
      </c>
      <c r="E926">
        <f>IF($J926="","",IFERROR(C926/(B926*40),0))</f>
        <v/>
      </c>
      <c r="F926">
        <f>IF($J926="","",0)</f>
        <v/>
      </c>
      <c r="G926">
        <f>IF($J926="","",SUMIFS('Hours Log'!$E:$E,'Hours Log'!$A:$A,"&gt;="&amp;$J926,'Hours Log'!$A:$A,"&lt;"&amp;$J926+7))</f>
        <v/>
      </c>
      <c r="J926">
        <f>IF(COUNT('Hours Log'!$A$4:$A$5000)=0,"",IF(MIN('Hours Log'!$A$4:$A$5000)+7*(ROW()-10)&gt;MAX('Hours Log'!$A$4:$A$5000),"",MIN('Hours Log'!$A$4:$A$5000)+7*(ROW()-10)))</f>
        <v/>
      </c>
    </row>
    <row r="927">
      <c r="A927">
        <f>IF($J927="","",YEAR($J927-WEEKDAY($J927,2)+4)&amp;"-W"&amp;TEXT(WEEKNUM($J927,21),"00"))</f>
        <v/>
      </c>
      <c r="B927" s="41">
        <f>IF($J927="","",COUNTIFS(Roster!$D$4:$D$500,"Active",Roster!$C$4:$C$500,"&lt;="&amp;$J927))</f>
        <v/>
      </c>
      <c r="C927">
        <f>IF($J927="","",SUMIFS('Hours Log'!$C:$C,'Hours Log'!$A:$A,"&gt;="&amp;$J927,'Hours Log'!$A:$A,"&lt;"&amp;$J927+7)+SUMIFS('Hours Log'!$D:$D,'Hours Log'!$A:$A,"&gt;="&amp;$J927,'Hours Log'!$A:$A,"&lt;"&amp;$J927+7))</f>
        <v/>
      </c>
      <c r="D927">
        <f>IF($J927="","",SUMIFS('Hours Log'!$D:$D,'Hours Log'!$A:$A,"&gt;="&amp;$J927,'Hours Log'!$A:$A,"&lt;"&amp;$J927+7))</f>
        <v/>
      </c>
      <c r="E927">
        <f>IF($J927="","",IFERROR(C927/(B927*40),0))</f>
        <v/>
      </c>
      <c r="F927">
        <f>IF($J927="","",0)</f>
        <v/>
      </c>
      <c r="G927">
        <f>IF($J927="","",SUMIFS('Hours Log'!$E:$E,'Hours Log'!$A:$A,"&gt;="&amp;$J927,'Hours Log'!$A:$A,"&lt;"&amp;$J927+7))</f>
        <v/>
      </c>
      <c r="J927">
        <f>IF(COUNT('Hours Log'!$A$4:$A$5000)=0,"",IF(MIN('Hours Log'!$A$4:$A$5000)+7*(ROW()-10)&gt;MAX('Hours Log'!$A$4:$A$5000),"",MIN('Hours Log'!$A$4:$A$5000)+7*(ROW()-10)))</f>
        <v/>
      </c>
    </row>
    <row r="928">
      <c r="A928">
        <f>IF($J928="","",YEAR($J928-WEEKDAY($J928,2)+4)&amp;"-W"&amp;TEXT(WEEKNUM($J928,21),"00"))</f>
        <v/>
      </c>
      <c r="B928" s="41">
        <f>IF($J928="","",COUNTIFS(Roster!$D$4:$D$500,"Active",Roster!$C$4:$C$500,"&lt;="&amp;$J928))</f>
        <v/>
      </c>
      <c r="C928">
        <f>IF($J928="","",SUMIFS('Hours Log'!$C:$C,'Hours Log'!$A:$A,"&gt;="&amp;$J928,'Hours Log'!$A:$A,"&lt;"&amp;$J928+7)+SUMIFS('Hours Log'!$D:$D,'Hours Log'!$A:$A,"&gt;="&amp;$J928,'Hours Log'!$A:$A,"&lt;"&amp;$J928+7))</f>
        <v/>
      </c>
      <c r="D928">
        <f>IF($J928="","",SUMIFS('Hours Log'!$D:$D,'Hours Log'!$A:$A,"&gt;="&amp;$J928,'Hours Log'!$A:$A,"&lt;"&amp;$J928+7))</f>
        <v/>
      </c>
      <c r="E928">
        <f>IF($J928="","",IFERROR(C928/(B928*40),0))</f>
        <v/>
      </c>
      <c r="F928">
        <f>IF($J928="","",0)</f>
        <v/>
      </c>
      <c r="G928">
        <f>IF($J928="","",SUMIFS('Hours Log'!$E:$E,'Hours Log'!$A:$A,"&gt;="&amp;$J928,'Hours Log'!$A:$A,"&lt;"&amp;$J928+7))</f>
        <v/>
      </c>
      <c r="J928">
        <f>IF(COUNT('Hours Log'!$A$4:$A$5000)=0,"",IF(MIN('Hours Log'!$A$4:$A$5000)+7*(ROW()-10)&gt;MAX('Hours Log'!$A$4:$A$5000),"",MIN('Hours Log'!$A$4:$A$5000)+7*(ROW()-10)))</f>
        <v/>
      </c>
    </row>
    <row r="929">
      <c r="A929">
        <f>IF($J929="","",YEAR($J929-WEEKDAY($J929,2)+4)&amp;"-W"&amp;TEXT(WEEKNUM($J929,21),"00"))</f>
        <v/>
      </c>
      <c r="B929" s="41">
        <f>IF($J929="","",COUNTIFS(Roster!$D$4:$D$500,"Active",Roster!$C$4:$C$500,"&lt;="&amp;$J929))</f>
        <v/>
      </c>
      <c r="C929">
        <f>IF($J929="","",SUMIFS('Hours Log'!$C:$C,'Hours Log'!$A:$A,"&gt;="&amp;$J929,'Hours Log'!$A:$A,"&lt;"&amp;$J929+7)+SUMIFS('Hours Log'!$D:$D,'Hours Log'!$A:$A,"&gt;="&amp;$J929,'Hours Log'!$A:$A,"&lt;"&amp;$J929+7))</f>
        <v/>
      </c>
      <c r="D929">
        <f>IF($J929="","",SUMIFS('Hours Log'!$D:$D,'Hours Log'!$A:$A,"&gt;="&amp;$J929,'Hours Log'!$A:$A,"&lt;"&amp;$J929+7))</f>
        <v/>
      </c>
      <c r="E929">
        <f>IF($J929="","",IFERROR(C929/(B929*40),0))</f>
        <v/>
      </c>
      <c r="F929">
        <f>IF($J929="","",0)</f>
        <v/>
      </c>
      <c r="G929">
        <f>IF($J929="","",SUMIFS('Hours Log'!$E:$E,'Hours Log'!$A:$A,"&gt;="&amp;$J929,'Hours Log'!$A:$A,"&lt;"&amp;$J929+7))</f>
        <v/>
      </c>
      <c r="J929">
        <f>IF(COUNT('Hours Log'!$A$4:$A$5000)=0,"",IF(MIN('Hours Log'!$A$4:$A$5000)+7*(ROW()-10)&gt;MAX('Hours Log'!$A$4:$A$5000),"",MIN('Hours Log'!$A$4:$A$5000)+7*(ROW()-10)))</f>
        <v/>
      </c>
    </row>
    <row r="930">
      <c r="A930">
        <f>IF($J930="","",YEAR($J930-WEEKDAY($J930,2)+4)&amp;"-W"&amp;TEXT(WEEKNUM($J930,21),"00"))</f>
        <v/>
      </c>
      <c r="B930" s="41">
        <f>IF($J930="","",COUNTIFS(Roster!$D$4:$D$500,"Active",Roster!$C$4:$C$500,"&lt;="&amp;$J930))</f>
        <v/>
      </c>
      <c r="C930">
        <f>IF($J930="","",SUMIFS('Hours Log'!$C:$C,'Hours Log'!$A:$A,"&gt;="&amp;$J930,'Hours Log'!$A:$A,"&lt;"&amp;$J930+7)+SUMIFS('Hours Log'!$D:$D,'Hours Log'!$A:$A,"&gt;="&amp;$J930,'Hours Log'!$A:$A,"&lt;"&amp;$J930+7))</f>
        <v/>
      </c>
      <c r="D930">
        <f>IF($J930="","",SUMIFS('Hours Log'!$D:$D,'Hours Log'!$A:$A,"&gt;="&amp;$J930,'Hours Log'!$A:$A,"&lt;"&amp;$J930+7))</f>
        <v/>
      </c>
      <c r="E930">
        <f>IF($J930="","",IFERROR(C930/(B930*40),0))</f>
        <v/>
      </c>
      <c r="F930">
        <f>IF($J930="","",0)</f>
        <v/>
      </c>
      <c r="G930">
        <f>IF($J930="","",SUMIFS('Hours Log'!$E:$E,'Hours Log'!$A:$A,"&gt;="&amp;$J930,'Hours Log'!$A:$A,"&lt;"&amp;$J930+7))</f>
        <v/>
      </c>
      <c r="J930">
        <f>IF(COUNT('Hours Log'!$A$4:$A$5000)=0,"",IF(MIN('Hours Log'!$A$4:$A$5000)+7*(ROW()-10)&gt;MAX('Hours Log'!$A$4:$A$5000),"",MIN('Hours Log'!$A$4:$A$5000)+7*(ROW()-10)))</f>
        <v/>
      </c>
    </row>
    <row r="931">
      <c r="A931">
        <f>IF($J931="","",YEAR($J931-WEEKDAY($J931,2)+4)&amp;"-W"&amp;TEXT(WEEKNUM($J931,21),"00"))</f>
        <v/>
      </c>
      <c r="B931" s="41">
        <f>IF($J931="","",COUNTIFS(Roster!$D$4:$D$500,"Active",Roster!$C$4:$C$500,"&lt;="&amp;$J931))</f>
        <v/>
      </c>
      <c r="C931">
        <f>IF($J931="","",SUMIFS('Hours Log'!$C:$C,'Hours Log'!$A:$A,"&gt;="&amp;$J931,'Hours Log'!$A:$A,"&lt;"&amp;$J931+7)+SUMIFS('Hours Log'!$D:$D,'Hours Log'!$A:$A,"&gt;="&amp;$J931,'Hours Log'!$A:$A,"&lt;"&amp;$J931+7))</f>
        <v/>
      </c>
      <c r="D931">
        <f>IF($J931="","",SUMIFS('Hours Log'!$D:$D,'Hours Log'!$A:$A,"&gt;="&amp;$J931,'Hours Log'!$A:$A,"&lt;"&amp;$J931+7))</f>
        <v/>
      </c>
      <c r="E931">
        <f>IF($J931="","",IFERROR(C931/(B931*40),0))</f>
        <v/>
      </c>
      <c r="F931">
        <f>IF($J931="","",0)</f>
        <v/>
      </c>
      <c r="G931">
        <f>IF($J931="","",SUMIFS('Hours Log'!$E:$E,'Hours Log'!$A:$A,"&gt;="&amp;$J931,'Hours Log'!$A:$A,"&lt;"&amp;$J931+7))</f>
        <v/>
      </c>
      <c r="J931">
        <f>IF(COUNT('Hours Log'!$A$4:$A$5000)=0,"",IF(MIN('Hours Log'!$A$4:$A$5000)+7*(ROW()-10)&gt;MAX('Hours Log'!$A$4:$A$5000),"",MIN('Hours Log'!$A$4:$A$5000)+7*(ROW()-10)))</f>
        <v/>
      </c>
    </row>
    <row r="932">
      <c r="A932">
        <f>IF($J932="","",YEAR($J932-WEEKDAY($J932,2)+4)&amp;"-W"&amp;TEXT(WEEKNUM($J932,21),"00"))</f>
        <v/>
      </c>
      <c r="B932" s="41">
        <f>IF($J932="","",COUNTIFS(Roster!$D$4:$D$500,"Active",Roster!$C$4:$C$500,"&lt;="&amp;$J932))</f>
        <v/>
      </c>
      <c r="C932">
        <f>IF($J932="","",SUMIFS('Hours Log'!$C:$C,'Hours Log'!$A:$A,"&gt;="&amp;$J932,'Hours Log'!$A:$A,"&lt;"&amp;$J932+7)+SUMIFS('Hours Log'!$D:$D,'Hours Log'!$A:$A,"&gt;="&amp;$J932,'Hours Log'!$A:$A,"&lt;"&amp;$J932+7))</f>
        <v/>
      </c>
      <c r="D932">
        <f>IF($J932="","",SUMIFS('Hours Log'!$D:$D,'Hours Log'!$A:$A,"&gt;="&amp;$J932,'Hours Log'!$A:$A,"&lt;"&amp;$J932+7))</f>
        <v/>
      </c>
      <c r="E932">
        <f>IF($J932="","",IFERROR(C932/(B932*40),0))</f>
        <v/>
      </c>
      <c r="F932">
        <f>IF($J932="","",0)</f>
        <v/>
      </c>
      <c r="G932">
        <f>IF($J932="","",SUMIFS('Hours Log'!$E:$E,'Hours Log'!$A:$A,"&gt;="&amp;$J932,'Hours Log'!$A:$A,"&lt;"&amp;$J932+7))</f>
        <v/>
      </c>
      <c r="J932">
        <f>IF(COUNT('Hours Log'!$A$4:$A$5000)=0,"",IF(MIN('Hours Log'!$A$4:$A$5000)+7*(ROW()-10)&gt;MAX('Hours Log'!$A$4:$A$5000),"",MIN('Hours Log'!$A$4:$A$5000)+7*(ROW()-10)))</f>
        <v/>
      </c>
    </row>
    <row r="933">
      <c r="A933">
        <f>IF($J933="","",YEAR($J933-WEEKDAY($J933,2)+4)&amp;"-W"&amp;TEXT(WEEKNUM($J933,21),"00"))</f>
        <v/>
      </c>
      <c r="B933" s="41">
        <f>IF($J933="","",COUNTIFS(Roster!$D$4:$D$500,"Active",Roster!$C$4:$C$500,"&lt;="&amp;$J933))</f>
        <v/>
      </c>
      <c r="C933">
        <f>IF($J933="","",SUMIFS('Hours Log'!$C:$C,'Hours Log'!$A:$A,"&gt;="&amp;$J933,'Hours Log'!$A:$A,"&lt;"&amp;$J933+7)+SUMIFS('Hours Log'!$D:$D,'Hours Log'!$A:$A,"&gt;="&amp;$J933,'Hours Log'!$A:$A,"&lt;"&amp;$J933+7))</f>
        <v/>
      </c>
      <c r="D933">
        <f>IF($J933="","",SUMIFS('Hours Log'!$D:$D,'Hours Log'!$A:$A,"&gt;="&amp;$J933,'Hours Log'!$A:$A,"&lt;"&amp;$J933+7))</f>
        <v/>
      </c>
      <c r="E933">
        <f>IF($J933="","",IFERROR(C933/(B933*40),0))</f>
        <v/>
      </c>
      <c r="F933">
        <f>IF($J933="","",0)</f>
        <v/>
      </c>
      <c r="G933">
        <f>IF($J933="","",SUMIFS('Hours Log'!$E:$E,'Hours Log'!$A:$A,"&gt;="&amp;$J933,'Hours Log'!$A:$A,"&lt;"&amp;$J933+7))</f>
        <v/>
      </c>
      <c r="J933">
        <f>IF(COUNT('Hours Log'!$A$4:$A$5000)=0,"",IF(MIN('Hours Log'!$A$4:$A$5000)+7*(ROW()-10)&gt;MAX('Hours Log'!$A$4:$A$5000),"",MIN('Hours Log'!$A$4:$A$5000)+7*(ROW()-10)))</f>
        <v/>
      </c>
    </row>
    <row r="934">
      <c r="A934">
        <f>IF($J934="","",YEAR($J934-WEEKDAY($J934,2)+4)&amp;"-W"&amp;TEXT(WEEKNUM($J934,21),"00"))</f>
        <v/>
      </c>
      <c r="B934" s="41">
        <f>IF($J934="","",COUNTIFS(Roster!$D$4:$D$500,"Active",Roster!$C$4:$C$500,"&lt;="&amp;$J934))</f>
        <v/>
      </c>
      <c r="C934">
        <f>IF($J934="","",SUMIFS('Hours Log'!$C:$C,'Hours Log'!$A:$A,"&gt;="&amp;$J934,'Hours Log'!$A:$A,"&lt;"&amp;$J934+7)+SUMIFS('Hours Log'!$D:$D,'Hours Log'!$A:$A,"&gt;="&amp;$J934,'Hours Log'!$A:$A,"&lt;"&amp;$J934+7))</f>
        <v/>
      </c>
      <c r="D934">
        <f>IF($J934="","",SUMIFS('Hours Log'!$D:$D,'Hours Log'!$A:$A,"&gt;="&amp;$J934,'Hours Log'!$A:$A,"&lt;"&amp;$J934+7))</f>
        <v/>
      </c>
      <c r="E934">
        <f>IF($J934="","",IFERROR(C934/(B934*40),0))</f>
        <v/>
      </c>
      <c r="F934">
        <f>IF($J934="","",0)</f>
        <v/>
      </c>
      <c r="G934">
        <f>IF($J934="","",SUMIFS('Hours Log'!$E:$E,'Hours Log'!$A:$A,"&gt;="&amp;$J934,'Hours Log'!$A:$A,"&lt;"&amp;$J934+7))</f>
        <v/>
      </c>
      <c r="J934">
        <f>IF(COUNT('Hours Log'!$A$4:$A$5000)=0,"",IF(MIN('Hours Log'!$A$4:$A$5000)+7*(ROW()-10)&gt;MAX('Hours Log'!$A$4:$A$5000),"",MIN('Hours Log'!$A$4:$A$5000)+7*(ROW()-10)))</f>
        <v/>
      </c>
    </row>
    <row r="935">
      <c r="A935">
        <f>IF($J935="","",YEAR($J935-WEEKDAY($J935,2)+4)&amp;"-W"&amp;TEXT(WEEKNUM($J935,21),"00"))</f>
        <v/>
      </c>
      <c r="B935" s="41">
        <f>IF($J935="","",COUNTIFS(Roster!$D$4:$D$500,"Active",Roster!$C$4:$C$500,"&lt;="&amp;$J935))</f>
        <v/>
      </c>
      <c r="C935">
        <f>IF($J935="","",SUMIFS('Hours Log'!$C:$C,'Hours Log'!$A:$A,"&gt;="&amp;$J935,'Hours Log'!$A:$A,"&lt;"&amp;$J935+7)+SUMIFS('Hours Log'!$D:$D,'Hours Log'!$A:$A,"&gt;="&amp;$J935,'Hours Log'!$A:$A,"&lt;"&amp;$J935+7))</f>
        <v/>
      </c>
      <c r="D935">
        <f>IF($J935="","",SUMIFS('Hours Log'!$D:$D,'Hours Log'!$A:$A,"&gt;="&amp;$J935,'Hours Log'!$A:$A,"&lt;"&amp;$J935+7))</f>
        <v/>
      </c>
      <c r="E935">
        <f>IF($J935="","",IFERROR(C935/(B935*40),0))</f>
        <v/>
      </c>
      <c r="F935">
        <f>IF($J935="","",0)</f>
        <v/>
      </c>
      <c r="G935">
        <f>IF($J935="","",SUMIFS('Hours Log'!$E:$E,'Hours Log'!$A:$A,"&gt;="&amp;$J935,'Hours Log'!$A:$A,"&lt;"&amp;$J935+7))</f>
        <v/>
      </c>
      <c r="J935">
        <f>IF(COUNT('Hours Log'!$A$4:$A$5000)=0,"",IF(MIN('Hours Log'!$A$4:$A$5000)+7*(ROW()-10)&gt;MAX('Hours Log'!$A$4:$A$5000),"",MIN('Hours Log'!$A$4:$A$5000)+7*(ROW()-10)))</f>
        <v/>
      </c>
    </row>
    <row r="936">
      <c r="A936">
        <f>IF($J936="","",YEAR($J936-WEEKDAY($J936,2)+4)&amp;"-W"&amp;TEXT(WEEKNUM($J936,21),"00"))</f>
        <v/>
      </c>
      <c r="B936" s="41">
        <f>IF($J936="","",COUNTIFS(Roster!$D$4:$D$500,"Active",Roster!$C$4:$C$500,"&lt;="&amp;$J936))</f>
        <v/>
      </c>
      <c r="C936">
        <f>IF($J936="","",SUMIFS('Hours Log'!$C:$C,'Hours Log'!$A:$A,"&gt;="&amp;$J936,'Hours Log'!$A:$A,"&lt;"&amp;$J936+7)+SUMIFS('Hours Log'!$D:$D,'Hours Log'!$A:$A,"&gt;="&amp;$J936,'Hours Log'!$A:$A,"&lt;"&amp;$J936+7))</f>
        <v/>
      </c>
      <c r="D936">
        <f>IF($J936="","",SUMIFS('Hours Log'!$D:$D,'Hours Log'!$A:$A,"&gt;="&amp;$J936,'Hours Log'!$A:$A,"&lt;"&amp;$J936+7))</f>
        <v/>
      </c>
      <c r="E936">
        <f>IF($J936="","",IFERROR(C936/(B936*40),0))</f>
        <v/>
      </c>
      <c r="F936">
        <f>IF($J936="","",0)</f>
        <v/>
      </c>
      <c r="G936">
        <f>IF($J936="","",SUMIFS('Hours Log'!$E:$E,'Hours Log'!$A:$A,"&gt;="&amp;$J936,'Hours Log'!$A:$A,"&lt;"&amp;$J936+7))</f>
        <v/>
      </c>
      <c r="J936">
        <f>IF(COUNT('Hours Log'!$A$4:$A$5000)=0,"",IF(MIN('Hours Log'!$A$4:$A$5000)+7*(ROW()-10)&gt;MAX('Hours Log'!$A$4:$A$5000),"",MIN('Hours Log'!$A$4:$A$5000)+7*(ROW()-10)))</f>
        <v/>
      </c>
    </row>
    <row r="937">
      <c r="A937">
        <f>IF($J937="","",YEAR($J937-WEEKDAY($J937,2)+4)&amp;"-W"&amp;TEXT(WEEKNUM($J937,21),"00"))</f>
        <v/>
      </c>
      <c r="B937" s="41">
        <f>IF($J937="","",COUNTIFS(Roster!$D$4:$D$500,"Active",Roster!$C$4:$C$500,"&lt;="&amp;$J937))</f>
        <v/>
      </c>
      <c r="C937">
        <f>IF($J937="","",SUMIFS('Hours Log'!$C:$C,'Hours Log'!$A:$A,"&gt;="&amp;$J937,'Hours Log'!$A:$A,"&lt;"&amp;$J937+7)+SUMIFS('Hours Log'!$D:$D,'Hours Log'!$A:$A,"&gt;="&amp;$J937,'Hours Log'!$A:$A,"&lt;"&amp;$J937+7))</f>
        <v/>
      </c>
      <c r="D937">
        <f>IF($J937="","",SUMIFS('Hours Log'!$D:$D,'Hours Log'!$A:$A,"&gt;="&amp;$J937,'Hours Log'!$A:$A,"&lt;"&amp;$J937+7))</f>
        <v/>
      </c>
      <c r="E937">
        <f>IF($J937="","",IFERROR(C937/(B937*40),0))</f>
        <v/>
      </c>
      <c r="F937">
        <f>IF($J937="","",0)</f>
        <v/>
      </c>
      <c r="G937">
        <f>IF($J937="","",SUMIFS('Hours Log'!$E:$E,'Hours Log'!$A:$A,"&gt;="&amp;$J937,'Hours Log'!$A:$A,"&lt;"&amp;$J937+7))</f>
        <v/>
      </c>
      <c r="J937">
        <f>IF(COUNT('Hours Log'!$A$4:$A$5000)=0,"",IF(MIN('Hours Log'!$A$4:$A$5000)+7*(ROW()-10)&gt;MAX('Hours Log'!$A$4:$A$5000),"",MIN('Hours Log'!$A$4:$A$5000)+7*(ROW()-10)))</f>
        <v/>
      </c>
    </row>
    <row r="938">
      <c r="A938">
        <f>IF($J938="","",YEAR($J938-WEEKDAY($J938,2)+4)&amp;"-W"&amp;TEXT(WEEKNUM($J938,21),"00"))</f>
        <v/>
      </c>
      <c r="B938" s="41">
        <f>IF($J938="","",COUNTIFS(Roster!$D$4:$D$500,"Active",Roster!$C$4:$C$500,"&lt;="&amp;$J938))</f>
        <v/>
      </c>
      <c r="C938">
        <f>IF($J938="","",SUMIFS('Hours Log'!$C:$C,'Hours Log'!$A:$A,"&gt;="&amp;$J938,'Hours Log'!$A:$A,"&lt;"&amp;$J938+7)+SUMIFS('Hours Log'!$D:$D,'Hours Log'!$A:$A,"&gt;="&amp;$J938,'Hours Log'!$A:$A,"&lt;"&amp;$J938+7))</f>
        <v/>
      </c>
      <c r="D938">
        <f>IF($J938="","",SUMIFS('Hours Log'!$D:$D,'Hours Log'!$A:$A,"&gt;="&amp;$J938,'Hours Log'!$A:$A,"&lt;"&amp;$J938+7))</f>
        <v/>
      </c>
      <c r="E938">
        <f>IF($J938="","",IFERROR(C938/(B938*40),0))</f>
        <v/>
      </c>
      <c r="F938">
        <f>IF($J938="","",0)</f>
        <v/>
      </c>
      <c r="G938">
        <f>IF($J938="","",SUMIFS('Hours Log'!$E:$E,'Hours Log'!$A:$A,"&gt;="&amp;$J938,'Hours Log'!$A:$A,"&lt;"&amp;$J938+7))</f>
        <v/>
      </c>
      <c r="J938">
        <f>IF(COUNT('Hours Log'!$A$4:$A$5000)=0,"",IF(MIN('Hours Log'!$A$4:$A$5000)+7*(ROW()-10)&gt;MAX('Hours Log'!$A$4:$A$5000),"",MIN('Hours Log'!$A$4:$A$5000)+7*(ROW()-10)))</f>
        <v/>
      </c>
    </row>
    <row r="939">
      <c r="A939">
        <f>IF($J939="","",YEAR($J939-WEEKDAY($J939,2)+4)&amp;"-W"&amp;TEXT(WEEKNUM($J939,21),"00"))</f>
        <v/>
      </c>
      <c r="B939" s="41">
        <f>IF($J939="","",COUNTIFS(Roster!$D$4:$D$500,"Active",Roster!$C$4:$C$500,"&lt;="&amp;$J939))</f>
        <v/>
      </c>
      <c r="C939">
        <f>IF($J939="","",SUMIFS('Hours Log'!$C:$C,'Hours Log'!$A:$A,"&gt;="&amp;$J939,'Hours Log'!$A:$A,"&lt;"&amp;$J939+7)+SUMIFS('Hours Log'!$D:$D,'Hours Log'!$A:$A,"&gt;="&amp;$J939,'Hours Log'!$A:$A,"&lt;"&amp;$J939+7))</f>
        <v/>
      </c>
      <c r="D939">
        <f>IF($J939="","",SUMIFS('Hours Log'!$D:$D,'Hours Log'!$A:$A,"&gt;="&amp;$J939,'Hours Log'!$A:$A,"&lt;"&amp;$J939+7))</f>
        <v/>
      </c>
      <c r="E939">
        <f>IF($J939="","",IFERROR(C939/(B939*40),0))</f>
        <v/>
      </c>
      <c r="F939">
        <f>IF($J939="","",0)</f>
        <v/>
      </c>
      <c r="G939">
        <f>IF($J939="","",SUMIFS('Hours Log'!$E:$E,'Hours Log'!$A:$A,"&gt;="&amp;$J939,'Hours Log'!$A:$A,"&lt;"&amp;$J939+7))</f>
        <v/>
      </c>
      <c r="J939">
        <f>IF(COUNT('Hours Log'!$A$4:$A$5000)=0,"",IF(MIN('Hours Log'!$A$4:$A$5000)+7*(ROW()-10)&gt;MAX('Hours Log'!$A$4:$A$5000),"",MIN('Hours Log'!$A$4:$A$5000)+7*(ROW()-10)))</f>
        <v/>
      </c>
    </row>
    <row r="940">
      <c r="A940">
        <f>IF($J940="","",YEAR($J940-WEEKDAY($J940,2)+4)&amp;"-W"&amp;TEXT(WEEKNUM($J940,21),"00"))</f>
        <v/>
      </c>
      <c r="B940" s="41">
        <f>IF($J940="","",COUNTIFS(Roster!$D$4:$D$500,"Active",Roster!$C$4:$C$500,"&lt;="&amp;$J940))</f>
        <v/>
      </c>
      <c r="C940">
        <f>IF($J940="","",SUMIFS('Hours Log'!$C:$C,'Hours Log'!$A:$A,"&gt;="&amp;$J940,'Hours Log'!$A:$A,"&lt;"&amp;$J940+7)+SUMIFS('Hours Log'!$D:$D,'Hours Log'!$A:$A,"&gt;="&amp;$J940,'Hours Log'!$A:$A,"&lt;"&amp;$J940+7))</f>
        <v/>
      </c>
      <c r="D940">
        <f>IF($J940="","",SUMIFS('Hours Log'!$D:$D,'Hours Log'!$A:$A,"&gt;="&amp;$J940,'Hours Log'!$A:$A,"&lt;"&amp;$J940+7))</f>
        <v/>
      </c>
      <c r="E940">
        <f>IF($J940="","",IFERROR(C940/(B940*40),0))</f>
        <v/>
      </c>
      <c r="F940">
        <f>IF($J940="","",0)</f>
        <v/>
      </c>
      <c r="G940">
        <f>IF($J940="","",SUMIFS('Hours Log'!$E:$E,'Hours Log'!$A:$A,"&gt;="&amp;$J940,'Hours Log'!$A:$A,"&lt;"&amp;$J940+7))</f>
        <v/>
      </c>
      <c r="J940">
        <f>IF(COUNT('Hours Log'!$A$4:$A$5000)=0,"",IF(MIN('Hours Log'!$A$4:$A$5000)+7*(ROW()-10)&gt;MAX('Hours Log'!$A$4:$A$5000),"",MIN('Hours Log'!$A$4:$A$5000)+7*(ROW()-10)))</f>
        <v/>
      </c>
    </row>
    <row r="941">
      <c r="A941">
        <f>IF($J941="","",YEAR($J941-WEEKDAY($J941,2)+4)&amp;"-W"&amp;TEXT(WEEKNUM($J941,21),"00"))</f>
        <v/>
      </c>
      <c r="B941" s="41">
        <f>IF($J941="","",COUNTIFS(Roster!$D$4:$D$500,"Active",Roster!$C$4:$C$500,"&lt;="&amp;$J941))</f>
        <v/>
      </c>
      <c r="C941">
        <f>IF($J941="","",SUMIFS('Hours Log'!$C:$C,'Hours Log'!$A:$A,"&gt;="&amp;$J941,'Hours Log'!$A:$A,"&lt;"&amp;$J941+7)+SUMIFS('Hours Log'!$D:$D,'Hours Log'!$A:$A,"&gt;="&amp;$J941,'Hours Log'!$A:$A,"&lt;"&amp;$J941+7))</f>
        <v/>
      </c>
      <c r="D941">
        <f>IF($J941="","",SUMIFS('Hours Log'!$D:$D,'Hours Log'!$A:$A,"&gt;="&amp;$J941,'Hours Log'!$A:$A,"&lt;"&amp;$J941+7))</f>
        <v/>
      </c>
      <c r="E941">
        <f>IF($J941="","",IFERROR(C941/(B941*40),0))</f>
        <v/>
      </c>
      <c r="F941">
        <f>IF($J941="","",0)</f>
        <v/>
      </c>
      <c r="G941">
        <f>IF($J941="","",SUMIFS('Hours Log'!$E:$E,'Hours Log'!$A:$A,"&gt;="&amp;$J941,'Hours Log'!$A:$A,"&lt;"&amp;$J941+7))</f>
        <v/>
      </c>
      <c r="J941">
        <f>IF(COUNT('Hours Log'!$A$4:$A$5000)=0,"",IF(MIN('Hours Log'!$A$4:$A$5000)+7*(ROW()-10)&gt;MAX('Hours Log'!$A$4:$A$5000),"",MIN('Hours Log'!$A$4:$A$5000)+7*(ROW()-10)))</f>
        <v/>
      </c>
    </row>
    <row r="942">
      <c r="A942">
        <f>IF($J942="","",YEAR($J942-WEEKDAY($J942,2)+4)&amp;"-W"&amp;TEXT(WEEKNUM($J942,21),"00"))</f>
        <v/>
      </c>
      <c r="B942" s="41">
        <f>IF($J942="","",COUNTIFS(Roster!$D$4:$D$500,"Active",Roster!$C$4:$C$500,"&lt;="&amp;$J942))</f>
        <v/>
      </c>
      <c r="C942">
        <f>IF($J942="","",SUMIFS('Hours Log'!$C:$C,'Hours Log'!$A:$A,"&gt;="&amp;$J942,'Hours Log'!$A:$A,"&lt;"&amp;$J942+7)+SUMIFS('Hours Log'!$D:$D,'Hours Log'!$A:$A,"&gt;="&amp;$J942,'Hours Log'!$A:$A,"&lt;"&amp;$J942+7))</f>
        <v/>
      </c>
      <c r="D942">
        <f>IF($J942="","",SUMIFS('Hours Log'!$D:$D,'Hours Log'!$A:$A,"&gt;="&amp;$J942,'Hours Log'!$A:$A,"&lt;"&amp;$J942+7))</f>
        <v/>
      </c>
      <c r="E942">
        <f>IF($J942="","",IFERROR(C942/(B942*40),0))</f>
        <v/>
      </c>
      <c r="F942">
        <f>IF($J942="","",0)</f>
        <v/>
      </c>
      <c r="G942">
        <f>IF($J942="","",SUMIFS('Hours Log'!$E:$E,'Hours Log'!$A:$A,"&gt;="&amp;$J942,'Hours Log'!$A:$A,"&lt;"&amp;$J942+7))</f>
        <v/>
      </c>
      <c r="J942">
        <f>IF(COUNT('Hours Log'!$A$4:$A$5000)=0,"",IF(MIN('Hours Log'!$A$4:$A$5000)+7*(ROW()-10)&gt;MAX('Hours Log'!$A$4:$A$5000),"",MIN('Hours Log'!$A$4:$A$5000)+7*(ROW()-10)))</f>
        <v/>
      </c>
    </row>
    <row r="943">
      <c r="A943">
        <f>IF($J943="","",YEAR($J943-WEEKDAY($J943,2)+4)&amp;"-W"&amp;TEXT(WEEKNUM($J943,21),"00"))</f>
        <v/>
      </c>
      <c r="B943" s="41">
        <f>IF($J943="","",COUNTIFS(Roster!$D$4:$D$500,"Active",Roster!$C$4:$C$500,"&lt;="&amp;$J943))</f>
        <v/>
      </c>
      <c r="C943">
        <f>IF($J943="","",SUMIFS('Hours Log'!$C:$C,'Hours Log'!$A:$A,"&gt;="&amp;$J943,'Hours Log'!$A:$A,"&lt;"&amp;$J943+7)+SUMIFS('Hours Log'!$D:$D,'Hours Log'!$A:$A,"&gt;="&amp;$J943,'Hours Log'!$A:$A,"&lt;"&amp;$J943+7))</f>
        <v/>
      </c>
      <c r="D943">
        <f>IF($J943="","",SUMIFS('Hours Log'!$D:$D,'Hours Log'!$A:$A,"&gt;="&amp;$J943,'Hours Log'!$A:$A,"&lt;"&amp;$J943+7))</f>
        <v/>
      </c>
      <c r="E943">
        <f>IF($J943="","",IFERROR(C943/(B943*40),0))</f>
        <v/>
      </c>
      <c r="F943">
        <f>IF($J943="","",0)</f>
        <v/>
      </c>
      <c r="G943">
        <f>IF($J943="","",SUMIFS('Hours Log'!$E:$E,'Hours Log'!$A:$A,"&gt;="&amp;$J943,'Hours Log'!$A:$A,"&lt;"&amp;$J943+7))</f>
        <v/>
      </c>
      <c r="J943">
        <f>IF(COUNT('Hours Log'!$A$4:$A$5000)=0,"",IF(MIN('Hours Log'!$A$4:$A$5000)+7*(ROW()-10)&gt;MAX('Hours Log'!$A$4:$A$5000),"",MIN('Hours Log'!$A$4:$A$5000)+7*(ROW()-10)))</f>
        <v/>
      </c>
    </row>
    <row r="944">
      <c r="A944">
        <f>IF($J944="","",YEAR($J944-WEEKDAY($J944,2)+4)&amp;"-W"&amp;TEXT(WEEKNUM($J944,21),"00"))</f>
        <v/>
      </c>
      <c r="B944" s="41">
        <f>IF($J944="","",COUNTIFS(Roster!$D$4:$D$500,"Active",Roster!$C$4:$C$500,"&lt;="&amp;$J944))</f>
        <v/>
      </c>
      <c r="C944">
        <f>IF($J944="","",SUMIFS('Hours Log'!$C:$C,'Hours Log'!$A:$A,"&gt;="&amp;$J944,'Hours Log'!$A:$A,"&lt;"&amp;$J944+7)+SUMIFS('Hours Log'!$D:$D,'Hours Log'!$A:$A,"&gt;="&amp;$J944,'Hours Log'!$A:$A,"&lt;"&amp;$J944+7))</f>
        <v/>
      </c>
      <c r="D944">
        <f>IF($J944="","",SUMIFS('Hours Log'!$D:$D,'Hours Log'!$A:$A,"&gt;="&amp;$J944,'Hours Log'!$A:$A,"&lt;"&amp;$J944+7))</f>
        <v/>
      </c>
      <c r="E944">
        <f>IF($J944="","",IFERROR(C944/(B944*40),0))</f>
        <v/>
      </c>
      <c r="F944">
        <f>IF($J944="","",0)</f>
        <v/>
      </c>
      <c r="G944">
        <f>IF($J944="","",SUMIFS('Hours Log'!$E:$E,'Hours Log'!$A:$A,"&gt;="&amp;$J944,'Hours Log'!$A:$A,"&lt;"&amp;$J944+7))</f>
        <v/>
      </c>
      <c r="J944">
        <f>IF(COUNT('Hours Log'!$A$4:$A$5000)=0,"",IF(MIN('Hours Log'!$A$4:$A$5000)+7*(ROW()-10)&gt;MAX('Hours Log'!$A$4:$A$5000),"",MIN('Hours Log'!$A$4:$A$5000)+7*(ROW()-10)))</f>
        <v/>
      </c>
    </row>
    <row r="945">
      <c r="A945">
        <f>IF($J945="","",YEAR($J945-WEEKDAY($J945,2)+4)&amp;"-W"&amp;TEXT(WEEKNUM($J945,21),"00"))</f>
        <v/>
      </c>
      <c r="B945" s="41">
        <f>IF($J945="","",COUNTIFS(Roster!$D$4:$D$500,"Active",Roster!$C$4:$C$500,"&lt;="&amp;$J945))</f>
        <v/>
      </c>
      <c r="C945">
        <f>IF($J945="","",SUMIFS('Hours Log'!$C:$C,'Hours Log'!$A:$A,"&gt;="&amp;$J945,'Hours Log'!$A:$A,"&lt;"&amp;$J945+7)+SUMIFS('Hours Log'!$D:$D,'Hours Log'!$A:$A,"&gt;="&amp;$J945,'Hours Log'!$A:$A,"&lt;"&amp;$J945+7))</f>
        <v/>
      </c>
      <c r="D945">
        <f>IF($J945="","",SUMIFS('Hours Log'!$D:$D,'Hours Log'!$A:$A,"&gt;="&amp;$J945,'Hours Log'!$A:$A,"&lt;"&amp;$J945+7))</f>
        <v/>
      </c>
      <c r="E945">
        <f>IF($J945="","",IFERROR(C945/(B945*40),0))</f>
        <v/>
      </c>
      <c r="F945">
        <f>IF($J945="","",0)</f>
        <v/>
      </c>
      <c r="G945">
        <f>IF($J945="","",SUMIFS('Hours Log'!$E:$E,'Hours Log'!$A:$A,"&gt;="&amp;$J945,'Hours Log'!$A:$A,"&lt;"&amp;$J945+7))</f>
        <v/>
      </c>
      <c r="J945">
        <f>IF(COUNT('Hours Log'!$A$4:$A$5000)=0,"",IF(MIN('Hours Log'!$A$4:$A$5000)+7*(ROW()-10)&gt;MAX('Hours Log'!$A$4:$A$5000),"",MIN('Hours Log'!$A$4:$A$5000)+7*(ROW()-10)))</f>
        <v/>
      </c>
    </row>
    <row r="946">
      <c r="A946">
        <f>IF($J946="","",YEAR($J946-WEEKDAY($J946,2)+4)&amp;"-W"&amp;TEXT(WEEKNUM($J946,21),"00"))</f>
        <v/>
      </c>
      <c r="B946" s="41">
        <f>IF($J946="","",COUNTIFS(Roster!$D$4:$D$500,"Active",Roster!$C$4:$C$500,"&lt;="&amp;$J946))</f>
        <v/>
      </c>
      <c r="C946">
        <f>IF($J946="","",SUMIFS('Hours Log'!$C:$C,'Hours Log'!$A:$A,"&gt;="&amp;$J946,'Hours Log'!$A:$A,"&lt;"&amp;$J946+7)+SUMIFS('Hours Log'!$D:$D,'Hours Log'!$A:$A,"&gt;="&amp;$J946,'Hours Log'!$A:$A,"&lt;"&amp;$J946+7))</f>
        <v/>
      </c>
      <c r="D946">
        <f>IF($J946="","",SUMIFS('Hours Log'!$D:$D,'Hours Log'!$A:$A,"&gt;="&amp;$J946,'Hours Log'!$A:$A,"&lt;"&amp;$J946+7))</f>
        <v/>
      </c>
      <c r="E946">
        <f>IF($J946="","",IFERROR(C946/(B946*40),0))</f>
        <v/>
      </c>
      <c r="F946">
        <f>IF($J946="","",0)</f>
        <v/>
      </c>
      <c r="G946">
        <f>IF($J946="","",SUMIFS('Hours Log'!$E:$E,'Hours Log'!$A:$A,"&gt;="&amp;$J946,'Hours Log'!$A:$A,"&lt;"&amp;$J946+7))</f>
        <v/>
      </c>
      <c r="J946">
        <f>IF(COUNT('Hours Log'!$A$4:$A$5000)=0,"",IF(MIN('Hours Log'!$A$4:$A$5000)+7*(ROW()-10)&gt;MAX('Hours Log'!$A$4:$A$5000),"",MIN('Hours Log'!$A$4:$A$5000)+7*(ROW()-10)))</f>
        <v/>
      </c>
    </row>
    <row r="947">
      <c r="A947">
        <f>IF($J947="","",YEAR($J947-WEEKDAY($J947,2)+4)&amp;"-W"&amp;TEXT(WEEKNUM($J947,21),"00"))</f>
        <v/>
      </c>
      <c r="B947" s="41">
        <f>IF($J947="","",COUNTIFS(Roster!$D$4:$D$500,"Active",Roster!$C$4:$C$500,"&lt;="&amp;$J947))</f>
        <v/>
      </c>
      <c r="C947">
        <f>IF($J947="","",SUMIFS('Hours Log'!$C:$C,'Hours Log'!$A:$A,"&gt;="&amp;$J947,'Hours Log'!$A:$A,"&lt;"&amp;$J947+7)+SUMIFS('Hours Log'!$D:$D,'Hours Log'!$A:$A,"&gt;="&amp;$J947,'Hours Log'!$A:$A,"&lt;"&amp;$J947+7))</f>
        <v/>
      </c>
      <c r="D947">
        <f>IF($J947="","",SUMIFS('Hours Log'!$D:$D,'Hours Log'!$A:$A,"&gt;="&amp;$J947,'Hours Log'!$A:$A,"&lt;"&amp;$J947+7))</f>
        <v/>
      </c>
      <c r="E947">
        <f>IF($J947="","",IFERROR(C947/(B947*40),0))</f>
        <v/>
      </c>
      <c r="F947">
        <f>IF($J947="","",0)</f>
        <v/>
      </c>
      <c r="G947">
        <f>IF($J947="","",SUMIFS('Hours Log'!$E:$E,'Hours Log'!$A:$A,"&gt;="&amp;$J947,'Hours Log'!$A:$A,"&lt;"&amp;$J947+7))</f>
        <v/>
      </c>
      <c r="J947">
        <f>IF(COUNT('Hours Log'!$A$4:$A$5000)=0,"",IF(MIN('Hours Log'!$A$4:$A$5000)+7*(ROW()-10)&gt;MAX('Hours Log'!$A$4:$A$5000),"",MIN('Hours Log'!$A$4:$A$5000)+7*(ROW()-10)))</f>
        <v/>
      </c>
    </row>
    <row r="948">
      <c r="A948">
        <f>IF($J948="","",YEAR($J948-WEEKDAY($J948,2)+4)&amp;"-W"&amp;TEXT(WEEKNUM($J948,21),"00"))</f>
        <v/>
      </c>
      <c r="B948" s="41">
        <f>IF($J948="","",COUNTIFS(Roster!$D$4:$D$500,"Active",Roster!$C$4:$C$500,"&lt;="&amp;$J948))</f>
        <v/>
      </c>
      <c r="C948">
        <f>IF($J948="","",SUMIFS('Hours Log'!$C:$C,'Hours Log'!$A:$A,"&gt;="&amp;$J948,'Hours Log'!$A:$A,"&lt;"&amp;$J948+7)+SUMIFS('Hours Log'!$D:$D,'Hours Log'!$A:$A,"&gt;="&amp;$J948,'Hours Log'!$A:$A,"&lt;"&amp;$J948+7))</f>
        <v/>
      </c>
      <c r="D948">
        <f>IF($J948="","",SUMIFS('Hours Log'!$D:$D,'Hours Log'!$A:$A,"&gt;="&amp;$J948,'Hours Log'!$A:$A,"&lt;"&amp;$J948+7))</f>
        <v/>
      </c>
      <c r="E948">
        <f>IF($J948="","",IFERROR(C948/(B948*40),0))</f>
        <v/>
      </c>
      <c r="F948">
        <f>IF($J948="","",0)</f>
        <v/>
      </c>
      <c r="G948">
        <f>IF($J948="","",SUMIFS('Hours Log'!$E:$E,'Hours Log'!$A:$A,"&gt;="&amp;$J948,'Hours Log'!$A:$A,"&lt;"&amp;$J948+7))</f>
        <v/>
      </c>
      <c r="J948">
        <f>IF(COUNT('Hours Log'!$A$4:$A$5000)=0,"",IF(MIN('Hours Log'!$A$4:$A$5000)+7*(ROW()-10)&gt;MAX('Hours Log'!$A$4:$A$5000),"",MIN('Hours Log'!$A$4:$A$5000)+7*(ROW()-10)))</f>
        <v/>
      </c>
    </row>
    <row r="949">
      <c r="A949">
        <f>IF($J949="","",YEAR($J949-WEEKDAY($J949,2)+4)&amp;"-W"&amp;TEXT(WEEKNUM($J949,21),"00"))</f>
        <v/>
      </c>
      <c r="B949" s="41">
        <f>IF($J949="","",COUNTIFS(Roster!$D$4:$D$500,"Active",Roster!$C$4:$C$500,"&lt;="&amp;$J949))</f>
        <v/>
      </c>
      <c r="C949">
        <f>IF($J949="","",SUMIFS('Hours Log'!$C:$C,'Hours Log'!$A:$A,"&gt;="&amp;$J949,'Hours Log'!$A:$A,"&lt;"&amp;$J949+7)+SUMIFS('Hours Log'!$D:$D,'Hours Log'!$A:$A,"&gt;="&amp;$J949,'Hours Log'!$A:$A,"&lt;"&amp;$J949+7))</f>
        <v/>
      </c>
      <c r="D949">
        <f>IF($J949="","",SUMIFS('Hours Log'!$D:$D,'Hours Log'!$A:$A,"&gt;="&amp;$J949,'Hours Log'!$A:$A,"&lt;"&amp;$J949+7))</f>
        <v/>
      </c>
      <c r="E949">
        <f>IF($J949="","",IFERROR(C949/(B949*40),0))</f>
        <v/>
      </c>
      <c r="F949">
        <f>IF($J949="","",0)</f>
        <v/>
      </c>
      <c r="G949">
        <f>IF($J949="","",SUMIFS('Hours Log'!$E:$E,'Hours Log'!$A:$A,"&gt;="&amp;$J949,'Hours Log'!$A:$A,"&lt;"&amp;$J949+7))</f>
        <v/>
      </c>
      <c r="J949">
        <f>IF(COUNT('Hours Log'!$A$4:$A$5000)=0,"",IF(MIN('Hours Log'!$A$4:$A$5000)+7*(ROW()-10)&gt;MAX('Hours Log'!$A$4:$A$5000),"",MIN('Hours Log'!$A$4:$A$5000)+7*(ROW()-10)))</f>
        <v/>
      </c>
    </row>
    <row r="950">
      <c r="A950">
        <f>IF($J950="","",YEAR($J950-WEEKDAY($J950,2)+4)&amp;"-W"&amp;TEXT(WEEKNUM($J950,21),"00"))</f>
        <v/>
      </c>
      <c r="B950" s="41">
        <f>IF($J950="","",COUNTIFS(Roster!$D$4:$D$500,"Active",Roster!$C$4:$C$500,"&lt;="&amp;$J950))</f>
        <v/>
      </c>
      <c r="C950">
        <f>IF($J950="","",SUMIFS('Hours Log'!$C:$C,'Hours Log'!$A:$A,"&gt;="&amp;$J950,'Hours Log'!$A:$A,"&lt;"&amp;$J950+7)+SUMIFS('Hours Log'!$D:$D,'Hours Log'!$A:$A,"&gt;="&amp;$J950,'Hours Log'!$A:$A,"&lt;"&amp;$J950+7))</f>
        <v/>
      </c>
      <c r="D950">
        <f>IF($J950="","",SUMIFS('Hours Log'!$D:$D,'Hours Log'!$A:$A,"&gt;="&amp;$J950,'Hours Log'!$A:$A,"&lt;"&amp;$J950+7))</f>
        <v/>
      </c>
      <c r="E950">
        <f>IF($J950="","",IFERROR(C950/(B950*40),0))</f>
        <v/>
      </c>
      <c r="F950">
        <f>IF($J950="","",0)</f>
        <v/>
      </c>
      <c r="G950">
        <f>IF($J950="","",SUMIFS('Hours Log'!$E:$E,'Hours Log'!$A:$A,"&gt;="&amp;$J950,'Hours Log'!$A:$A,"&lt;"&amp;$J950+7))</f>
        <v/>
      </c>
      <c r="J950">
        <f>IF(COUNT('Hours Log'!$A$4:$A$5000)=0,"",IF(MIN('Hours Log'!$A$4:$A$5000)+7*(ROW()-10)&gt;MAX('Hours Log'!$A$4:$A$5000),"",MIN('Hours Log'!$A$4:$A$5000)+7*(ROW()-10)))</f>
        <v/>
      </c>
    </row>
    <row r="951">
      <c r="A951">
        <f>IF($J951="","",YEAR($J951-WEEKDAY($J951,2)+4)&amp;"-W"&amp;TEXT(WEEKNUM($J951,21),"00"))</f>
        <v/>
      </c>
      <c r="B951" s="41">
        <f>IF($J951="","",COUNTIFS(Roster!$D$4:$D$500,"Active",Roster!$C$4:$C$500,"&lt;="&amp;$J951))</f>
        <v/>
      </c>
      <c r="C951">
        <f>IF($J951="","",SUMIFS('Hours Log'!$C:$C,'Hours Log'!$A:$A,"&gt;="&amp;$J951,'Hours Log'!$A:$A,"&lt;"&amp;$J951+7)+SUMIFS('Hours Log'!$D:$D,'Hours Log'!$A:$A,"&gt;="&amp;$J951,'Hours Log'!$A:$A,"&lt;"&amp;$J951+7))</f>
        <v/>
      </c>
      <c r="D951">
        <f>IF($J951="","",SUMIFS('Hours Log'!$D:$D,'Hours Log'!$A:$A,"&gt;="&amp;$J951,'Hours Log'!$A:$A,"&lt;"&amp;$J951+7))</f>
        <v/>
      </c>
      <c r="E951">
        <f>IF($J951="","",IFERROR(C951/(B951*40),0))</f>
        <v/>
      </c>
      <c r="F951">
        <f>IF($J951="","",0)</f>
        <v/>
      </c>
      <c r="G951">
        <f>IF($J951="","",SUMIFS('Hours Log'!$E:$E,'Hours Log'!$A:$A,"&gt;="&amp;$J951,'Hours Log'!$A:$A,"&lt;"&amp;$J951+7))</f>
        <v/>
      </c>
      <c r="J951">
        <f>IF(COUNT('Hours Log'!$A$4:$A$5000)=0,"",IF(MIN('Hours Log'!$A$4:$A$5000)+7*(ROW()-10)&gt;MAX('Hours Log'!$A$4:$A$5000),"",MIN('Hours Log'!$A$4:$A$5000)+7*(ROW()-10)))</f>
        <v/>
      </c>
    </row>
    <row r="952">
      <c r="A952">
        <f>IF($J952="","",YEAR($J952-WEEKDAY($J952,2)+4)&amp;"-W"&amp;TEXT(WEEKNUM($J952,21),"00"))</f>
        <v/>
      </c>
      <c r="B952" s="41">
        <f>IF($J952="","",COUNTIFS(Roster!$D$4:$D$500,"Active",Roster!$C$4:$C$500,"&lt;="&amp;$J952))</f>
        <v/>
      </c>
      <c r="C952">
        <f>IF($J952="","",SUMIFS('Hours Log'!$C:$C,'Hours Log'!$A:$A,"&gt;="&amp;$J952,'Hours Log'!$A:$A,"&lt;"&amp;$J952+7)+SUMIFS('Hours Log'!$D:$D,'Hours Log'!$A:$A,"&gt;="&amp;$J952,'Hours Log'!$A:$A,"&lt;"&amp;$J952+7))</f>
        <v/>
      </c>
      <c r="D952">
        <f>IF($J952="","",SUMIFS('Hours Log'!$D:$D,'Hours Log'!$A:$A,"&gt;="&amp;$J952,'Hours Log'!$A:$A,"&lt;"&amp;$J952+7))</f>
        <v/>
      </c>
      <c r="E952">
        <f>IF($J952="","",IFERROR(C952/(B952*40),0))</f>
        <v/>
      </c>
      <c r="F952">
        <f>IF($J952="","",0)</f>
        <v/>
      </c>
      <c r="G952">
        <f>IF($J952="","",SUMIFS('Hours Log'!$E:$E,'Hours Log'!$A:$A,"&gt;="&amp;$J952,'Hours Log'!$A:$A,"&lt;"&amp;$J952+7))</f>
        <v/>
      </c>
      <c r="J952">
        <f>IF(COUNT('Hours Log'!$A$4:$A$5000)=0,"",IF(MIN('Hours Log'!$A$4:$A$5000)+7*(ROW()-10)&gt;MAX('Hours Log'!$A$4:$A$5000),"",MIN('Hours Log'!$A$4:$A$5000)+7*(ROW()-10)))</f>
        <v/>
      </c>
    </row>
    <row r="953">
      <c r="A953">
        <f>IF($J953="","",YEAR($J953-WEEKDAY($J953,2)+4)&amp;"-W"&amp;TEXT(WEEKNUM($J953,21),"00"))</f>
        <v/>
      </c>
      <c r="B953" s="41">
        <f>IF($J953="","",COUNTIFS(Roster!$D$4:$D$500,"Active",Roster!$C$4:$C$500,"&lt;="&amp;$J953))</f>
        <v/>
      </c>
      <c r="C953">
        <f>IF($J953="","",SUMIFS('Hours Log'!$C:$C,'Hours Log'!$A:$A,"&gt;="&amp;$J953,'Hours Log'!$A:$A,"&lt;"&amp;$J953+7)+SUMIFS('Hours Log'!$D:$D,'Hours Log'!$A:$A,"&gt;="&amp;$J953,'Hours Log'!$A:$A,"&lt;"&amp;$J953+7))</f>
        <v/>
      </c>
      <c r="D953">
        <f>IF($J953="","",SUMIFS('Hours Log'!$D:$D,'Hours Log'!$A:$A,"&gt;="&amp;$J953,'Hours Log'!$A:$A,"&lt;"&amp;$J953+7))</f>
        <v/>
      </c>
      <c r="E953">
        <f>IF($J953="","",IFERROR(C953/(B953*40),0))</f>
        <v/>
      </c>
      <c r="F953">
        <f>IF($J953="","",0)</f>
        <v/>
      </c>
      <c r="G953">
        <f>IF($J953="","",SUMIFS('Hours Log'!$E:$E,'Hours Log'!$A:$A,"&gt;="&amp;$J953,'Hours Log'!$A:$A,"&lt;"&amp;$J953+7))</f>
        <v/>
      </c>
      <c r="J953">
        <f>IF(COUNT('Hours Log'!$A$4:$A$5000)=0,"",IF(MIN('Hours Log'!$A$4:$A$5000)+7*(ROW()-10)&gt;MAX('Hours Log'!$A$4:$A$5000),"",MIN('Hours Log'!$A$4:$A$5000)+7*(ROW()-10)))</f>
        <v/>
      </c>
    </row>
    <row r="954">
      <c r="A954">
        <f>IF($J954="","",YEAR($J954-WEEKDAY($J954,2)+4)&amp;"-W"&amp;TEXT(WEEKNUM($J954,21),"00"))</f>
        <v/>
      </c>
      <c r="B954" s="41">
        <f>IF($J954="","",COUNTIFS(Roster!$D$4:$D$500,"Active",Roster!$C$4:$C$500,"&lt;="&amp;$J954))</f>
        <v/>
      </c>
      <c r="C954">
        <f>IF($J954="","",SUMIFS('Hours Log'!$C:$C,'Hours Log'!$A:$A,"&gt;="&amp;$J954,'Hours Log'!$A:$A,"&lt;"&amp;$J954+7)+SUMIFS('Hours Log'!$D:$D,'Hours Log'!$A:$A,"&gt;="&amp;$J954,'Hours Log'!$A:$A,"&lt;"&amp;$J954+7))</f>
        <v/>
      </c>
      <c r="D954">
        <f>IF($J954="","",SUMIFS('Hours Log'!$D:$D,'Hours Log'!$A:$A,"&gt;="&amp;$J954,'Hours Log'!$A:$A,"&lt;"&amp;$J954+7))</f>
        <v/>
      </c>
      <c r="E954">
        <f>IF($J954="","",IFERROR(C954/(B954*40),0))</f>
        <v/>
      </c>
      <c r="F954">
        <f>IF($J954="","",0)</f>
        <v/>
      </c>
      <c r="G954">
        <f>IF($J954="","",SUMIFS('Hours Log'!$E:$E,'Hours Log'!$A:$A,"&gt;="&amp;$J954,'Hours Log'!$A:$A,"&lt;"&amp;$J954+7))</f>
        <v/>
      </c>
      <c r="J954">
        <f>IF(COUNT('Hours Log'!$A$4:$A$5000)=0,"",IF(MIN('Hours Log'!$A$4:$A$5000)+7*(ROW()-10)&gt;MAX('Hours Log'!$A$4:$A$5000),"",MIN('Hours Log'!$A$4:$A$5000)+7*(ROW()-10)))</f>
        <v/>
      </c>
    </row>
    <row r="955">
      <c r="A955">
        <f>IF($J955="","",YEAR($J955-WEEKDAY($J955,2)+4)&amp;"-W"&amp;TEXT(WEEKNUM($J955,21),"00"))</f>
        <v/>
      </c>
      <c r="B955" s="41">
        <f>IF($J955="","",COUNTIFS(Roster!$D$4:$D$500,"Active",Roster!$C$4:$C$500,"&lt;="&amp;$J955))</f>
        <v/>
      </c>
      <c r="C955">
        <f>IF($J955="","",SUMIFS('Hours Log'!$C:$C,'Hours Log'!$A:$A,"&gt;="&amp;$J955,'Hours Log'!$A:$A,"&lt;"&amp;$J955+7)+SUMIFS('Hours Log'!$D:$D,'Hours Log'!$A:$A,"&gt;="&amp;$J955,'Hours Log'!$A:$A,"&lt;"&amp;$J955+7))</f>
        <v/>
      </c>
      <c r="D955">
        <f>IF($J955="","",SUMIFS('Hours Log'!$D:$D,'Hours Log'!$A:$A,"&gt;="&amp;$J955,'Hours Log'!$A:$A,"&lt;"&amp;$J955+7))</f>
        <v/>
      </c>
      <c r="E955">
        <f>IF($J955="","",IFERROR(C955/(B955*40),0))</f>
        <v/>
      </c>
      <c r="F955">
        <f>IF($J955="","",0)</f>
        <v/>
      </c>
      <c r="G955">
        <f>IF($J955="","",SUMIFS('Hours Log'!$E:$E,'Hours Log'!$A:$A,"&gt;="&amp;$J955,'Hours Log'!$A:$A,"&lt;"&amp;$J955+7))</f>
        <v/>
      </c>
      <c r="J955">
        <f>IF(COUNT('Hours Log'!$A$4:$A$5000)=0,"",IF(MIN('Hours Log'!$A$4:$A$5000)+7*(ROW()-10)&gt;MAX('Hours Log'!$A$4:$A$5000),"",MIN('Hours Log'!$A$4:$A$5000)+7*(ROW()-10)))</f>
        <v/>
      </c>
    </row>
    <row r="956">
      <c r="A956">
        <f>IF($J956="","",YEAR($J956-WEEKDAY($J956,2)+4)&amp;"-W"&amp;TEXT(WEEKNUM($J956,21),"00"))</f>
        <v/>
      </c>
      <c r="B956" s="41">
        <f>IF($J956="","",COUNTIFS(Roster!$D$4:$D$500,"Active",Roster!$C$4:$C$500,"&lt;="&amp;$J956))</f>
        <v/>
      </c>
      <c r="C956">
        <f>IF($J956="","",SUMIFS('Hours Log'!$C:$C,'Hours Log'!$A:$A,"&gt;="&amp;$J956,'Hours Log'!$A:$A,"&lt;"&amp;$J956+7)+SUMIFS('Hours Log'!$D:$D,'Hours Log'!$A:$A,"&gt;="&amp;$J956,'Hours Log'!$A:$A,"&lt;"&amp;$J956+7))</f>
        <v/>
      </c>
      <c r="D956">
        <f>IF($J956="","",SUMIFS('Hours Log'!$D:$D,'Hours Log'!$A:$A,"&gt;="&amp;$J956,'Hours Log'!$A:$A,"&lt;"&amp;$J956+7))</f>
        <v/>
      </c>
      <c r="E956">
        <f>IF($J956="","",IFERROR(C956/(B956*40),0))</f>
        <v/>
      </c>
      <c r="F956">
        <f>IF($J956="","",0)</f>
        <v/>
      </c>
      <c r="G956">
        <f>IF($J956="","",SUMIFS('Hours Log'!$E:$E,'Hours Log'!$A:$A,"&gt;="&amp;$J956,'Hours Log'!$A:$A,"&lt;"&amp;$J956+7))</f>
        <v/>
      </c>
      <c r="J956">
        <f>IF(COUNT('Hours Log'!$A$4:$A$5000)=0,"",IF(MIN('Hours Log'!$A$4:$A$5000)+7*(ROW()-10)&gt;MAX('Hours Log'!$A$4:$A$5000),"",MIN('Hours Log'!$A$4:$A$5000)+7*(ROW()-10)))</f>
        <v/>
      </c>
    </row>
    <row r="957">
      <c r="A957">
        <f>IF($J957="","",YEAR($J957-WEEKDAY($J957,2)+4)&amp;"-W"&amp;TEXT(WEEKNUM($J957,21),"00"))</f>
        <v/>
      </c>
      <c r="B957" s="41">
        <f>IF($J957="","",COUNTIFS(Roster!$D$4:$D$500,"Active",Roster!$C$4:$C$500,"&lt;="&amp;$J957))</f>
        <v/>
      </c>
      <c r="C957">
        <f>IF($J957="","",SUMIFS('Hours Log'!$C:$C,'Hours Log'!$A:$A,"&gt;="&amp;$J957,'Hours Log'!$A:$A,"&lt;"&amp;$J957+7)+SUMIFS('Hours Log'!$D:$D,'Hours Log'!$A:$A,"&gt;="&amp;$J957,'Hours Log'!$A:$A,"&lt;"&amp;$J957+7))</f>
        <v/>
      </c>
      <c r="D957">
        <f>IF($J957="","",SUMIFS('Hours Log'!$D:$D,'Hours Log'!$A:$A,"&gt;="&amp;$J957,'Hours Log'!$A:$A,"&lt;"&amp;$J957+7))</f>
        <v/>
      </c>
      <c r="E957">
        <f>IF($J957="","",IFERROR(C957/(B957*40),0))</f>
        <v/>
      </c>
      <c r="F957">
        <f>IF($J957="","",0)</f>
        <v/>
      </c>
      <c r="G957">
        <f>IF($J957="","",SUMIFS('Hours Log'!$E:$E,'Hours Log'!$A:$A,"&gt;="&amp;$J957,'Hours Log'!$A:$A,"&lt;"&amp;$J957+7))</f>
        <v/>
      </c>
      <c r="J957">
        <f>IF(COUNT('Hours Log'!$A$4:$A$5000)=0,"",IF(MIN('Hours Log'!$A$4:$A$5000)+7*(ROW()-10)&gt;MAX('Hours Log'!$A$4:$A$5000),"",MIN('Hours Log'!$A$4:$A$5000)+7*(ROW()-10)))</f>
        <v/>
      </c>
    </row>
    <row r="958">
      <c r="A958">
        <f>IF($J958="","",YEAR($J958-WEEKDAY($J958,2)+4)&amp;"-W"&amp;TEXT(WEEKNUM($J958,21),"00"))</f>
        <v/>
      </c>
      <c r="B958" s="41">
        <f>IF($J958="","",COUNTIFS(Roster!$D$4:$D$500,"Active",Roster!$C$4:$C$500,"&lt;="&amp;$J958))</f>
        <v/>
      </c>
      <c r="C958">
        <f>IF($J958="","",SUMIFS('Hours Log'!$C:$C,'Hours Log'!$A:$A,"&gt;="&amp;$J958,'Hours Log'!$A:$A,"&lt;"&amp;$J958+7)+SUMIFS('Hours Log'!$D:$D,'Hours Log'!$A:$A,"&gt;="&amp;$J958,'Hours Log'!$A:$A,"&lt;"&amp;$J958+7))</f>
        <v/>
      </c>
      <c r="D958">
        <f>IF($J958="","",SUMIFS('Hours Log'!$D:$D,'Hours Log'!$A:$A,"&gt;="&amp;$J958,'Hours Log'!$A:$A,"&lt;"&amp;$J958+7))</f>
        <v/>
      </c>
      <c r="E958">
        <f>IF($J958="","",IFERROR(C958/(B958*40),0))</f>
        <v/>
      </c>
      <c r="F958">
        <f>IF($J958="","",0)</f>
        <v/>
      </c>
      <c r="G958">
        <f>IF($J958="","",SUMIFS('Hours Log'!$E:$E,'Hours Log'!$A:$A,"&gt;="&amp;$J958,'Hours Log'!$A:$A,"&lt;"&amp;$J958+7))</f>
        <v/>
      </c>
      <c r="J958">
        <f>IF(COUNT('Hours Log'!$A$4:$A$5000)=0,"",IF(MIN('Hours Log'!$A$4:$A$5000)+7*(ROW()-10)&gt;MAX('Hours Log'!$A$4:$A$5000),"",MIN('Hours Log'!$A$4:$A$5000)+7*(ROW()-10)))</f>
        <v/>
      </c>
    </row>
    <row r="959">
      <c r="A959">
        <f>IF($J959="","",YEAR($J959-WEEKDAY($J959,2)+4)&amp;"-W"&amp;TEXT(WEEKNUM($J959,21),"00"))</f>
        <v/>
      </c>
      <c r="B959" s="41">
        <f>IF($J959="","",COUNTIFS(Roster!$D$4:$D$500,"Active",Roster!$C$4:$C$500,"&lt;="&amp;$J959))</f>
        <v/>
      </c>
      <c r="C959">
        <f>IF($J959="","",SUMIFS('Hours Log'!$C:$C,'Hours Log'!$A:$A,"&gt;="&amp;$J959,'Hours Log'!$A:$A,"&lt;"&amp;$J959+7)+SUMIFS('Hours Log'!$D:$D,'Hours Log'!$A:$A,"&gt;="&amp;$J959,'Hours Log'!$A:$A,"&lt;"&amp;$J959+7))</f>
        <v/>
      </c>
      <c r="D959">
        <f>IF($J959="","",SUMIFS('Hours Log'!$D:$D,'Hours Log'!$A:$A,"&gt;="&amp;$J959,'Hours Log'!$A:$A,"&lt;"&amp;$J959+7))</f>
        <v/>
      </c>
      <c r="E959">
        <f>IF($J959="","",IFERROR(C959/(B959*40),0))</f>
        <v/>
      </c>
      <c r="F959">
        <f>IF($J959="","",0)</f>
        <v/>
      </c>
      <c r="G959">
        <f>IF($J959="","",SUMIFS('Hours Log'!$E:$E,'Hours Log'!$A:$A,"&gt;="&amp;$J959,'Hours Log'!$A:$A,"&lt;"&amp;$J959+7))</f>
        <v/>
      </c>
      <c r="J959">
        <f>IF(COUNT('Hours Log'!$A$4:$A$5000)=0,"",IF(MIN('Hours Log'!$A$4:$A$5000)+7*(ROW()-10)&gt;MAX('Hours Log'!$A$4:$A$5000),"",MIN('Hours Log'!$A$4:$A$5000)+7*(ROW()-10)))</f>
        <v/>
      </c>
    </row>
    <row r="960">
      <c r="A960">
        <f>IF($J960="","",YEAR($J960-WEEKDAY($J960,2)+4)&amp;"-W"&amp;TEXT(WEEKNUM($J960,21),"00"))</f>
        <v/>
      </c>
      <c r="B960" s="41">
        <f>IF($J960="","",COUNTIFS(Roster!$D$4:$D$500,"Active",Roster!$C$4:$C$500,"&lt;="&amp;$J960))</f>
        <v/>
      </c>
      <c r="C960">
        <f>IF($J960="","",SUMIFS('Hours Log'!$C:$C,'Hours Log'!$A:$A,"&gt;="&amp;$J960,'Hours Log'!$A:$A,"&lt;"&amp;$J960+7)+SUMIFS('Hours Log'!$D:$D,'Hours Log'!$A:$A,"&gt;="&amp;$J960,'Hours Log'!$A:$A,"&lt;"&amp;$J960+7))</f>
        <v/>
      </c>
      <c r="D960">
        <f>IF($J960="","",SUMIFS('Hours Log'!$D:$D,'Hours Log'!$A:$A,"&gt;="&amp;$J960,'Hours Log'!$A:$A,"&lt;"&amp;$J960+7))</f>
        <v/>
      </c>
      <c r="E960">
        <f>IF($J960="","",IFERROR(C960/(B960*40),0))</f>
        <v/>
      </c>
      <c r="F960">
        <f>IF($J960="","",0)</f>
        <v/>
      </c>
      <c r="G960">
        <f>IF($J960="","",SUMIFS('Hours Log'!$E:$E,'Hours Log'!$A:$A,"&gt;="&amp;$J960,'Hours Log'!$A:$A,"&lt;"&amp;$J960+7))</f>
        <v/>
      </c>
      <c r="J960">
        <f>IF(COUNT('Hours Log'!$A$4:$A$5000)=0,"",IF(MIN('Hours Log'!$A$4:$A$5000)+7*(ROW()-10)&gt;MAX('Hours Log'!$A$4:$A$5000),"",MIN('Hours Log'!$A$4:$A$5000)+7*(ROW()-10)))</f>
        <v/>
      </c>
    </row>
    <row r="961">
      <c r="A961">
        <f>IF($J961="","",YEAR($J961-WEEKDAY($J961,2)+4)&amp;"-W"&amp;TEXT(WEEKNUM($J961,21),"00"))</f>
        <v/>
      </c>
      <c r="B961" s="41">
        <f>IF($J961="","",COUNTIFS(Roster!$D$4:$D$500,"Active",Roster!$C$4:$C$500,"&lt;="&amp;$J961))</f>
        <v/>
      </c>
      <c r="C961">
        <f>IF($J961="","",SUMIFS('Hours Log'!$C:$C,'Hours Log'!$A:$A,"&gt;="&amp;$J961,'Hours Log'!$A:$A,"&lt;"&amp;$J961+7)+SUMIFS('Hours Log'!$D:$D,'Hours Log'!$A:$A,"&gt;="&amp;$J961,'Hours Log'!$A:$A,"&lt;"&amp;$J961+7))</f>
        <v/>
      </c>
      <c r="D961">
        <f>IF($J961="","",SUMIFS('Hours Log'!$D:$D,'Hours Log'!$A:$A,"&gt;="&amp;$J961,'Hours Log'!$A:$A,"&lt;"&amp;$J961+7))</f>
        <v/>
      </c>
      <c r="E961">
        <f>IF($J961="","",IFERROR(C961/(B961*40),0))</f>
        <v/>
      </c>
      <c r="F961">
        <f>IF($J961="","",0)</f>
        <v/>
      </c>
      <c r="G961">
        <f>IF($J961="","",SUMIFS('Hours Log'!$E:$E,'Hours Log'!$A:$A,"&gt;="&amp;$J961,'Hours Log'!$A:$A,"&lt;"&amp;$J961+7))</f>
        <v/>
      </c>
      <c r="J961">
        <f>IF(COUNT('Hours Log'!$A$4:$A$5000)=0,"",IF(MIN('Hours Log'!$A$4:$A$5000)+7*(ROW()-10)&gt;MAX('Hours Log'!$A$4:$A$5000),"",MIN('Hours Log'!$A$4:$A$5000)+7*(ROW()-10)))</f>
        <v/>
      </c>
    </row>
    <row r="962">
      <c r="A962">
        <f>IF($J962="","",YEAR($J962-WEEKDAY($J962,2)+4)&amp;"-W"&amp;TEXT(WEEKNUM($J962,21),"00"))</f>
        <v/>
      </c>
      <c r="B962" s="41">
        <f>IF($J962="","",COUNTIFS(Roster!$D$4:$D$500,"Active",Roster!$C$4:$C$500,"&lt;="&amp;$J962))</f>
        <v/>
      </c>
      <c r="C962">
        <f>IF($J962="","",SUMIFS('Hours Log'!$C:$C,'Hours Log'!$A:$A,"&gt;="&amp;$J962,'Hours Log'!$A:$A,"&lt;"&amp;$J962+7)+SUMIFS('Hours Log'!$D:$D,'Hours Log'!$A:$A,"&gt;="&amp;$J962,'Hours Log'!$A:$A,"&lt;"&amp;$J962+7))</f>
        <v/>
      </c>
      <c r="D962">
        <f>IF($J962="","",SUMIFS('Hours Log'!$D:$D,'Hours Log'!$A:$A,"&gt;="&amp;$J962,'Hours Log'!$A:$A,"&lt;"&amp;$J962+7))</f>
        <v/>
      </c>
      <c r="E962">
        <f>IF($J962="","",IFERROR(C962/(B962*40),0))</f>
        <v/>
      </c>
      <c r="F962">
        <f>IF($J962="","",0)</f>
        <v/>
      </c>
      <c r="G962">
        <f>IF($J962="","",SUMIFS('Hours Log'!$E:$E,'Hours Log'!$A:$A,"&gt;="&amp;$J962,'Hours Log'!$A:$A,"&lt;"&amp;$J962+7))</f>
        <v/>
      </c>
      <c r="J962">
        <f>IF(COUNT('Hours Log'!$A$4:$A$5000)=0,"",IF(MIN('Hours Log'!$A$4:$A$5000)+7*(ROW()-10)&gt;MAX('Hours Log'!$A$4:$A$5000),"",MIN('Hours Log'!$A$4:$A$5000)+7*(ROW()-10)))</f>
        <v/>
      </c>
    </row>
    <row r="963">
      <c r="A963">
        <f>IF($J963="","",YEAR($J963-WEEKDAY($J963,2)+4)&amp;"-W"&amp;TEXT(WEEKNUM($J963,21),"00"))</f>
        <v/>
      </c>
      <c r="B963" s="41">
        <f>IF($J963="","",COUNTIFS(Roster!$D$4:$D$500,"Active",Roster!$C$4:$C$500,"&lt;="&amp;$J963))</f>
        <v/>
      </c>
      <c r="C963">
        <f>IF($J963="","",SUMIFS('Hours Log'!$C:$C,'Hours Log'!$A:$A,"&gt;="&amp;$J963,'Hours Log'!$A:$A,"&lt;"&amp;$J963+7)+SUMIFS('Hours Log'!$D:$D,'Hours Log'!$A:$A,"&gt;="&amp;$J963,'Hours Log'!$A:$A,"&lt;"&amp;$J963+7))</f>
        <v/>
      </c>
      <c r="D963">
        <f>IF($J963="","",SUMIFS('Hours Log'!$D:$D,'Hours Log'!$A:$A,"&gt;="&amp;$J963,'Hours Log'!$A:$A,"&lt;"&amp;$J963+7))</f>
        <v/>
      </c>
      <c r="E963">
        <f>IF($J963="","",IFERROR(C963/(B963*40),0))</f>
        <v/>
      </c>
      <c r="F963">
        <f>IF($J963="","",0)</f>
        <v/>
      </c>
      <c r="G963">
        <f>IF($J963="","",SUMIFS('Hours Log'!$E:$E,'Hours Log'!$A:$A,"&gt;="&amp;$J963,'Hours Log'!$A:$A,"&lt;"&amp;$J963+7))</f>
        <v/>
      </c>
      <c r="J963">
        <f>IF(COUNT('Hours Log'!$A$4:$A$5000)=0,"",IF(MIN('Hours Log'!$A$4:$A$5000)+7*(ROW()-10)&gt;MAX('Hours Log'!$A$4:$A$5000),"",MIN('Hours Log'!$A$4:$A$5000)+7*(ROW()-10)))</f>
        <v/>
      </c>
    </row>
    <row r="964">
      <c r="A964">
        <f>IF($J964="","",YEAR($J964-WEEKDAY($J964,2)+4)&amp;"-W"&amp;TEXT(WEEKNUM($J964,21),"00"))</f>
        <v/>
      </c>
      <c r="B964" s="41">
        <f>IF($J964="","",COUNTIFS(Roster!$D$4:$D$500,"Active",Roster!$C$4:$C$500,"&lt;="&amp;$J964))</f>
        <v/>
      </c>
      <c r="C964">
        <f>IF($J964="","",SUMIFS('Hours Log'!$C:$C,'Hours Log'!$A:$A,"&gt;="&amp;$J964,'Hours Log'!$A:$A,"&lt;"&amp;$J964+7)+SUMIFS('Hours Log'!$D:$D,'Hours Log'!$A:$A,"&gt;="&amp;$J964,'Hours Log'!$A:$A,"&lt;"&amp;$J964+7))</f>
        <v/>
      </c>
      <c r="D964">
        <f>IF($J964="","",SUMIFS('Hours Log'!$D:$D,'Hours Log'!$A:$A,"&gt;="&amp;$J964,'Hours Log'!$A:$A,"&lt;"&amp;$J964+7))</f>
        <v/>
      </c>
      <c r="E964">
        <f>IF($J964="","",IFERROR(C964/(B964*40),0))</f>
        <v/>
      </c>
      <c r="F964">
        <f>IF($J964="","",0)</f>
        <v/>
      </c>
      <c r="G964">
        <f>IF($J964="","",SUMIFS('Hours Log'!$E:$E,'Hours Log'!$A:$A,"&gt;="&amp;$J964,'Hours Log'!$A:$A,"&lt;"&amp;$J964+7))</f>
        <v/>
      </c>
      <c r="J964">
        <f>IF(COUNT('Hours Log'!$A$4:$A$5000)=0,"",IF(MIN('Hours Log'!$A$4:$A$5000)+7*(ROW()-10)&gt;MAX('Hours Log'!$A$4:$A$5000),"",MIN('Hours Log'!$A$4:$A$5000)+7*(ROW()-10)))</f>
        <v/>
      </c>
    </row>
    <row r="965">
      <c r="A965">
        <f>IF($J965="","",YEAR($J965-WEEKDAY($J965,2)+4)&amp;"-W"&amp;TEXT(WEEKNUM($J965,21),"00"))</f>
        <v/>
      </c>
      <c r="B965" s="41">
        <f>IF($J965="","",COUNTIFS(Roster!$D$4:$D$500,"Active",Roster!$C$4:$C$500,"&lt;="&amp;$J965))</f>
        <v/>
      </c>
      <c r="C965">
        <f>IF($J965="","",SUMIFS('Hours Log'!$C:$C,'Hours Log'!$A:$A,"&gt;="&amp;$J965,'Hours Log'!$A:$A,"&lt;"&amp;$J965+7)+SUMIFS('Hours Log'!$D:$D,'Hours Log'!$A:$A,"&gt;="&amp;$J965,'Hours Log'!$A:$A,"&lt;"&amp;$J965+7))</f>
        <v/>
      </c>
      <c r="D965">
        <f>IF($J965="","",SUMIFS('Hours Log'!$D:$D,'Hours Log'!$A:$A,"&gt;="&amp;$J965,'Hours Log'!$A:$A,"&lt;"&amp;$J965+7))</f>
        <v/>
      </c>
      <c r="E965">
        <f>IF($J965="","",IFERROR(C965/(B965*40),0))</f>
        <v/>
      </c>
      <c r="F965">
        <f>IF($J965="","",0)</f>
        <v/>
      </c>
      <c r="G965">
        <f>IF($J965="","",SUMIFS('Hours Log'!$E:$E,'Hours Log'!$A:$A,"&gt;="&amp;$J965,'Hours Log'!$A:$A,"&lt;"&amp;$J965+7))</f>
        <v/>
      </c>
      <c r="J965">
        <f>IF(COUNT('Hours Log'!$A$4:$A$5000)=0,"",IF(MIN('Hours Log'!$A$4:$A$5000)+7*(ROW()-10)&gt;MAX('Hours Log'!$A$4:$A$5000),"",MIN('Hours Log'!$A$4:$A$5000)+7*(ROW()-10)))</f>
        <v/>
      </c>
    </row>
    <row r="966">
      <c r="A966">
        <f>IF($J966="","",YEAR($J966-WEEKDAY($J966,2)+4)&amp;"-W"&amp;TEXT(WEEKNUM($J966,21),"00"))</f>
        <v/>
      </c>
      <c r="B966" s="41">
        <f>IF($J966="","",COUNTIFS(Roster!$D$4:$D$500,"Active",Roster!$C$4:$C$500,"&lt;="&amp;$J966))</f>
        <v/>
      </c>
      <c r="C966">
        <f>IF($J966="","",SUMIFS('Hours Log'!$C:$C,'Hours Log'!$A:$A,"&gt;="&amp;$J966,'Hours Log'!$A:$A,"&lt;"&amp;$J966+7)+SUMIFS('Hours Log'!$D:$D,'Hours Log'!$A:$A,"&gt;="&amp;$J966,'Hours Log'!$A:$A,"&lt;"&amp;$J966+7))</f>
        <v/>
      </c>
      <c r="D966">
        <f>IF($J966="","",SUMIFS('Hours Log'!$D:$D,'Hours Log'!$A:$A,"&gt;="&amp;$J966,'Hours Log'!$A:$A,"&lt;"&amp;$J966+7))</f>
        <v/>
      </c>
      <c r="E966">
        <f>IF($J966="","",IFERROR(C966/(B966*40),0))</f>
        <v/>
      </c>
      <c r="F966">
        <f>IF($J966="","",0)</f>
        <v/>
      </c>
      <c r="G966">
        <f>IF($J966="","",SUMIFS('Hours Log'!$E:$E,'Hours Log'!$A:$A,"&gt;="&amp;$J966,'Hours Log'!$A:$A,"&lt;"&amp;$J966+7))</f>
        <v/>
      </c>
      <c r="J966">
        <f>IF(COUNT('Hours Log'!$A$4:$A$5000)=0,"",IF(MIN('Hours Log'!$A$4:$A$5000)+7*(ROW()-10)&gt;MAX('Hours Log'!$A$4:$A$5000),"",MIN('Hours Log'!$A$4:$A$5000)+7*(ROW()-10)))</f>
        <v/>
      </c>
    </row>
    <row r="967">
      <c r="A967">
        <f>IF($J967="","",YEAR($J967-WEEKDAY($J967,2)+4)&amp;"-W"&amp;TEXT(WEEKNUM($J967,21),"00"))</f>
        <v/>
      </c>
      <c r="B967" s="41">
        <f>IF($J967="","",COUNTIFS(Roster!$D$4:$D$500,"Active",Roster!$C$4:$C$500,"&lt;="&amp;$J967))</f>
        <v/>
      </c>
      <c r="C967">
        <f>IF($J967="","",SUMIFS('Hours Log'!$C:$C,'Hours Log'!$A:$A,"&gt;="&amp;$J967,'Hours Log'!$A:$A,"&lt;"&amp;$J967+7)+SUMIFS('Hours Log'!$D:$D,'Hours Log'!$A:$A,"&gt;="&amp;$J967,'Hours Log'!$A:$A,"&lt;"&amp;$J967+7))</f>
        <v/>
      </c>
      <c r="D967">
        <f>IF($J967="","",SUMIFS('Hours Log'!$D:$D,'Hours Log'!$A:$A,"&gt;="&amp;$J967,'Hours Log'!$A:$A,"&lt;"&amp;$J967+7))</f>
        <v/>
      </c>
      <c r="E967">
        <f>IF($J967="","",IFERROR(C967/(B967*40),0))</f>
        <v/>
      </c>
      <c r="F967">
        <f>IF($J967="","",0)</f>
        <v/>
      </c>
      <c r="G967">
        <f>IF($J967="","",SUMIFS('Hours Log'!$E:$E,'Hours Log'!$A:$A,"&gt;="&amp;$J967,'Hours Log'!$A:$A,"&lt;"&amp;$J967+7))</f>
        <v/>
      </c>
      <c r="J967">
        <f>IF(COUNT('Hours Log'!$A$4:$A$5000)=0,"",IF(MIN('Hours Log'!$A$4:$A$5000)+7*(ROW()-10)&gt;MAX('Hours Log'!$A$4:$A$5000),"",MIN('Hours Log'!$A$4:$A$5000)+7*(ROW()-10)))</f>
        <v/>
      </c>
    </row>
    <row r="968">
      <c r="A968">
        <f>IF($J968="","",YEAR($J968-WEEKDAY($J968,2)+4)&amp;"-W"&amp;TEXT(WEEKNUM($J968,21),"00"))</f>
        <v/>
      </c>
      <c r="B968" s="41">
        <f>IF($J968="","",COUNTIFS(Roster!$D$4:$D$500,"Active",Roster!$C$4:$C$500,"&lt;="&amp;$J968))</f>
        <v/>
      </c>
      <c r="C968">
        <f>IF($J968="","",SUMIFS('Hours Log'!$C:$C,'Hours Log'!$A:$A,"&gt;="&amp;$J968,'Hours Log'!$A:$A,"&lt;"&amp;$J968+7)+SUMIFS('Hours Log'!$D:$D,'Hours Log'!$A:$A,"&gt;="&amp;$J968,'Hours Log'!$A:$A,"&lt;"&amp;$J968+7))</f>
        <v/>
      </c>
      <c r="D968">
        <f>IF($J968="","",SUMIFS('Hours Log'!$D:$D,'Hours Log'!$A:$A,"&gt;="&amp;$J968,'Hours Log'!$A:$A,"&lt;"&amp;$J968+7))</f>
        <v/>
      </c>
      <c r="E968">
        <f>IF($J968="","",IFERROR(C968/(B968*40),0))</f>
        <v/>
      </c>
      <c r="F968">
        <f>IF($J968="","",0)</f>
        <v/>
      </c>
      <c r="G968">
        <f>IF($J968="","",SUMIFS('Hours Log'!$E:$E,'Hours Log'!$A:$A,"&gt;="&amp;$J968,'Hours Log'!$A:$A,"&lt;"&amp;$J968+7))</f>
        <v/>
      </c>
      <c r="J968">
        <f>IF(COUNT('Hours Log'!$A$4:$A$5000)=0,"",IF(MIN('Hours Log'!$A$4:$A$5000)+7*(ROW()-10)&gt;MAX('Hours Log'!$A$4:$A$5000),"",MIN('Hours Log'!$A$4:$A$5000)+7*(ROW()-10)))</f>
        <v/>
      </c>
    </row>
    <row r="969">
      <c r="A969">
        <f>IF($J969="","",YEAR($J969-WEEKDAY($J969,2)+4)&amp;"-W"&amp;TEXT(WEEKNUM($J969,21),"00"))</f>
        <v/>
      </c>
      <c r="B969" s="41">
        <f>IF($J969="","",COUNTIFS(Roster!$D$4:$D$500,"Active",Roster!$C$4:$C$500,"&lt;="&amp;$J969))</f>
        <v/>
      </c>
      <c r="C969">
        <f>IF($J969="","",SUMIFS('Hours Log'!$C:$C,'Hours Log'!$A:$A,"&gt;="&amp;$J969,'Hours Log'!$A:$A,"&lt;"&amp;$J969+7)+SUMIFS('Hours Log'!$D:$D,'Hours Log'!$A:$A,"&gt;="&amp;$J969,'Hours Log'!$A:$A,"&lt;"&amp;$J969+7))</f>
        <v/>
      </c>
      <c r="D969">
        <f>IF($J969="","",SUMIFS('Hours Log'!$D:$D,'Hours Log'!$A:$A,"&gt;="&amp;$J969,'Hours Log'!$A:$A,"&lt;"&amp;$J969+7))</f>
        <v/>
      </c>
      <c r="E969">
        <f>IF($J969="","",IFERROR(C969/(B969*40),0))</f>
        <v/>
      </c>
      <c r="F969">
        <f>IF($J969="","",0)</f>
        <v/>
      </c>
      <c r="G969">
        <f>IF($J969="","",SUMIFS('Hours Log'!$E:$E,'Hours Log'!$A:$A,"&gt;="&amp;$J969,'Hours Log'!$A:$A,"&lt;"&amp;$J969+7))</f>
        <v/>
      </c>
      <c r="J969">
        <f>IF(COUNT('Hours Log'!$A$4:$A$5000)=0,"",IF(MIN('Hours Log'!$A$4:$A$5000)+7*(ROW()-10)&gt;MAX('Hours Log'!$A$4:$A$5000),"",MIN('Hours Log'!$A$4:$A$5000)+7*(ROW()-10)))</f>
        <v/>
      </c>
    </row>
    <row r="970">
      <c r="A970">
        <f>IF($J970="","",YEAR($J970-WEEKDAY($J970,2)+4)&amp;"-W"&amp;TEXT(WEEKNUM($J970,21),"00"))</f>
        <v/>
      </c>
      <c r="B970" s="41">
        <f>IF($J970="","",COUNTIFS(Roster!$D$4:$D$500,"Active",Roster!$C$4:$C$500,"&lt;="&amp;$J970))</f>
        <v/>
      </c>
      <c r="C970">
        <f>IF($J970="","",SUMIFS('Hours Log'!$C:$C,'Hours Log'!$A:$A,"&gt;="&amp;$J970,'Hours Log'!$A:$A,"&lt;"&amp;$J970+7)+SUMIFS('Hours Log'!$D:$D,'Hours Log'!$A:$A,"&gt;="&amp;$J970,'Hours Log'!$A:$A,"&lt;"&amp;$J970+7))</f>
        <v/>
      </c>
      <c r="D970">
        <f>IF($J970="","",SUMIFS('Hours Log'!$D:$D,'Hours Log'!$A:$A,"&gt;="&amp;$J970,'Hours Log'!$A:$A,"&lt;"&amp;$J970+7))</f>
        <v/>
      </c>
      <c r="E970">
        <f>IF($J970="","",IFERROR(C970/(B970*40),0))</f>
        <v/>
      </c>
      <c r="F970">
        <f>IF($J970="","",0)</f>
        <v/>
      </c>
      <c r="G970">
        <f>IF($J970="","",SUMIFS('Hours Log'!$E:$E,'Hours Log'!$A:$A,"&gt;="&amp;$J970,'Hours Log'!$A:$A,"&lt;"&amp;$J970+7))</f>
        <v/>
      </c>
      <c r="J970">
        <f>IF(COUNT('Hours Log'!$A$4:$A$5000)=0,"",IF(MIN('Hours Log'!$A$4:$A$5000)+7*(ROW()-10)&gt;MAX('Hours Log'!$A$4:$A$5000),"",MIN('Hours Log'!$A$4:$A$5000)+7*(ROW()-10)))</f>
        <v/>
      </c>
    </row>
    <row r="971">
      <c r="A971">
        <f>IF($J971="","",YEAR($J971-WEEKDAY($J971,2)+4)&amp;"-W"&amp;TEXT(WEEKNUM($J971,21),"00"))</f>
        <v/>
      </c>
      <c r="B971" s="41">
        <f>IF($J971="","",COUNTIFS(Roster!$D$4:$D$500,"Active",Roster!$C$4:$C$500,"&lt;="&amp;$J971))</f>
        <v/>
      </c>
      <c r="C971">
        <f>IF($J971="","",SUMIFS('Hours Log'!$C:$C,'Hours Log'!$A:$A,"&gt;="&amp;$J971,'Hours Log'!$A:$A,"&lt;"&amp;$J971+7)+SUMIFS('Hours Log'!$D:$D,'Hours Log'!$A:$A,"&gt;="&amp;$J971,'Hours Log'!$A:$A,"&lt;"&amp;$J971+7))</f>
        <v/>
      </c>
      <c r="D971">
        <f>IF($J971="","",SUMIFS('Hours Log'!$D:$D,'Hours Log'!$A:$A,"&gt;="&amp;$J971,'Hours Log'!$A:$A,"&lt;"&amp;$J971+7))</f>
        <v/>
      </c>
      <c r="E971">
        <f>IF($J971="","",IFERROR(C971/(B971*40),0))</f>
        <v/>
      </c>
      <c r="F971">
        <f>IF($J971="","",0)</f>
        <v/>
      </c>
      <c r="G971">
        <f>IF($J971="","",SUMIFS('Hours Log'!$E:$E,'Hours Log'!$A:$A,"&gt;="&amp;$J971,'Hours Log'!$A:$A,"&lt;"&amp;$J971+7))</f>
        <v/>
      </c>
      <c r="J971">
        <f>IF(COUNT('Hours Log'!$A$4:$A$5000)=0,"",IF(MIN('Hours Log'!$A$4:$A$5000)+7*(ROW()-10)&gt;MAX('Hours Log'!$A$4:$A$5000),"",MIN('Hours Log'!$A$4:$A$5000)+7*(ROW()-10)))</f>
        <v/>
      </c>
    </row>
    <row r="972">
      <c r="A972">
        <f>IF($J972="","",YEAR($J972-WEEKDAY($J972,2)+4)&amp;"-W"&amp;TEXT(WEEKNUM($J972,21),"00"))</f>
        <v/>
      </c>
      <c r="B972" s="41">
        <f>IF($J972="","",COUNTIFS(Roster!$D$4:$D$500,"Active",Roster!$C$4:$C$500,"&lt;="&amp;$J972))</f>
        <v/>
      </c>
      <c r="C972">
        <f>IF($J972="","",SUMIFS('Hours Log'!$C:$C,'Hours Log'!$A:$A,"&gt;="&amp;$J972,'Hours Log'!$A:$A,"&lt;"&amp;$J972+7)+SUMIFS('Hours Log'!$D:$D,'Hours Log'!$A:$A,"&gt;="&amp;$J972,'Hours Log'!$A:$A,"&lt;"&amp;$J972+7))</f>
        <v/>
      </c>
      <c r="D972">
        <f>IF($J972="","",SUMIFS('Hours Log'!$D:$D,'Hours Log'!$A:$A,"&gt;="&amp;$J972,'Hours Log'!$A:$A,"&lt;"&amp;$J972+7))</f>
        <v/>
      </c>
      <c r="E972">
        <f>IF($J972="","",IFERROR(C972/(B972*40),0))</f>
        <v/>
      </c>
      <c r="F972">
        <f>IF($J972="","",0)</f>
        <v/>
      </c>
      <c r="G972">
        <f>IF($J972="","",SUMIFS('Hours Log'!$E:$E,'Hours Log'!$A:$A,"&gt;="&amp;$J972,'Hours Log'!$A:$A,"&lt;"&amp;$J972+7))</f>
        <v/>
      </c>
      <c r="J972">
        <f>IF(COUNT('Hours Log'!$A$4:$A$5000)=0,"",IF(MIN('Hours Log'!$A$4:$A$5000)+7*(ROW()-10)&gt;MAX('Hours Log'!$A$4:$A$5000),"",MIN('Hours Log'!$A$4:$A$5000)+7*(ROW()-10)))</f>
        <v/>
      </c>
    </row>
    <row r="973">
      <c r="A973">
        <f>IF($J973="","",YEAR($J973-WEEKDAY($J973,2)+4)&amp;"-W"&amp;TEXT(WEEKNUM($J973,21),"00"))</f>
        <v/>
      </c>
      <c r="B973" s="41">
        <f>IF($J973="","",COUNTIFS(Roster!$D$4:$D$500,"Active",Roster!$C$4:$C$500,"&lt;="&amp;$J973))</f>
        <v/>
      </c>
      <c r="C973">
        <f>IF($J973="","",SUMIFS('Hours Log'!$C:$C,'Hours Log'!$A:$A,"&gt;="&amp;$J973,'Hours Log'!$A:$A,"&lt;"&amp;$J973+7)+SUMIFS('Hours Log'!$D:$D,'Hours Log'!$A:$A,"&gt;="&amp;$J973,'Hours Log'!$A:$A,"&lt;"&amp;$J973+7))</f>
        <v/>
      </c>
      <c r="D973">
        <f>IF($J973="","",SUMIFS('Hours Log'!$D:$D,'Hours Log'!$A:$A,"&gt;="&amp;$J973,'Hours Log'!$A:$A,"&lt;"&amp;$J973+7))</f>
        <v/>
      </c>
      <c r="E973">
        <f>IF($J973="","",IFERROR(C973/(B973*40),0))</f>
        <v/>
      </c>
      <c r="F973">
        <f>IF($J973="","",0)</f>
        <v/>
      </c>
      <c r="G973">
        <f>IF($J973="","",SUMIFS('Hours Log'!$E:$E,'Hours Log'!$A:$A,"&gt;="&amp;$J973,'Hours Log'!$A:$A,"&lt;"&amp;$J973+7))</f>
        <v/>
      </c>
      <c r="J973">
        <f>IF(COUNT('Hours Log'!$A$4:$A$5000)=0,"",IF(MIN('Hours Log'!$A$4:$A$5000)+7*(ROW()-10)&gt;MAX('Hours Log'!$A$4:$A$5000),"",MIN('Hours Log'!$A$4:$A$5000)+7*(ROW()-10)))</f>
        <v/>
      </c>
    </row>
    <row r="974">
      <c r="A974">
        <f>IF($J974="","",YEAR($J974-WEEKDAY($J974,2)+4)&amp;"-W"&amp;TEXT(WEEKNUM($J974,21),"00"))</f>
        <v/>
      </c>
      <c r="B974" s="41">
        <f>IF($J974="","",COUNTIFS(Roster!$D$4:$D$500,"Active",Roster!$C$4:$C$500,"&lt;="&amp;$J974))</f>
        <v/>
      </c>
      <c r="C974">
        <f>IF($J974="","",SUMIFS('Hours Log'!$C:$C,'Hours Log'!$A:$A,"&gt;="&amp;$J974,'Hours Log'!$A:$A,"&lt;"&amp;$J974+7)+SUMIFS('Hours Log'!$D:$D,'Hours Log'!$A:$A,"&gt;="&amp;$J974,'Hours Log'!$A:$A,"&lt;"&amp;$J974+7))</f>
        <v/>
      </c>
      <c r="D974">
        <f>IF($J974="","",SUMIFS('Hours Log'!$D:$D,'Hours Log'!$A:$A,"&gt;="&amp;$J974,'Hours Log'!$A:$A,"&lt;"&amp;$J974+7))</f>
        <v/>
      </c>
      <c r="E974">
        <f>IF($J974="","",IFERROR(C974/(B974*40),0))</f>
        <v/>
      </c>
      <c r="F974">
        <f>IF($J974="","",0)</f>
        <v/>
      </c>
      <c r="G974">
        <f>IF($J974="","",SUMIFS('Hours Log'!$E:$E,'Hours Log'!$A:$A,"&gt;="&amp;$J974,'Hours Log'!$A:$A,"&lt;"&amp;$J974+7))</f>
        <v/>
      </c>
      <c r="J974">
        <f>IF(COUNT('Hours Log'!$A$4:$A$5000)=0,"",IF(MIN('Hours Log'!$A$4:$A$5000)+7*(ROW()-10)&gt;MAX('Hours Log'!$A$4:$A$5000),"",MIN('Hours Log'!$A$4:$A$5000)+7*(ROW()-10)))</f>
        <v/>
      </c>
    </row>
    <row r="975">
      <c r="A975">
        <f>IF($J975="","",YEAR($J975-WEEKDAY($J975,2)+4)&amp;"-W"&amp;TEXT(WEEKNUM($J975,21),"00"))</f>
        <v/>
      </c>
      <c r="B975" s="41">
        <f>IF($J975="","",COUNTIFS(Roster!$D$4:$D$500,"Active",Roster!$C$4:$C$500,"&lt;="&amp;$J975))</f>
        <v/>
      </c>
      <c r="C975">
        <f>IF($J975="","",SUMIFS('Hours Log'!$C:$C,'Hours Log'!$A:$A,"&gt;="&amp;$J975,'Hours Log'!$A:$A,"&lt;"&amp;$J975+7)+SUMIFS('Hours Log'!$D:$D,'Hours Log'!$A:$A,"&gt;="&amp;$J975,'Hours Log'!$A:$A,"&lt;"&amp;$J975+7))</f>
        <v/>
      </c>
      <c r="D975">
        <f>IF($J975="","",SUMIFS('Hours Log'!$D:$D,'Hours Log'!$A:$A,"&gt;="&amp;$J975,'Hours Log'!$A:$A,"&lt;"&amp;$J975+7))</f>
        <v/>
      </c>
      <c r="E975">
        <f>IF($J975="","",IFERROR(C975/(B975*40),0))</f>
        <v/>
      </c>
      <c r="F975">
        <f>IF($J975="","",0)</f>
        <v/>
      </c>
      <c r="G975">
        <f>IF($J975="","",SUMIFS('Hours Log'!$E:$E,'Hours Log'!$A:$A,"&gt;="&amp;$J975,'Hours Log'!$A:$A,"&lt;"&amp;$J975+7))</f>
        <v/>
      </c>
      <c r="J975">
        <f>IF(COUNT('Hours Log'!$A$4:$A$5000)=0,"",IF(MIN('Hours Log'!$A$4:$A$5000)+7*(ROW()-10)&gt;MAX('Hours Log'!$A$4:$A$5000),"",MIN('Hours Log'!$A$4:$A$5000)+7*(ROW()-10)))</f>
        <v/>
      </c>
    </row>
    <row r="976">
      <c r="A976">
        <f>IF($J976="","",YEAR($J976-WEEKDAY($J976,2)+4)&amp;"-W"&amp;TEXT(WEEKNUM($J976,21),"00"))</f>
        <v/>
      </c>
      <c r="B976" s="41">
        <f>IF($J976="","",COUNTIFS(Roster!$D$4:$D$500,"Active",Roster!$C$4:$C$500,"&lt;="&amp;$J976))</f>
        <v/>
      </c>
      <c r="C976">
        <f>IF($J976="","",SUMIFS('Hours Log'!$C:$C,'Hours Log'!$A:$A,"&gt;="&amp;$J976,'Hours Log'!$A:$A,"&lt;"&amp;$J976+7)+SUMIFS('Hours Log'!$D:$D,'Hours Log'!$A:$A,"&gt;="&amp;$J976,'Hours Log'!$A:$A,"&lt;"&amp;$J976+7))</f>
        <v/>
      </c>
      <c r="D976">
        <f>IF($J976="","",SUMIFS('Hours Log'!$D:$D,'Hours Log'!$A:$A,"&gt;="&amp;$J976,'Hours Log'!$A:$A,"&lt;"&amp;$J976+7))</f>
        <v/>
      </c>
      <c r="E976">
        <f>IF($J976="","",IFERROR(C976/(B976*40),0))</f>
        <v/>
      </c>
      <c r="F976">
        <f>IF($J976="","",0)</f>
        <v/>
      </c>
      <c r="G976">
        <f>IF($J976="","",SUMIFS('Hours Log'!$E:$E,'Hours Log'!$A:$A,"&gt;="&amp;$J976,'Hours Log'!$A:$A,"&lt;"&amp;$J976+7))</f>
        <v/>
      </c>
      <c r="J976">
        <f>IF(COUNT('Hours Log'!$A$4:$A$5000)=0,"",IF(MIN('Hours Log'!$A$4:$A$5000)+7*(ROW()-10)&gt;MAX('Hours Log'!$A$4:$A$5000),"",MIN('Hours Log'!$A$4:$A$5000)+7*(ROW()-10)))</f>
        <v/>
      </c>
    </row>
    <row r="977">
      <c r="A977">
        <f>IF($J977="","",YEAR($J977-WEEKDAY($J977,2)+4)&amp;"-W"&amp;TEXT(WEEKNUM($J977,21),"00"))</f>
        <v/>
      </c>
      <c r="B977" s="41">
        <f>IF($J977="","",COUNTIFS(Roster!$D$4:$D$500,"Active",Roster!$C$4:$C$500,"&lt;="&amp;$J977))</f>
        <v/>
      </c>
      <c r="C977">
        <f>IF($J977="","",SUMIFS('Hours Log'!$C:$C,'Hours Log'!$A:$A,"&gt;="&amp;$J977,'Hours Log'!$A:$A,"&lt;"&amp;$J977+7)+SUMIFS('Hours Log'!$D:$D,'Hours Log'!$A:$A,"&gt;="&amp;$J977,'Hours Log'!$A:$A,"&lt;"&amp;$J977+7))</f>
        <v/>
      </c>
      <c r="D977">
        <f>IF($J977="","",SUMIFS('Hours Log'!$D:$D,'Hours Log'!$A:$A,"&gt;="&amp;$J977,'Hours Log'!$A:$A,"&lt;"&amp;$J977+7))</f>
        <v/>
      </c>
      <c r="E977">
        <f>IF($J977="","",IFERROR(C977/(B977*40),0))</f>
        <v/>
      </c>
      <c r="F977">
        <f>IF($J977="","",0)</f>
        <v/>
      </c>
      <c r="G977">
        <f>IF($J977="","",SUMIFS('Hours Log'!$E:$E,'Hours Log'!$A:$A,"&gt;="&amp;$J977,'Hours Log'!$A:$A,"&lt;"&amp;$J977+7))</f>
        <v/>
      </c>
      <c r="J977">
        <f>IF(COUNT('Hours Log'!$A$4:$A$5000)=0,"",IF(MIN('Hours Log'!$A$4:$A$5000)+7*(ROW()-10)&gt;MAX('Hours Log'!$A$4:$A$5000),"",MIN('Hours Log'!$A$4:$A$5000)+7*(ROW()-10)))</f>
        <v/>
      </c>
    </row>
    <row r="978">
      <c r="A978">
        <f>IF($J978="","",YEAR($J978-WEEKDAY($J978,2)+4)&amp;"-W"&amp;TEXT(WEEKNUM($J978,21),"00"))</f>
        <v/>
      </c>
      <c r="B978" s="41">
        <f>IF($J978="","",COUNTIFS(Roster!$D$4:$D$500,"Active",Roster!$C$4:$C$500,"&lt;="&amp;$J978))</f>
        <v/>
      </c>
      <c r="C978">
        <f>IF($J978="","",SUMIFS('Hours Log'!$C:$C,'Hours Log'!$A:$A,"&gt;="&amp;$J978,'Hours Log'!$A:$A,"&lt;"&amp;$J978+7)+SUMIFS('Hours Log'!$D:$D,'Hours Log'!$A:$A,"&gt;="&amp;$J978,'Hours Log'!$A:$A,"&lt;"&amp;$J978+7))</f>
        <v/>
      </c>
      <c r="D978">
        <f>IF($J978="","",SUMIFS('Hours Log'!$D:$D,'Hours Log'!$A:$A,"&gt;="&amp;$J978,'Hours Log'!$A:$A,"&lt;"&amp;$J978+7))</f>
        <v/>
      </c>
      <c r="E978">
        <f>IF($J978="","",IFERROR(C978/(B978*40),0))</f>
        <v/>
      </c>
      <c r="F978">
        <f>IF($J978="","",0)</f>
        <v/>
      </c>
      <c r="G978">
        <f>IF($J978="","",SUMIFS('Hours Log'!$E:$E,'Hours Log'!$A:$A,"&gt;="&amp;$J978,'Hours Log'!$A:$A,"&lt;"&amp;$J978+7))</f>
        <v/>
      </c>
      <c r="J978">
        <f>IF(COUNT('Hours Log'!$A$4:$A$5000)=0,"",IF(MIN('Hours Log'!$A$4:$A$5000)+7*(ROW()-10)&gt;MAX('Hours Log'!$A$4:$A$5000),"",MIN('Hours Log'!$A$4:$A$5000)+7*(ROW()-10)))</f>
        <v/>
      </c>
    </row>
    <row r="979">
      <c r="A979">
        <f>IF($J979="","",YEAR($J979-WEEKDAY($J979,2)+4)&amp;"-W"&amp;TEXT(WEEKNUM($J979,21),"00"))</f>
        <v/>
      </c>
      <c r="B979" s="41">
        <f>IF($J979="","",COUNTIFS(Roster!$D$4:$D$500,"Active",Roster!$C$4:$C$500,"&lt;="&amp;$J979))</f>
        <v/>
      </c>
      <c r="C979">
        <f>IF($J979="","",SUMIFS('Hours Log'!$C:$C,'Hours Log'!$A:$A,"&gt;="&amp;$J979,'Hours Log'!$A:$A,"&lt;"&amp;$J979+7)+SUMIFS('Hours Log'!$D:$D,'Hours Log'!$A:$A,"&gt;="&amp;$J979,'Hours Log'!$A:$A,"&lt;"&amp;$J979+7))</f>
        <v/>
      </c>
      <c r="D979">
        <f>IF($J979="","",SUMIFS('Hours Log'!$D:$D,'Hours Log'!$A:$A,"&gt;="&amp;$J979,'Hours Log'!$A:$A,"&lt;"&amp;$J979+7))</f>
        <v/>
      </c>
      <c r="E979">
        <f>IF($J979="","",IFERROR(C979/(B979*40),0))</f>
        <v/>
      </c>
      <c r="F979">
        <f>IF($J979="","",0)</f>
        <v/>
      </c>
      <c r="G979">
        <f>IF($J979="","",SUMIFS('Hours Log'!$E:$E,'Hours Log'!$A:$A,"&gt;="&amp;$J979,'Hours Log'!$A:$A,"&lt;"&amp;$J979+7))</f>
        <v/>
      </c>
      <c r="J979">
        <f>IF(COUNT('Hours Log'!$A$4:$A$5000)=0,"",IF(MIN('Hours Log'!$A$4:$A$5000)+7*(ROW()-10)&gt;MAX('Hours Log'!$A$4:$A$5000),"",MIN('Hours Log'!$A$4:$A$5000)+7*(ROW()-10)))</f>
        <v/>
      </c>
    </row>
    <row r="980">
      <c r="A980">
        <f>IF($J980="","",YEAR($J980-WEEKDAY($J980,2)+4)&amp;"-W"&amp;TEXT(WEEKNUM($J980,21),"00"))</f>
        <v/>
      </c>
      <c r="B980" s="41">
        <f>IF($J980="","",COUNTIFS(Roster!$D$4:$D$500,"Active",Roster!$C$4:$C$500,"&lt;="&amp;$J980))</f>
        <v/>
      </c>
      <c r="C980">
        <f>IF($J980="","",SUMIFS('Hours Log'!$C:$C,'Hours Log'!$A:$A,"&gt;="&amp;$J980,'Hours Log'!$A:$A,"&lt;"&amp;$J980+7)+SUMIFS('Hours Log'!$D:$D,'Hours Log'!$A:$A,"&gt;="&amp;$J980,'Hours Log'!$A:$A,"&lt;"&amp;$J980+7))</f>
        <v/>
      </c>
      <c r="D980">
        <f>IF($J980="","",SUMIFS('Hours Log'!$D:$D,'Hours Log'!$A:$A,"&gt;="&amp;$J980,'Hours Log'!$A:$A,"&lt;"&amp;$J980+7))</f>
        <v/>
      </c>
      <c r="E980">
        <f>IF($J980="","",IFERROR(C980/(B980*40),0))</f>
        <v/>
      </c>
      <c r="F980">
        <f>IF($J980="","",0)</f>
        <v/>
      </c>
      <c r="G980">
        <f>IF($J980="","",SUMIFS('Hours Log'!$E:$E,'Hours Log'!$A:$A,"&gt;="&amp;$J980,'Hours Log'!$A:$A,"&lt;"&amp;$J980+7))</f>
        <v/>
      </c>
      <c r="J980">
        <f>IF(COUNT('Hours Log'!$A$4:$A$5000)=0,"",IF(MIN('Hours Log'!$A$4:$A$5000)+7*(ROW()-10)&gt;MAX('Hours Log'!$A$4:$A$5000),"",MIN('Hours Log'!$A$4:$A$5000)+7*(ROW()-10)))</f>
        <v/>
      </c>
    </row>
    <row r="981">
      <c r="A981">
        <f>IF($J981="","",YEAR($J981-WEEKDAY($J981,2)+4)&amp;"-W"&amp;TEXT(WEEKNUM($J981,21),"00"))</f>
        <v/>
      </c>
      <c r="B981" s="41">
        <f>IF($J981="","",COUNTIFS(Roster!$D$4:$D$500,"Active",Roster!$C$4:$C$500,"&lt;="&amp;$J981))</f>
        <v/>
      </c>
      <c r="C981">
        <f>IF($J981="","",SUMIFS('Hours Log'!$C:$C,'Hours Log'!$A:$A,"&gt;="&amp;$J981,'Hours Log'!$A:$A,"&lt;"&amp;$J981+7)+SUMIFS('Hours Log'!$D:$D,'Hours Log'!$A:$A,"&gt;="&amp;$J981,'Hours Log'!$A:$A,"&lt;"&amp;$J981+7))</f>
        <v/>
      </c>
      <c r="D981">
        <f>IF($J981="","",SUMIFS('Hours Log'!$D:$D,'Hours Log'!$A:$A,"&gt;="&amp;$J981,'Hours Log'!$A:$A,"&lt;"&amp;$J981+7))</f>
        <v/>
      </c>
      <c r="E981">
        <f>IF($J981="","",IFERROR(C981/(B981*40),0))</f>
        <v/>
      </c>
      <c r="F981">
        <f>IF($J981="","",0)</f>
        <v/>
      </c>
      <c r="G981">
        <f>IF($J981="","",SUMIFS('Hours Log'!$E:$E,'Hours Log'!$A:$A,"&gt;="&amp;$J981,'Hours Log'!$A:$A,"&lt;"&amp;$J981+7))</f>
        <v/>
      </c>
      <c r="J981">
        <f>IF(COUNT('Hours Log'!$A$4:$A$5000)=0,"",IF(MIN('Hours Log'!$A$4:$A$5000)+7*(ROW()-10)&gt;MAX('Hours Log'!$A$4:$A$5000),"",MIN('Hours Log'!$A$4:$A$5000)+7*(ROW()-10)))</f>
        <v/>
      </c>
    </row>
    <row r="982">
      <c r="A982">
        <f>IF($J982="","",YEAR($J982-WEEKDAY($J982,2)+4)&amp;"-W"&amp;TEXT(WEEKNUM($J982,21),"00"))</f>
        <v/>
      </c>
      <c r="B982" s="41">
        <f>IF($J982="","",COUNTIFS(Roster!$D$4:$D$500,"Active",Roster!$C$4:$C$500,"&lt;="&amp;$J982))</f>
        <v/>
      </c>
      <c r="C982">
        <f>IF($J982="","",SUMIFS('Hours Log'!$C:$C,'Hours Log'!$A:$A,"&gt;="&amp;$J982,'Hours Log'!$A:$A,"&lt;"&amp;$J982+7)+SUMIFS('Hours Log'!$D:$D,'Hours Log'!$A:$A,"&gt;="&amp;$J982,'Hours Log'!$A:$A,"&lt;"&amp;$J982+7))</f>
        <v/>
      </c>
      <c r="D982">
        <f>IF($J982="","",SUMIFS('Hours Log'!$D:$D,'Hours Log'!$A:$A,"&gt;="&amp;$J982,'Hours Log'!$A:$A,"&lt;"&amp;$J982+7))</f>
        <v/>
      </c>
      <c r="E982">
        <f>IF($J982="","",IFERROR(C982/(B982*40),0))</f>
        <v/>
      </c>
      <c r="F982">
        <f>IF($J982="","",0)</f>
        <v/>
      </c>
      <c r="G982">
        <f>IF($J982="","",SUMIFS('Hours Log'!$E:$E,'Hours Log'!$A:$A,"&gt;="&amp;$J982,'Hours Log'!$A:$A,"&lt;"&amp;$J982+7))</f>
        <v/>
      </c>
      <c r="J982">
        <f>IF(COUNT('Hours Log'!$A$4:$A$5000)=0,"",IF(MIN('Hours Log'!$A$4:$A$5000)+7*(ROW()-10)&gt;MAX('Hours Log'!$A$4:$A$5000),"",MIN('Hours Log'!$A$4:$A$5000)+7*(ROW()-10)))</f>
        <v/>
      </c>
    </row>
    <row r="983">
      <c r="A983">
        <f>IF($J983="","",YEAR($J983-WEEKDAY($J983,2)+4)&amp;"-W"&amp;TEXT(WEEKNUM($J983,21),"00"))</f>
        <v/>
      </c>
      <c r="B983" s="41">
        <f>IF($J983="","",COUNTIFS(Roster!$D$4:$D$500,"Active",Roster!$C$4:$C$500,"&lt;="&amp;$J983))</f>
        <v/>
      </c>
      <c r="C983">
        <f>IF($J983="","",SUMIFS('Hours Log'!$C:$C,'Hours Log'!$A:$A,"&gt;="&amp;$J983,'Hours Log'!$A:$A,"&lt;"&amp;$J983+7)+SUMIFS('Hours Log'!$D:$D,'Hours Log'!$A:$A,"&gt;="&amp;$J983,'Hours Log'!$A:$A,"&lt;"&amp;$J983+7))</f>
        <v/>
      </c>
      <c r="D983">
        <f>IF($J983="","",SUMIFS('Hours Log'!$D:$D,'Hours Log'!$A:$A,"&gt;="&amp;$J983,'Hours Log'!$A:$A,"&lt;"&amp;$J983+7))</f>
        <v/>
      </c>
      <c r="E983">
        <f>IF($J983="","",IFERROR(C983/(B983*40),0))</f>
        <v/>
      </c>
      <c r="F983">
        <f>IF($J983="","",0)</f>
        <v/>
      </c>
      <c r="G983">
        <f>IF($J983="","",SUMIFS('Hours Log'!$E:$E,'Hours Log'!$A:$A,"&gt;="&amp;$J983,'Hours Log'!$A:$A,"&lt;"&amp;$J983+7))</f>
        <v/>
      </c>
      <c r="J983">
        <f>IF(COUNT('Hours Log'!$A$4:$A$5000)=0,"",IF(MIN('Hours Log'!$A$4:$A$5000)+7*(ROW()-10)&gt;MAX('Hours Log'!$A$4:$A$5000),"",MIN('Hours Log'!$A$4:$A$5000)+7*(ROW()-10)))</f>
        <v/>
      </c>
    </row>
    <row r="984">
      <c r="A984">
        <f>IF($J984="","",YEAR($J984-WEEKDAY($J984,2)+4)&amp;"-W"&amp;TEXT(WEEKNUM($J984,21),"00"))</f>
        <v/>
      </c>
      <c r="B984" s="41">
        <f>IF($J984="","",COUNTIFS(Roster!$D$4:$D$500,"Active",Roster!$C$4:$C$500,"&lt;="&amp;$J984))</f>
        <v/>
      </c>
      <c r="C984">
        <f>IF($J984="","",SUMIFS('Hours Log'!$C:$C,'Hours Log'!$A:$A,"&gt;="&amp;$J984,'Hours Log'!$A:$A,"&lt;"&amp;$J984+7)+SUMIFS('Hours Log'!$D:$D,'Hours Log'!$A:$A,"&gt;="&amp;$J984,'Hours Log'!$A:$A,"&lt;"&amp;$J984+7))</f>
        <v/>
      </c>
      <c r="D984">
        <f>IF($J984="","",SUMIFS('Hours Log'!$D:$D,'Hours Log'!$A:$A,"&gt;="&amp;$J984,'Hours Log'!$A:$A,"&lt;"&amp;$J984+7))</f>
        <v/>
      </c>
      <c r="E984">
        <f>IF($J984="","",IFERROR(C984/(B984*40),0))</f>
        <v/>
      </c>
      <c r="F984">
        <f>IF($J984="","",0)</f>
        <v/>
      </c>
      <c r="G984">
        <f>IF($J984="","",SUMIFS('Hours Log'!$E:$E,'Hours Log'!$A:$A,"&gt;="&amp;$J984,'Hours Log'!$A:$A,"&lt;"&amp;$J984+7))</f>
        <v/>
      </c>
      <c r="J984">
        <f>IF(COUNT('Hours Log'!$A$4:$A$5000)=0,"",IF(MIN('Hours Log'!$A$4:$A$5000)+7*(ROW()-10)&gt;MAX('Hours Log'!$A$4:$A$5000),"",MIN('Hours Log'!$A$4:$A$5000)+7*(ROW()-10)))</f>
        <v/>
      </c>
    </row>
    <row r="985">
      <c r="A985">
        <f>IF($J985="","",YEAR($J985-WEEKDAY($J985,2)+4)&amp;"-W"&amp;TEXT(WEEKNUM($J985,21),"00"))</f>
        <v/>
      </c>
      <c r="B985" s="41">
        <f>IF($J985="","",COUNTIFS(Roster!$D$4:$D$500,"Active",Roster!$C$4:$C$500,"&lt;="&amp;$J985))</f>
        <v/>
      </c>
      <c r="C985">
        <f>IF($J985="","",SUMIFS('Hours Log'!$C:$C,'Hours Log'!$A:$A,"&gt;="&amp;$J985,'Hours Log'!$A:$A,"&lt;"&amp;$J985+7)+SUMIFS('Hours Log'!$D:$D,'Hours Log'!$A:$A,"&gt;="&amp;$J985,'Hours Log'!$A:$A,"&lt;"&amp;$J985+7))</f>
        <v/>
      </c>
      <c r="D985">
        <f>IF($J985="","",SUMIFS('Hours Log'!$D:$D,'Hours Log'!$A:$A,"&gt;="&amp;$J985,'Hours Log'!$A:$A,"&lt;"&amp;$J985+7))</f>
        <v/>
      </c>
      <c r="E985">
        <f>IF($J985="","",IFERROR(C985/(B985*40),0))</f>
        <v/>
      </c>
      <c r="F985">
        <f>IF($J985="","",0)</f>
        <v/>
      </c>
      <c r="G985">
        <f>IF($J985="","",SUMIFS('Hours Log'!$E:$E,'Hours Log'!$A:$A,"&gt;="&amp;$J985,'Hours Log'!$A:$A,"&lt;"&amp;$J985+7))</f>
        <v/>
      </c>
      <c r="J985">
        <f>IF(COUNT('Hours Log'!$A$4:$A$5000)=0,"",IF(MIN('Hours Log'!$A$4:$A$5000)+7*(ROW()-10)&gt;MAX('Hours Log'!$A$4:$A$5000),"",MIN('Hours Log'!$A$4:$A$5000)+7*(ROW()-10)))</f>
        <v/>
      </c>
    </row>
    <row r="986">
      <c r="A986">
        <f>IF($J986="","",YEAR($J986-WEEKDAY($J986,2)+4)&amp;"-W"&amp;TEXT(WEEKNUM($J986,21),"00"))</f>
        <v/>
      </c>
      <c r="B986" s="41">
        <f>IF($J986="","",COUNTIFS(Roster!$D$4:$D$500,"Active",Roster!$C$4:$C$500,"&lt;="&amp;$J986))</f>
        <v/>
      </c>
      <c r="C986">
        <f>IF($J986="","",SUMIFS('Hours Log'!$C:$C,'Hours Log'!$A:$A,"&gt;="&amp;$J986,'Hours Log'!$A:$A,"&lt;"&amp;$J986+7)+SUMIFS('Hours Log'!$D:$D,'Hours Log'!$A:$A,"&gt;="&amp;$J986,'Hours Log'!$A:$A,"&lt;"&amp;$J986+7))</f>
        <v/>
      </c>
      <c r="D986">
        <f>IF($J986="","",SUMIFS('Hours Log'!$D:$D,'Hours Log'!$A:$A,"&gt;="&amp;$J986,'Hours Log'!$A:$A,"&lt;"&amp;$J986+7))</f>
        <v/>
      </c>
      <c r="E986">
        <f>IF($J986="","",IFERROR(C986/(B986*40),0))</f>
        <v/>
      </c>
      <c r="F986">
        <f>IF($J986="","",0)</f>
        <v/>
      </c>
      <c r="G986">
        <f>IF($J986="","",SUMIFS('Hours Log'!$E:$E,'Hours Log'!$A:$A,"&gt;="&amp;$J986,'Hours Log'!$A:$A,"&lt;"&amp;$J986+7))</f>
        <v/>
      </c>
      <c r="J986">
        <f>IF(COUNT('Hours Log'!$A$4:$A$5000)=0,"",IF(MIN('Hours Log'!$A$4:$A$5000)+7*(ROW()-10)&gt;MAX('Hours Log'!$A$4:$A$5000),"",MIN('Hours Log'!$A$4:$A$5000)+7*(ROW()-10)))</f>
        <v/>
      </c>
    </row>
    <row r="987">
      <c r="A987">
        <f>IF($J987="","",YEAR($J987-WEEKDAY($J987,2)+4)&amp;"-W"&amp;TEXT(WEEKNUM($J987,21),"00"))</f>
        <v/>
      </c>
      <c r="B987" s="41">
        <f>IF($J987="","",COUNTIFS(Roster!$D$4:$D$500,"Active",Roster!$C$4:$C$500,"&lt;="&amp;$J987))</f>
        <v/>
      </c>
      <c r="C987">
        <f>IF($J987="","",SUMIFS('Hours Log'!$C:$C,'Hours Log'!$A:$A,"&gt;="&amp;$J987,'Hours Log'!$A:$A,"&lt;"&amp;$J987+7)+SUMIFS('Hours Log'!$D:$D,'Hours Log'!$A:$A,"&gt;="&amp;$J987,'Hours Log'!$A:$A,"&lt;"&amp;$J987+7))</f>
        <v/>
      </c>
      <c r="D987">
        <f>IF($J987="","",SUMIFS('Hours Log'!$D:$D,'Hours Log'!$A:$A,"&gt;="&amp;$J987,'Hours Log'!$A:$A,"&lt;"&amp;$J987+7))</f>
        <v/>
      </c>
      <c r="E987">
        <f>IF($J987="","",IFERROR(C987/(B987*40),0))</f>
        <v/>
      </c>
      <c r="F987">
        <f>IF($J987="","",0)</f>
        <v/>
      </c>
      <c r="G987">
        <f>IF($J987="","",SUMIFS('Hours Log'!$E:$E,'Hours Log'!$A:$A,"&gt;="&amp;$J987,'Hours Log'!$A:$A,"&lt;"&amp;$J987+7))</f>
        <v/>
      </c>
      <c r="J987">
        <f>IF(COUNT('Hours Log'!$A$4:$A$5000)=0,"",IF(MIN('Hours Log'!$A$4:$A$5000)+7*(ROW()-10)&gt;MAX('Hours Log'!$A$4:$A$5000),"",MIN('Hours Log'!$A$4:$A$5000)+7*(ROW()-10)))</f>
        <v/>
      </c>
    </row>
    <row r="988">
      <c r="A988">
        <f>IF($J988="","",YEAR($J988-WEEKDAY($J988,2)+4)&amp;"-W"&amp;TEXT(WEEKNUM($J988,21),"00"))</f>
        <v/>
      </c>
      <c r="B988" s="41">
        <f>IF($J988="","",COUNTIFS(Roster!$D$4:$D$500,"Active",Roster!$C$4:$C$500,"&lt;="&amp;$J988))</f>
        <v/>
      </c>
      <c r="C988">
        <f>IF($J988="","",SUMIFS('Hours Log'!$C:$C,'Hours Log'!$A:$A,"&gt;="&amp;$J988,'Hours Log'!$A:$A,"&lt;"&amp;$J988+7)+SUMIFS('Hours Log'!$D:$D,'Hours Log'!$A:$A,"&gt;="&amp;$J988,'Hours Log'!$A:$A,"&lt;"&amp;$J988+7))</f>
        <v/>
      </c>
      <c r="D988">
        <f>IF($J988="","",SUMIFS('Hours Log'!$D:$D,'Hours Log'!$A:$A,"&gt;="&amp;$J988,'Hours Log'!$A:$A,"&lt;"&amp;$J988+7))</f>
        <v/>
      </c>
      <c r="E988">
        <f>IF($J988="","",IFERROR(C988/(B988*40),0))</f>
        <v/>
      </c>
      <c r="F988">
        <f>IF($J988="","",0)</f>
        <v/>
      </c>
      <c r="G988">
        <f>IF($J988="","",SUMIFS('Hours Log'!$E:$E,'Hours Log'!$A:$A,"&gt;="&amp;$J988,'Hours Log'!$A:$A,"&lt;"&amp;$J988+7))</f>
        <v/>
      </c>
      <c r="J988">
        <f>IF(COUNT('Hours Log'!$A$4:$A$5000)=0,"",IF(MIN('Hours Log'!$A$4:$A$5000)+7*(ROW()-10)&gt;MAX('Hours Log'!$A$4:$A$5000),"",MIN('Hours Log'!$A$4:$A$5000)+7*(ROW()-10)))</f>
        <v/>
      </c>
    </row>
    <row r="989">
      <c r="A989">
        <f>IF($J989="","",YEAR($J989-WEEKDAY($J989,2)+4)&amp;"-W"&amp;TEXT(WEEKNUM($J989,21),"00"))</f>
        <v/>
      </c>
      <c r="B989" s="41">
        <f>IF($J989="","",COUNTIFS(Roster!$D$4:$D$500,"Active",Roster!$C$4:$C$500,"&lt;="&amp;$J989))</f>
        <v/>
      </c>
      <c r="C989">
        <f>IF($J989="","",SUMIFS('Hours Log'!$C:$C,'Hours Log'!$A:$A,"&gt;="&amp;$J989,'Hours Log'!$A:$A,"&lt;"&amp;$J989+7)+SUMIFS('Hours Log'!$D:$D,'Hours Log'!$A:$A,"&gt;="&amp;$J989,'Hours Log'!$A:$A,"&lt;"&amp;$J989+7))</f>
        <v/>
      </c>
      <c r="D989">
        <f>IF($J989="","",SUMIFS('Hours Log'!$D:$D,'Hours Log'!$A:$A,"&gt;="&amp;$J989,'Hours Log'!$A:$A,"&lt;"&amp;$J989+7))</f>
        <v/>
      </c>
      <c r="E989">
        <f>IF($J989="","",IFERROR(C989/(B989*40),0))</f>
        <v/>
      </c>
      <c r="F989">
        <f>IF($J989="","",0)</f>
        <v/>
      </c>
      <c r="G989">
        <f>IF($J989="","",SUMIFS('Hours Log'!$E:$E,'Hours Log'!$A:$A,"&gt;="&amp;$J989,'Hours Log'!$A:$A,"&lt;"&amp;$J989+7))</f>
        <v/>
      </c>
      <c r="J989">
        <f>IF(COUNT('Hours Log'!$A$4:$A$5000)=0,"",IF(MIN('Hours Log'!$A$4:$A$5000)+7*(ROW()-10)&gt;MAX('Hours Log'!$A$4:$A$5000),"",MIN('Hours Log'!$A$4:$A$5000)+7*(ROW()-10)))</f>
        <v/>
      </c>
    </row>
    <row r="990">
      <c r="A990">
        <f>IF($J990="","",YEAR($J990-WEEKDAY($J990,2)+4)&amp;"-W"&amp;TEXT(WEEKNUM($J990,21),"00"))</f>
        <v/>
      </c>
      <c r="B990" s="41">
        <f>IF($J990="","",COUNTIFS(Roster!$D$4:$D$500,"Active",Roster!$C$4:$C$500,"&lt;="&amp;$J990))</f>
        <v/>
      </c>
      <c r="C990">
        <f>IF($J990="","",SUMIFS('Hours Log'!$C:$C,'Hours Log'!$A:$A,"&gt;="&amp;$J990,'Hours Log'!$A:$A,"&lt;"&amp;$J990+7)+SUMIFS('Hours Log'!$D:$D,'Hours Log'!$A:$A,"&gt;="&amp;$J990,'Hours Log'!$A:$A,"&lt;"&amp;$J990+7))</f>
        <v/>
      </c>
      <c r="D990">
        <f>IF($J990="","",SUMIFS('Hours Log'!$D:$D,'Hours Log'!$A:$A,"&gt;="&amp;$J990,'Hours Log'!$A:$A,"&lt;"&amp;$J990+7))</f>
        <v/>
      </c>
      <c r="E990">
        <f>IF($J990="","",IFERROR(C990/(B990*40),0))</f>
        <v/>
      </c>
      <c r="F990">
        <f>IF($J990="","",0)</f>
        <v/>
      </c>
      <c r="G990">
        <f>IF($J990="","",SUMIFS('Hours Log'!$E:$E,'Hours Log'!$A:$A,"&gt;="&amp;$J990,'Hours Log'!$A:$A,"&lt;"&amp;$J990+7))</f>
        <v/>
      </c>
      <c r="J990">
        <f>IF(COUNT('Hours Log'!$A$4:$A$5000)=0,"",IF(MIN('Hours Log'!$A$4:$A$5000)+7*(ROW()-10)&gt;MAX('Hours Log'!$A$4:$A$5000),"",MIN('Hours Log'!$A$4:$A$5000)+7*(ROW()-10)))</f>
        <v/>
      </c>
    </row>
    <row r="991">
      <c r="A991">
        <f>IF($J991="","",YEAR($J991-WEEKDAY($J991,2)+4)&amp;"-W"&amp;TEXT(WEEKNUM($J991,21),"00"))</f>
        <v/>
      </c>
      <c r="B991" s="41">
        <f>IF($J991="","",COUNTIFS(Roster!$D$4:$D$500,"Active",Roster!$C$4:$C$500,"&lt;="&amp;$J991))</f>
        <v/>
      </c>
      <c r="C991">
        <f>IF($J991="","",SUMIFS('Hours Log'!$C:$C,'Hours Log'!$A:$A,"&gt;="&amp;$J991,'Hours Log'!$A:$A,"&lt;"&amp;$J991+7)+SUMIFS('Hours Log'!$D:$D,'Hours Log'!$A:$A,"&gt;="&amp;$J991,'Hours Log'!$A:$A,"&lt;"&amp;$J991+7))</f>
        <v/>
      </c>
      <c r="D991">
        <f>IF($J991="","",SUMIFS('Hours Log'!$D:$D,'Hours Log'!$A:$A,"&gt;="&amp;$J991,'Hours Log'!$A:$A,"&lt;"&amp;$J991+7))</f>
        <v/>
      </c>
      <c r="E991">
        <f>IF($J991="","",IFERROR(C991/(B991*40),0))</f>
        <v/>
      </c>
      <c r="F991">
        <f>IF($J991="","",0)</f>
        <v/>
      </c>
      <c r="G991">
        <f>IF($J991="","",SUMIFS('Hours Log'!$E:$E,'Hours Log'!$A:$A,"&gt;="&amp;$J991,'Hours Log'!$A:$A,"&lt;"&amp;$J991+7))</f>
        <v/>
      </c>
      <c r="J991">
        <f>IF(COUNT('Hours Log'!$A$4:$A$5000)=0,"",IF(MIN('Hours Log'!$A$4:$A$5000)+7*(ROW()-10)&gt;MAX('Hours Log'!$A$4:$A$5000),"",MIN('Hours Log'!$A$4:$A$5000)+7*(ROW()-10)))</f>
        <v/>
      </c>
    </row>
    <row r="992">
      <c r="A992">
        <f>IF($J992="","",YEAR($J992-WEEKDAY($J992,2)+4)&amp;"-W"&amp;TEXT(WEEKNUM($J992,21),"00"))</f>
        <v/>
      </c>
      <c r="B992" s="41">
        <f>IF($J992="","",COUNTIFS(Roster!$D$4:$D$500,"Active",Roster!$C$4:$C$500,"&lt;="&amp;$J992))</f>
        <v/>
      </c>
      <c r="C992">
        <f>IF($J992="","",SUMIFS('Hours Log'!$C:$C,'Hours Log'!$A:$A,"&gt;="&amp;$J992,'Hours Log'!$A:$A,"&lt;"&amp;$J992+7)+SUMIFS('Hours Log'!$D:$D,'Hours Log'!$A:$A,"&gt;="&amp;$J992,'Hours Log'!$A:$A,"&lt;"&amp;$J992+7))</f>
        <v/>
      </c>
      <c r="D992">
        <f>IF($J992="","",SUMIFS('Hours Log'!$D:$D,'Hours Log'!$A:$A,"&gt;="&amp;$J992,'Hours Log'!$A:$A,"&lt;"&amp;$J992+7))</f>
        <v/>
      </c>
      <c r="E992">
        <f>IF($J992="","",IFERROR(C992/(B992*40),0))</f>
        <v/>
      </c>
      <c r="F992">
        <f>IF($J992="","",0)</f>
        <v/>
      </c>
      <c r="G992">
        <f>IF($J992="","",SUMIFS('Hours Log'!$E:$E,'Hours Log'!$A:$A,"&gt;="&amp;$J992,'Hours Log'!$A:$A,"&lt;"&amp;$J992+7))</f>
        <v/>
      </c>
      <c r="J992">
        <f>IF(COUNT('Hours Log'!$A$4:$A$5000)=0,"",IF(MIN('Hours Log'!$A$4:$A$5000)+7*(ROW()-10)&gt;MAX('Hours Log'!$A$4:$A$5000),"",MIN('Hours Log'!$A$4:$A$5000)+7*(ROW()-10)))</f>
        <v/>
      </c>
    </row>
    <row r="993">
      <c r="A993">
        <f>IF($J993="","",YEAR($J993-WEEKDAY($J993,2)+4)&amp;"-W"&amp;TEXT(WEEKNUM($J993,21),"00"))</f>
        <v/>
      </c>
      <c r="B993" s="41">
        <f>IF($J993="","",COUNTIFS(Roster!$D$4:$D$500,"Active",Roster!$C$4:$C$500,"&lt;="&amp;$J993))</f>
        <v/>
      </c>
      <c r="C993">
        <f>IF($J993="","",SUMIFS('Hours Log'!$C:$C,'Hours Log'!$A:$A,"&gt;="&amp;$J993,'Hours Log'!$A:$A,"&lt;"&amp;$J993+7)+SUMIFS('Hours Log'!$D:$D,'Hours Log'!$A:$A,"&gt;="&amp;$J993,'Hours Log'!$A:$A,"&lt;"&amp;$J993+7))</f>
        <v/>
      </c>
      <c r="D993">
        <f>IF($J993="","",SUMIFS('Hours Log'!$D:$D,'Hours Log'!$A:$A,"&gt;="&amp;$J993,'Hours Log'!$A:$A,"&lt;"&amp;$J993+7))</f>
        <v/>
      </c>
      <c r="E993">
        <f>IF($J993="","",IFERROR(C993/(B993*40),0))</f>
        <v/>
      </c>
      <c r="F993">
        <f>IF($J993="","",0)</f>
        <v/>
      </c>
      <c r="G993">
        <f>IF($J993="","",SUMIFS('Hours Log'!$E:$E,'Hours Log'!$A:$A,"&gt;="&amp;$J993,'Hours Log'!$A:$A,"&lt;"&amp;$J993+7))</f>
        <v/>
      </c>
      <c r="J993">
        <f>IF(COUNT('Hours Log'!$A$4:$A$5000)=0,"",IF(MIN('Hours Log'!$A$4:$A$5000)+7*(ROW()-10)&gt;MAX('Hours Log'!$A$4:$A$5000),"",MIN('Hours Log'!$A$4:$A$5000)+7*(ROW()-10)))</f>
        <v/>
      </c>
    </row>
    <row r="994">
      <c r="A994">
        <f>IF($J994="","",YEAR($J994-WEEKDAY($J994,2)+4)&amp;"-W"&amp;TEXT(WEEKNUM($J994,21),"00"))</f>
        <v/>
      </c>
      <c r="B994" s="41">
        <f>IF($J994="","",COUNTIFS(Roster!$D$4:$D$500,"Active",Roster!$C$4:$C$500,"&lt;="&amp;$J994))</f>
        <v/>
      </c>
      <c r="C994">
        <f>IF($J994="","",SUMIFS('Hours Log'!$C:$C,'Hours Log'!$A:$A,"&gt;="&amp;$J994,'Hours Log'!$A:$A,"&lt;"&amp;$J994+7)+SUMIFS('Hours Log'!$D:$D,'Hours Log'!$A:$A,"&gt;="&amp;$J994,'Hours Log'!$A:$A,"&lt;"&amp;$J994+7))</f>
        <v/>
      </c>
      <c r="D994">
        <f>IF($J994="","",SUMIFS('Hours Log'!$D:$D,'Hours Log'!$A:$A,"&gt;="&amp;$J994,'Hours Log'!$A:$A,"&lt;"&amp;$J994+7))</f>
        <v/>
      </c>
      <c r="E994">
        <f>IF($J994="","",IFERROR(C994/(B994*40),0))</f>
        <v/>
      </c>
      <c r="F994">
        <f>IF($J994="","",0)</f>
        <v/>
      </c>
      <c r="G994">
        <f>IF($J994="","",SUMIFS('Hours Log'!$E:$E,'Hours Log'!$A:$A,"&gt;="&amp;$J994,'Hours Log'!$A:$A,"&lt;"&amp;$J994+7))</f>
        <v/>
      </c>
      <c r="J994">
        <f>IF(COUNT('Hours Log'!$A$4:$A$5000)=0,"",IF(MIN('Hours Log'!$A$4:$A$5000)+7*(ROW()-10)&gt;MAX('Hours Log'!$A$4:$A$5000),"",MIN('Hours Log'!$A$4:$A$5000)+7*(ROW()-10)))</f>
        <v/>
      </c>
    </row>
    <row r="995">
      <c r="A995">
        <f>IF($J995="","",YEAR($J995-WEEKDAY($J995,2)+4)&amp;"-W"&amp;TEXT(WEEKNUM($J995,21),"00"))</f>
        <v/>
      </c>
      <c r="B995" s="41">
        <f>IF($J995="","",COUNTIFS(Roster!$D$4:$D$500,"Active",Roster!$C$4:$C$500,"&lt;="&amp;$J995))</f>
        <v/>
      </c>
      <c r="C995">
        <f>IF($J995="","",SUMIFS('Hours Log'!$C:$C,'Hours Log'!$A:$A,"&gt;="&amp;$J995,'Hours Log'!$A:$A,"&lt;"&amp;$J995+7)+SUMIFS('Hours Log'!$D:$D,'Hours Log'!$A:$A,"&gt;="&amp;$J995,'Hours Log'!$A:$A,"&lt;"&amp;$J995+7))</f>
        <v/>
      </c>
      <c r="D995">
        <f>IF($J995="","",SUMIFS('Hours Log'!$D:$D,'Hours Log'!$A:$A,"&gt;="&amp;$J995,'Hours Log'!$A:$A,"&lt;"&amp;$J995+7))</f>
        <v/>
      </c>
      <c r="E995">
        <f>IF($J995="","",IFERROR(C995/(B995*40),0))</f>
        <v/>
      </c>
      <c r="F995">
        <f>IF($J995="","",0)</f>
        <v/>
      </c>
      <c r="G995">
        <f>IF($J995="","",SUMIFS('Hours Log'!$E:$E,'Hours Log'!$A:$A,"&gt;="&amp;$J995,'Hours Log'!$A:$A,"&lt;"&amp;$J995+7))</f>
        <v/>
      </c>
      <c r="J995">
        <f>IF(COUNT('Hours Log'!$A$4:$A$5000)=0,"",IF(MIN('Hours Log'!$A$4:$A$5000)+7*(ROW()-10)&gt;MAX('Hours Log'!$A$4:$A$5000),"",MIN('Hours Log'!$A$4:$A$5000)+7*(ROW()-10)))</f>
        <v/>
      </c>
    </row>
    <row r="996">
      <c r="A996">
        <f>IF($J996="","",YEAR($J996-WEEKDAY($J996,2)+4)&amp;"-W"&amp;TEXT(WEEKNUM($J996,21),"00"))</f>
        <v/>
      </c>
      <c r="B996" s="41">
        <f>IF($J996="","",COUNTIFS(Roster!$D$4:$D$500,"Active",Roster!$C$4:$C$500,"&lt;="&amp;$J996))</f>
        <v/>
      </c>
      <c r="C996">
        <f>IF($J996="","",SUMIFS('Hours Log'!$C:$C,'Hours Log'!$A:$A,"&gt;="&amp;$J996,'Hours Log'!$A:$A,"&lt;"&amp;$J996+7)+SUMIFS('Hours Log'!$D:$D,'Hours Log'!$A:$A,"&gt;="&amp;$J996,'Hours Log'!$A:$A,"&lt;"&amp;$J996+7))</f>
        <v/>
      </c>
      <c r="D996">
        <f>IF($J996="","",SUMIFS('Hours Log'!$D:$D,'Hours Log'!$A:$A,"&gt;="&amp;$J996,'Hours Log'!$A:$A,"&lt;"&amp;$J996+7))</f>
        <v/>
      </c>
      <c r="E996">
        <f>IF($J996="","",IFERROR(C996/(B996*40),0))</f>
        <v/>
      </c>
      <c r="F996">
        <f>IF($J996="","",0)</f>
        <v/>
      </c>
      <c r="G996">
        <f>IF($J996="","",SUMIFS('Hours Log'!$E:$E,'Hours Log'!$A:$A,"&gt;="&amp;$J996,'Hours Log'!$A:$A,"&lt;"&amp;$J996+7))</f>
        <v/>
      </c>
      <c r="J996">
        <f>IF(COUNT('Hours Log'!$A$4:$A$5000)=0,"",IF(MIN('Hours Log'!$A$4:$A$5000)+7*(ROW()-10)&gt;MAX('Hours Log'!$A$4:$A$5000),"",MIN('Hours Log'!$A$4:$A$5000)+7*(ROW()-10)))</f>
        <v/>
      </c>
    </row>
    <row r="997">
      <c r="A997">
        <f>IF($J997="","",YEAR($J997-WEEKDAY($J997,2)+4)&amp;"-W"&amp;TEXT(WEEKNUM($J997,21),"00"))</f>
        <v/>
      </c>
      <c r="B997" s="41">
        <f>IF($J997="","",COUNTIFS(Roster!$D$4:$D$500,"Active",Roster!$C$4:$C$500,"&lt;="&amp;$J997))</f>
        <v/>
      </c>
      <c r="C997">
        <f>IF($J997="","",SUMIFS('Hours Log'!$C:$C,'Hours Log'!$A:$A,"&gt;="&amp;$J997,'Hours Log'!$A:$A,"&lt;"&amp;$J997+7)+SUMIFS('Hours Log'!$D:$D,'Hours Log'!$A:$A,"&gt;="&amp;$J997,'Hours Log'!$A:$A,"&lt;"&amp;$J997+7))</f>
        <v/>
      </c>
      <c r="D997">
        <f>IF($J997="","",SUMIFS('Hours Log'!$D:$D,'Hours Log'!$A:$A,"&gt;="&amp;$J997,'Hours Log'!$A:$A,"&lt;"&amp;$J997+7))</f>
        <v/>
      </c>
      <c r="E997">
        <f>IF($J997="","",IFERROR(C997/(B997*40),0))</f>
        <v/>
      </c>
      <c r="F997">
        <f>IF($J997="","",0)</f>
        <v/>
      </c>
      <c r="G997">
        <f>IF($J997="","",SUMIFS('Hours Log'!$E:$E,'Hours Log'!$A:$A,"&gt;="&amp;$J997,'Hours Log'!$A:$A,"&lt;"&amp;$J997+7))</f>
        <v/>
      </c>
      <c r="J997">
        <f>IF(COUNT('Hours Log'!$A$4:$A$5000)=0,"",IF(MIN('Hours Log'!$A$4:$A$5000)+7*(ROW()-10)&gt;MAX('Hours Log'!$A$4:$A$5000),"",MIN('Hours Log'!$A$4:$A$5000)+7*(ROW()-10)))</f>
        <v/>
      </c>
    </row>
    <row r="998">
      <c r="A998">
        <f>IF($J998="","",YEAR($J998-WEEKDAY($J998,2)+4)&amp;"-W"&amp;TEXT(WEEKNUM($J998,21),"00"))</f>
        <v/>
      </c>
      <c r="B998" s="41">
        <f>IF($J998="","",COUNTIFS(Roster!$D$4:$D$500,"Active",Roster!$C$4:$C$500,"&lt;="&amp;$J998))</f>
        <v/>
      </c>
      <c r="C998">
        <f>IF($J998="","",SUMIFS('Hours Log'!$C:$C,'Hours Log'!$A:$A,"&gt;="&amp;$J998,'Hours Log'!$A:$A,"&lt;"&amp;$J998+7)+SUMIFS('Hours Log'!$D:$D,'Hours Log'!$A:$A,"&gt;="&amp;$J998,'Hours Log'!$A:$A,"&lt;"&amp;$J998+7))</f>
        <v/>
      </c>
      <c r="D998">
        <f>IF($J998="","",SUMIFS('Hours Log'!$D:$D,'Hours Log'!$A:$A,"&gt;="&amp;$J998,'Hours Log'!$A:$A,"&lt;"&amp;$J998+7))</f>
        <v/>
      </c>
      <c r="E998">
        <f>IF($J998="","",IFERROR(C998/(B998*40),0))</f>
        <v/>
      </c>
      <c r="F998">
        <f>IF($J998="","",0)</f>
        <v/>
      </c>
      <c r="G998">
        <f>IF($J998="","",SUMIFS('Hours Log'!$E:$E,'Hours Log'!$A:$A,"&gt;="&amp;$J998,'Hours Log'!$A:$A,"&lt;"&amp;$J998+7))</f>
        <v/>
      </c>
      <c r="J998">
        <f>IF(COUNT('Hours Log'!$A$4:$A$5000)=0,"",IF(MIN('Hours Log'!$A$4:$A$5000)+7*(ROW()-10)&gt;MAX('Hours Log'!$A$4:$A$5000),"",MIN('Hours Log'!$A$4:$A$5000)+7*(ROW()-10)))</f>
        <v/>
      </c>
    </row>
    <row r="999">
      <c r="A999">
        <f>IF($J999="","",YEAR($J999-WEEKDAY($J999,2)+4)&amp;"-W"&amp;TEXT(WEEKNUM($J999,21),"00"))</f>
        <v/>
      </c>
      <c r="B999" s="41">
        <f>IF($J999="","",COUNTIFS(Roster!$D$4:$D$500,"Active",Roster!$C$4:$C$500,"&lt;="&amp;$J999))</f>
        <v/>
      </c>
      <c r="C999">
        <f>IF($J999="","",SUMIFS('Hours Log'!$C:$C,'Hours Log'!$A:$A,"&gt;="&amp;$J999,'Hours Log'!$A:$A,"&lt;"&amp;$J999+7)+SUMIFS('Hours Log'!$D:$D,'Hours Log'!$A:$A,"&gt;="&amp;$J999,'Hours Log'!$A:$A,"&lt;"&amp;$J999+7))</f>
        <v/>
      </c>
      <c r="D999">
        <f>IF($J999="","",SUMIFS('Hours Log'!$D:$D,'Hours Log'!$A:$A,"&gt;="&amp;$J999,'Hours Log'!$A:$A,"&lt;"&amp;$J999+7))</f>
        <v/>
      </c>
      <c r="E999">
        <f>IF($J999="","",IFERROR(C999/(B999*40),0))</f>
        <v/>
      </c>
      <c r="F999">
        <f>IF($J999="","",0)</f>
        <v/>
      </c>
      <c r="G999">
        <f>IF($J999="","",SUMIFS('Hours Log'!$E:$E,'Hours Log'!$A:$A,"&gt;="&amp;$J999,'Hours Log'!$A:$A,"&lt;"&amp;$J999+7))</f>
        <v/>
      </c>
      <c r="J999">
        <f>IF(COUNT('Hours Log'!$A$4:$A$5000)=0,"",IF(MIN('Hours Log'!$A$4:$A$5000)+7*(ROW()-10)&gt;MAX('Hours Log'!$A$4:$A$5000),"",MIN('Hours Log'!$A$4:$A$5000)+7*(ROW()-10)))</f>
        <v/>
      </c>
    </row>
    <row r="1000">
      <c r="A1000">
        <f>IF($J1000="","",YEAR($J1000-WEEKDAY($J1000,2)+4)&amp;"-W"&amp;TEXT(WEEKNUM($J1000,21),"00"))</f>
        <v/>
      </c>
      <c r="B1000" s="41">
        <f>IF($J1000="","",COUNTIFS(Roster!$D$4:$D$500,"Active",Roster!$C$4:$C$500,"&lt;="&amp;$J1000))</f>
        <v/>
      </c>
      <c r="C1000">
        <f>IF($J1000="","",SUMIFS('Hours Log'!$C:$C,'Hours Log'!$A:$A,"&gt;="&amp;$J1000,'Hours Log'!$A:$A,"&lt;"&amp;$J1000+7)+SUMIFS('Hours Log'!$D:$D,'Hours Log'!$A:$A,"&gt;="&amp;$J1000,'Hours Log'!$A:$A,"&lt;"&amp;$J1000+7))</f>
        <v/>
      </c>
      <c r="D1000">
        <f>IF($J1000="","",SUMIFS('Hours Log'!$D:$D,'Hours Log'!$A:$A,"&gt;="&amp;$J1000,'Hours Log'!$A:$A,"&lt;"&amp;$J1000+7))</f>
        <v/>
      </c>
      <c r="E1000">
        <f>IF($J1000="","",IFERROR(C1000/(B1000*40),0))</f>
        <v/>
      </c>
      <c r="F1000">
        <f>IF($J1000="","",0)</f>
        <v/>
      </c>
      <c r="G1000">
        <f>IF($J1000="","",SUMIFS('Hours Log'!$E:$E,'Hours Log'!$A:$A,"&gt;="&amp;$J1000,'Hours Log'!$A:$A,"&lt;"&amp;$J1000+7))</f>
        <v/>
      </c>
      <c r="J1000">
        <f>IF(COUNT('Hours Log'!$A$4:$A$5000)=0,"",IF(MIN('Hours Log'!$A$4:$A$5000)+7*(ROW()-10)&gt;MAX('Hours Log'!$A$4:$A$5000),"",MIN('Hours Log'!$A$4:$A$5000)+7*(ROW()-10)))</f>
        <v/>
      </c>
    </row>
    <row r="1001">
      <c r="A1001">
        <f>IF($J1001="","",YEAR($J1001-WEEKDAY($J1001,2)+4)&amp;"-W"&amp;TEXT(WEEKNUM($J1001,21),"00"))</f>
        <v/>
      </c>
      <c r="B1001" s="41">
        <f>IF($J1001="","",COUNTIFS(Roster!$D$4:$D$500,"Active",Roster!$C$4:$C$500,"&lt;="&amp;$J1001))</f>
        <v/>
      </c>
      <c r="C1001">
        <f>IF($J1001="","",SUMIFS('Hours Log'!$C:$C,'Hours Log'!$A:$A,"&gt;="&amp;$J1001,'Hours Log'!$A:$A,"&lt;"&amp;$J1001+7)+SUMIFS('Hours Log'!$D:$D,'Hours Log'!$A:$A,"&gt;="&amp;$J1001,'Hours Log'!$A:$A,"&lt;"&amp;$J1001+7))</f>
        <v/>
      </c>
      <c r="D1001">
        <f>IF($J1001="","",SUMIFS('Hours Log'!$D:$D,'Hours Log'!$A:$A,"&gt;="&amp;$J1001,'Hours Log'!$A:$A,"&lt;"&amp;$J1001+7))</f>
        <v/>
      </c>
      <c r="E1001">
        <f>IF($J1001="","",IFERROR(C1001/(B1001*40),0))</f>
        <v/>
      </c>
      <c r="F1001">
        <f>IF($J1001="","",0)</f>
        <v/>
      </c>
      <c r="G1001">
        <f>IF($J1001="","",SUMIFS('Hours Log'!$E:$E,'Hours Log'!$A:$A,"&gt;="&amp;$J1001,'Hours Log'!$A:$A,"&lt;"&amp;$J1001+7))</f>
        <v/>
      </c>
      <c r="J1001">
        <f>IF(COUNT('Hours Log'!$A$4:$A$5000)=0,"",IF(MIN('Hours Log'!$A$4:$A$5000)+7*(ROW()-10)&gt;MAX('Hours Log'!$A$4:$A$5000),"",MIN('Hours Log'!$A$4:$A$5000)+7*(ROW()-10)))</f>
        <v/>
      </c>
    </row>
    <row r="1002">
      <c r="A1002">
        <f>IF($J1002="","",YEAR($J1002-WEEKDAY($J1002,2)+4)&amp;"-W"&amp;TEXT(WEEKNUM($J1002,21),"00"))</f>
        <v/>
      </c>
      <c r="B1002" s="41">
        <f>IF($J1002="","",COUNTIFS(Roster!$D$4:$D$500,"Active",Roster!$C$4:$C$500,"&lt;="&amp;$J1002))</f>
        <v/>
      </c>
      <c r="C1002">
        <f>IF($J1002="","",SUMIFS('Hours Log'!$C:$C,'Hours Log'!$A:$A,"&gt;="&amp;$J1002,'Hours Log'!$A:$A,"&lt;"&amp;$J1002+7)+SUMIFS('Hours Log'!$D:$D,'Hours Log'!$A:$A,"&gt;="&amp;$J1002,'Hours Log'!$A:$A,"&lt;"&amp;$J1002+7))</f>
        <v/>
      </c>
      <c r="D1002">
        <f>IF($J1002="","",SUMIFS('Hours Log'!$D:$D,'Hours Log'!$A:$A,"&gt;="&amp;$J1002,'Hours Log'!$A:$A,"&lt;"&amp;$J1002+7))</f>
        <v/>
      </c>
      <c r="E1002">
        <f>IF($J1002="","",IFERROR(C1002/(B1002*40),0))</f>
        <v/>
      </c>
      <c r="F1002">
        <f>IF($J1002="","",0)</f>
        <v/>
      </c>
      <c r="G1002">
        <f>IF($J1002="","",SUMIFS('Hours Log'!$E:$E,'Hours Log'!$A:$A,"&gt;="&amp;$J1002,'Hours Log'!$A:$A,"&lt;"&amp;$J1002+7))</f>
        <v/>
      </c>
      <c r="J1002">
        <f>IF(COUNT('Hours Log'!$A$4:$A$5000)=0,"",IF(MIN('Hours Log'!$A$4:$A$5000)+7*(ROW()-10)&gt;MAX('Hours Log'!$A$4:$A$5000),"",MIN('Hours Log'!$A$4:$A$5000)+7*(ROW()-10)))</f>
        <v/>
      </c>
    </row>
    <row r="1003">
      <c r="A1003">
        <f>IF($J1003="","",YEAR($J1003-WEEKDAY($J1003,2)+4)&amp;"-W"&amp;TEXT(WEEKNUM($J1003,21),"00"))</f>
        <v/>
      </c>
      <c r="B1003" s="41">
        <f>IF($J1003="","",COUNTIFS(Roster!$D$4:$D$500,"Active",Roster!$C$4:$C$500,"&lt;="&amp;$J1003))</f>
        <v/>
      </c>
      <c r="C1003">
        <f>IF($J1003="","",SUMIFS('Hours Log'!$C:$C,'Hours Log'!$A:$A,"&gt;="&amp;$J1003,'Hours Log'!$A:$A,"&lt;"&amp;$J1003+7)+SUMIFS('Hours Log'!$D:$D,'Hours Log'!$A:$A,"&gt;="&amp;$J1003,'Hours Log'!$A:$A,"&lt;"&amp;$J1003+7))</f>
        <v/>
      </c>
      <c r="D1003">
        <f>IF($J1003="","",SUMIFS('Hours Log'!$D:$D,'Hours Log'!$A:$A,"&gt;="&amp;$J1003,'Hours Log'!$A:$A,"&lt;"&amp;$J1003+7))</f>
        <v/>
      </c>
      <c r="E1003">
        <f>IF($J1003="","",IFERROR(C1003/(B1003*40),0))</f>
        <v/>
      </c>
      <c r="F1003">
        <f>IF($J1003="","",0)</f>
        <v/>
      </c>
      <c r="G1003">
        <f>IF($J1003="","",SUMIFS('Hours Log'!$E:$E,'Hours Log'!$A:$A,"&gt;="&amp;$J1003,'Hours Log'!$A:$A,"&lt;"&amp;$J1003+7))</f>
        <v/>
      </c>
      <c r="J1003">
        <f>IF(COUNT('Hours Log'!$A$4:$A$5000)=0,"",IF(MIN('Hours Log'!$A$4:$A$5000)+7*(ROW()-10)&gt;MAX('Hours Log'!$A$4:$A$5000),"",MIN('Hours Log'!$A$4:$A$5000)+7*(ROW()-10)))</f>
        <v/>
      </c>
    </row>
    <row r="1004">
      <c r="A1004">
        <f>IF($J1004="","",YEAR($J1004-WEEKDAY($J1004,2)+4)&amp;"-W"&amp;TEXT(WEEKNUM($J1004,21),"00"))</f>
        <v/>
      </c>
      <c r="B1004" s="41">
        <f>IF($J1004="","",COUNTIFS(Roster!$D$4:$D$500,"Active",Roster!$C$4:$C$500,"&lt;="&amp;$J1004))</f>
        <v/>
      </c>
      <c r="C1004">
        <f>IF($J1004="","",SUMIFS('Hours Log'!$C:$C,'Hours Log'!$A:$A,"&gt;="&amp;$J1004,'Hours Log'!$A:$A,"&lt;"&amp;$J1004+7)+SUMIFS('Hours Log'!$D:$D,'Hours Log'!$A:$A,"&gt;="&amp;$J1004,'Hours Log'!$A:$A,"&lt;"&amp;$J1004+7))</f>
        <v/>
      </c>
      <c r="D1004">
        <f>IF($J1004="","",SUMIFS('Hours Log'!$D:$D,'Hours Log'!$A:$A,"&gt;="&amp;$J1004,'Hours Log'!$A:$A,"&lt;"&amp;$J1004+7))</f>
        <v/>
      </c>
      <c r="E1004">
        <f>IF($J1004="","",IFERROR(C1004/(B1004*40),0))</f>
        <v/>
      </c>
      <c r="F1004">
        <f>IF($J1004="","",0)</f>
        <v/>
      </c>
      <c r="G1004">
        <f>IF($J1004="","",SUMIFS('Hours Log'!$E:$E,'Hours Log'!$A:$A,"&gt;="&amp;$J1004,'Hours Log'!$A:$A,"&lt;"&amp;$J1004+7))</f>
        <v/>
      </c>
      <c r="J1004">
        <f>IF(COUNT('Hours Log'!$A$4:$A$5000)=0,"",IF(MIN('Hours Log'!$A$4:$A$5000)+7*(ROW()-10)&gt;MAX('Hours Log'!$A$4:$A$5000),"",MIN('Hours Log'!$A$4:$A$5000)+7*(ROW()-10)))</f>
        <v/>
      </c>
    </row>
    <row r="1005">
      <c r="A1005">
        <f>IF($J1005="","",YEAR($J1005-WEEKDAY($J1005,2)+4)&amp;"-W"&amp;TEXT(WEEKNUM($J1005,21),"00"))</f>
        <v/>
      </c>
      <c r="B1005" s="41">
        <f>IF($J1005="","",COUNTIFS(Roster!$D$4:$D$500,"Active",Roster!$C$4:$C$500,"&lt;="&amp;$J1005))</f>
        <v/>
      </c>
      <c r="C1005">
        <f>IF($J1005="","",SUMIFS('Hours Log'!$C:$C,'Hours Log'!$A:$A,"&gt;="&amp;$J1005,'Hours Log'!$A:$A,"&lt;"&amp;$J1005+7)+SUMIFS('Hours Log'!$D:$D,'Hours Log'!$A:$A,"&gt;="&amp;$J1005,'Hours Log'!$A:$A,"&lt;"&amp;$J1005+7))</f>
        <v/>
      </c>
      <c r="D1005">
        <f>IF($J1005="","",SUMIFS('Hours Log'!$D:$D,'Hours Log'!$A:$A,"&gt;="&amp;$J1005,'Hours Log'!$A:$A,"&lt;"&amp;$J1005+7))</f>
        <v/>
      </c>
      <c r="E1005">
        <f>IF($J1005="","",IFERROR(C1005/(B1005*40),0))</f>
        <v/>
      </c>
      <c r="F1005">
        <f>IF($J1005="","",0)</f>
        <v/>
      </c>
      <c r="G1005">
        <f>IF($J1005="","",SUMIFS('Hours Log'!$E:$E,'Hours Log'!$A:$A,"&gt;="&amp;$J1005,'Hours Log'!$A:$A,"&lt;"&amp;$J1005+7))</f>
        <v/>
      </c>
      <c r="J1005">
        <f>IF(COUNT('Hours Log'!$A$4:$A$5000)=0,"",IF(MIN('Hours Log'!$A$4:$A$5000)+7*(ROW()-10)&gt;MAX('Hours Log'!$A$4:$A$5000),"",MIN('Hours Log'!$A$4:$A$5000)+7*(ROW()-10)))</f>
        <v/>
      </c>
    </row>
    <row r="1006">
      <c r="A1006">
        <f>IF($J1006="","",YEAR($J1006-WEEKDAY($J1006,2)+4)&amp;"-W"&amp;TEXT(WEEKNUM($J1006,21),"00"))</f>
        <v/>
      </c>
      <c r="B1006" s="41">
        <f>IF($J1006="","",COUNTIFS(Roster!$D$4:$D$500,"Active",Roster!$C$4:$C$500,"&lt;="&amp;$J1006))</f>
        <v/>
      </c>
      <c r="C1006">
        <f>IF($J1006="","",SUMIFS('Hours Log'!$C:$C,'Hours Log'!$A:$A,"&gt;="&amp;$J1006,'Hours Log'!$A:$A,"&lt;"&amp;$J1006+7)+SUMIFS('Hours Log'!$D:$D,'Hours Log'!$A:$A,"&gt;="&amp;$J1006,'Hours Log'!$A:$A,"&lt;"&amp;$J1006+7))</f>
        <v/>
      </c>
      <c r="D1006">
        <f>IF($J1006="","",SUMIFS('Hours Log'!$D:$D,'Hours Log'!$A:$A,"&gt;="&amp;$J1006,'Hours Log'!$A:$A,"&lt;"&amp;$J1006+7))</f>
        <v/>
      </c>
      <c r="E1006">
        <f>IF($J1006="","",IFERROR(C1006/(B1006*40),0))</f>
        <v/>
      </c>
      <c r="F1006">
        <f>IF($J1006="","",0)</f>
        <v/>
      </c>
      <c r="G1006">
        <f>IF($J1006="","",SUMIFS('Hours Log'!$E:$E,'Hours Log'!$A:$A,"&gt;="&amp;$J1006,'Hours Log'!$A:$A,"&lt;"&amp;$J1006+7))</f>
        <v/>
      </c>
      <c r="J1006">
        <f>IF(COUNT('Hours Log'!$A$4:$A$5000)=0,"",IF(MIN('Hours Log'!$A$4:$A$5000)+7*(ROW()-10)&gt;MAX('Hours Log'!$A$4:$A$5000),"",MIN('Hours Log'!$A$4:$A$5000)+7*(ROW()-10)))</f>
        <v/>
      </c>
    </row>
    <row r="1007">
      <c r="A1007">
        <f>IF($J1007="","",YEAR($J1007-WEEKDAY($J1007,2)+4)&amp;"-W"&amp;TEXT(WEEKNUM($J1007,21),"00"))</f>
        <v/>
      </c>
      <c r="B1007" s="41">
        <f>IF($J1007="","",COUNTIFS(Roster!$D$4:$D$500,"Active",Roster!$C$4:$C$500,"&lt;="&amp;$J1007))</f>
        <v/>
      </c>
      <c r="C1007">
        <f>IF($J1007="","",SUMIFS('Hours Log'!$C:$C,'Hours Log'!$A:$A,"&gt;="&amp;$J1007,'Hours Log'!$A:$A,"&lt;"&amp;$J1007+7)+SUMIFS('Hours Log'!$D:$D,'Hours Log'!$A:$A,"&gt;="&amp;$J1007,'Hours Log'!$A:$A,"&lt;"&amp;$J1007+7))</f>
        <v/>
      </c>
      <c r="D1007">
        <f>IF($J1007="","",SUMIFS('Hours Log'!$D:$D,'Hours Log'!$A:$A,"&gt;="&amp;$J1007,'Hours Log'!$A:$A,"&lt;"&amp;$J1007+7))</f>
        <v/>
      </c>
      <c r="E1007">
        <f>IF($J1007="","",IFERROR(C1007/(B1007*40),0))</f>
        <v/>
      </c>
      <c r="F1007">
        <f>IF($J1007="","",0)</f>
        <v/>
      </c>
      <c r="G1007">
        <f>IF($J1007="","",SUMIFS('Hours Log'!$E:$E,'Hours Log'!$A:$A,"&gt;="&amp;$J1007,'Hours Log'!$A:$A,"&lt;"&amp;$J1007+7))</f>
        <v/>
      </c>
      <c r="J1007">
        <f>IF(COUNT('Hours Log'!$A$4:$A$5000)=0,"",IF(MIN('Hours Log'!$A$4:$A$5000)+7*(ROW()-10)&gt;MAX('Hours Log'!$A$4:$A$5000),"",MIN('Hours Log'!$A$4:$A$5000)+7*(ROW()-10)))</f>
        <v/>
      </c>
    </row>
    <row r="1008">
      <c r="A1008">
        <f>IF($J1008="","",YEAR($J1008-WEEKDAY($J1008,2)+4)&amp;"-W"&amp;TEXT(WEEKNUM($J1008,21),"00"))</f>
        <v/>
      </c>
      <c r="B1008" s="41">
        <f>IF($J1008="","",COUNTIFS(Roster!$D$4:$D$500,"Active",Roster!$C$4:$C$500,"&lt;="&amp;$J1008))</f>
        <v/>
      </c>
      <c r="C1008">
        <f>IF($J1008="","",SUMIFS('Hours Log'!$C:$C,'Hours Log'!$A:$A,"&gt;="&amp;$J1008,'Hours Log'!$A:$A,"&lt;"&amp;$J1008+7)+SUMIFS('Hours Log'!$D:$D,'Hours Log'!$A:$A,"&gt;="&amp;$J1008,'Hours Log'!$A:$A,"&lt;"&amp;$J1008+7))</f>
        <v/>
      </c>
      <c r="D1008">
        <f>IF($J1008="","",SUMIFS('Hours Log'!$D:$D,'Hours Log'!$A:$A,"&gt;="&amp;$J1008,'Hours Log'!$A:$A,"&lt;"&amp;$J1008+7))</f>
        <v/>
      </c>
      <c r="E1008">
        <f>IF($J1008="","",IFERROR(C1008/(B1008*40),0))</f>
        <v/>
      </c>
      <c r="F1008">
        <f>IF($J1008="","",0)</f>
        <v/>
      </c>
      <c r="G1008">
        <f>IF($J1008="","",SUMIFS('Hours Log'!$E:$E,'Hours Log'!$A:$A,"&gt;="&amp;$J1008,'Hours Log'!$A:$A,"&lt;"&amp;$J1008+7))</f>
        <v/>
      </c>
      <c r="J1008">
        <f>IF(COUNT('Hours Log'!$A$4:$A$5000)=0,"",IF(MIN('Hours Log'!$A$4:$A$5000)+7*(ROW()-10)&gt;MAX('Hours Log'!$A$4:$A$5000),"",MIN('Hours Log'!$A$4:$A$5000)+7*(ROW()-10)))</f>
        <v/>
      </c>
    </row>
    <row r="1009">
      <c r="A1009">
        <f>IF($J1009="","",YEAR($J1009-WEEKDAY($J1009,2)+4)&amp;"-W"&amp;TEXT(WEEKNUM($J1009,21),"00"))</f>
        <v/>
      </c>
      <c r="B1009" s="41">
        <f>IF($J1009="","",COUNTIFS(Roster!$D$4:$D$500,"Active",Roster!$C$4:$C$500,"&lt;="&amp;$J1009))</f>
        <v/>
      </c>
      <c r="C1009">
        <f>IF($J1009="","",SUMIFS('Hours Log'!$C:$C,'Hours Log'!$A:$A,"&gt;="&amp;$J1009,'Hours Log'!$A:$A,"&lt;"&amp;$J1009+7)+SUMIFS('Hours Log'!$D:$D,'Hours Log'!$A:$A,"&gt;="&amp;$J1009,'Hours Log'!$A:$A,"&lt;"&amp;$J1009+7))</f>
        <v/>
      </c>
      <c r="D1009">
        <f>IF($J1009="","",SUMIFS('Hours Log'!$D:$D,'Hours Log'!$A:$A,"&gt;="&amp;$J1009,'Hours Log'!$A:$A,"&lt;"&amp;$J1009+7))</f>
        <v/>
      </c>
      <c r="E1009">
        <f>IF($J1009="","",IFERROR(C1009/(B1009*40),0))</f>
        <v/>
      </c>
      <c r="F1009">
        <f>IF($J1009="","",0)</f>
        <v/>
      </c>
      <c r="G1009">
        <f>IF($J1009="","",SUMIFS('Hours Log'!$E:$E,'Hours Log'!$A:$A,"&gt;="&amp;$J1009,'Hours Log'!$A:$A,"&lt;"&amp;$J1009+7))</f>
        <v/>
      </c>
      <c r="J1009">
        <f>IF(COUNT('Hours Log'!$A$4:$A$5000)=0,"",IF(MIN('Hours Log'!$A$4:$A$5000)+7*(ROW()-10)&gt;MAX('Hours Log'!$A$4:$A$5000),"",MIN('Hours Log'!$A$4:$A$5000)+7*(ROW()-10)))</f>
        <v/>
      </c>
    </row>
    <row r="1010">
      <c r="A1010">
        <f>IF($J1010="","",YEAR($J1010-WEEKDAY($J1010,2)+4)&amp;"-W"&amp;TEXT(WEEKNUM($J1010,21),"00"))</f>
        <v/>
      </c>
      <c r="B1010" s="41">
        <f>IF($J1010="","",COUNTIFS(Roster!$D$4:$D$500,"Active",Roster!$C$4:$C$500,"&lt;="&amp;$J1010))</f>
        <v/>
      </c>
      <c r="C1010">
        <f>IF($J1010="","",SUMIFS('Hours Log'!$C:$C,'Hours Log'!$A:$A,"&gt;="&amp;$J1010,'Hours Log'!$A:$A,"&lt;"&amp;$J1010+7)+SUMIFS('Hours Log'!$D:$D,'Hours Log'!$A:$A,"&gt;="&amp;$J1010,'Hours Log'!$A:$A,"&lt;"&amp;$J1010+7))</f>
        <v/>
      </c>
      <c r="D1010">
        <f>IF($J1010="","",SUMIFS('Hours Log'!$D:$D,'Hours Log'!$A:$A,"&gt;="&amp;$J1010,'Hours Log'!$A:$A,"&lt;"&amp;$J1010+7))</f>
        <v/>
      </c>
      <c r="E1010">
        <f>IF($J1010="","",IFERROR(C1010/(B1010*40),0))</f>
        <v/>
      </c>
      <c r="F1010">
        <f>IF($J1010="","",0)</f>
        <v/>
      </c>
      <c r="G1010">
        <f>IF($J1010="","",SUMIFS('Hours Log'!$E:$E,'Hours Log'!$A:$A,"&gt;="&amp;$J1010,'Hours Log'!$A:$A,"&lt;"&amp;$J1010+7))</f>
        <v/>
      </c>
      <c r="J1010">
        <f>IF(COUNT('Hours Log'!$A$4:$A$5000)=0,"",IF(MIN('Hours Log'!$A$4:$A$5000)+7*(ROW()-10)&gt;MAX('Hours Log'!$A$4:$A$5000),"",MIN('Hours Log'!$A$4:$A$5000)+7*(ROW()-10)))</f>
        <v/>
      </c>
    </row>
    <row r="1011">
      <c r="A1011">
        <f>IF($J1011="","",YEAR($J1011-WEEKDAY($J1011,2)+4)&amp;"-W"&amp;TEXT(WEEKNUM($J1011,21),"00"))</f>
        <v/>
      </c>
      <c r="B1011" s="41">
        <f>IF($J1011="","",COUNTIFS(Roster!$D$4:$D$500,"Active",Roster!$C$4:$C$500,"&lt;="&amp;$J1011))</f>
        <v/>
      </c>
      <c r="C1011">
        <f>IF($J1011="","",SUMIFS('Hours Log'!$C:$C,'Hours Log'!$A:$A,"&gt;="&amp;$J1011,'Hours Log'!$A:$A,"&lt;"&amp;$J1011+7)+SUMIFS('Hours Log'!$D:$D,'Hours Log'!$A:$A,"&gt;="&amp;$J1011,'Hours Log'!$A:$A,"&lt;"&amp;$J1011+7))</f>
        <v/>
      </c>
      <c r="D1011">
        <f>IF($J1011="","",SUMIFS('Hours Log'!$D:$D,'Hours Log'!$A:$A,"&gt;="&amp;$J1011,'Hours Log'!$A:$A,"&lt;"&amp;$J1011+7))</f>
        <v/>
      </c>
      <c r="E1011">
        <f>IF($J1011="","",IFERROR(C1011/(B1011*40),0))</f>
        <v/>
      </c>
      <c r="F1011">
        <f>IF($J1011="","",0)</f>
        <v/>
      </c>
      <c r="G1011">
        <f>IF($J1011="","",SUMIFS('Hours Log'!$E:$E,'Hours Log'!$A:$A,"&gt;="&amp;$J1011,'Hours Log'!$A:$A,"&lt;"&amp;$J1011+7))</f>
        <v/>
      </c>
      <c r="J1011">
        <f>IF(COUNT('Hours Log'!$A$4:$A$5000)=0,"",IF(MIN('Hours Log'!$A$4:$A$5000)+7*(ROW()-10)&gt;MAX('Hours Log'!$A$4:$A$5000),"",MIN('Hours Log'!$A$4:$A$5000)+7*(ROW()-10)))</f>
        <v/>
      </c>
    </row>
    <row r="1012">
      <c r="A1012">
        <f>IF($J1012="","",YEAR($J1012-WEEKDAY($J1012,2)+4)&amp;"-W"&amp;TEXT(WEEKNUM($J1012,21),"00"))</f>
        <v/>
      </c>
      <c r="B1012" s="41">
        <f>IF($J1012="","",COUNTIFS(Roster!$D$4:$D$500,"Active",Roster!$C$4:$C$500,"&lt;="&amp;$J1012))</f>
        <v/>
      </c>
      <c r="C1012">
        <f>IF($J1012="","",SUMIFS('Hours Log'!$C:$C,'Hours Log'!$A:$A,"&gt;="&amp;$J1012,'Hours Log'!$A:$A,"&lt;"&amp;$J1012+7)+SUMIFS('Hours Log'!$D:$D,'Hours Log'!$A:$A,"&gt;="&amp;$J1012,'Hours Log'!$A:$A,"&lt;"&amp;$J1012+7))</f>
        <v/>
      </c>
      <c r="D1012">
        <f>IF($J1012="","",SUMIFS('Hours Log'!$D:$D,'Hours Log'!$A:$A,"&gt;="&amp;$J1012,'Hours Log'!$A:$A,"&lt;"&amp;$J1012+7))</f>
        <v/>
      </c>
      <c r="E1012">
        <f>IF($J1012="","",IFERROR(C1012/(B1012*40),0))</f>
        <v/>
      </c>
      <c r="F1012">
        <f>IF($J1012="","",0)</f>
        <v/>
      </c>
      <c r="G1012">
        <f>IF($J1012="","",SUMIFS('Hours Log'!$E:$E,'Hours Log'!$A:$A,"&gt;="&amp;$J1012,'Hours Log'!$A:$A,"&lt;"&amp;$J1012+7))</f>
        <v/>
      </c>
      <c r="J1012">
        <f>IF(COUNT('Hours Log'!$A$4:$A$5000)=0,"",IF(MIN('Hours Log'!$A$4:$A$5000)+7*(ROW()-10)&gt;MAX('Hours Log'!$A$4:$A$5000),"",MIN('Hours Log'!$A$4:$A$5000)+7*(ROW()-10)))</f>
        <v/>
      </c>
    </row>
    <row r="1013">
      <c r="A1013">
        <f>IF($J1013="","",YEAR($J1013-WEEKDAY($J1013,2)+4)&amp;"-W"&amp;TEXT(WEEKNUM($J1013,21),"00"))</f>
        <v/>
      </c>
      <c r="B1013" s="41">
        <f>IF($J1013="","",COUNTIFS(Roster!$D$4:$D$500,"Active",Roster!$C$4:$C$500,"&lt;="&amp;$J1013))</f>
        <v/>
      </c>
      <c r="C1013">
        <f>IF($J1013="","",SUMIFS('Hours Log'!$C:$C,'Hours Log'!$A:$A,"&gt;="&amp;$J1013,'Hours Log'!$A:$A,"&lt;"&amp;$J1013+7)+SUMIFS('Hours Log'!$D:$D,'Hours Log'!$A:$A,"&gt;="&amp;$J1013,'Hours Log'!$A:$A,"&lt;"&amp;$J1013+7))</f>
        <v/>
      </c>
      <c r="D1013">
        <f>IF($J1013="","",SUMIFS('Hours Log'!$D:$D,'Hours Log'!$A:$A,"&gt;="&amp;$J1013,'Hours Log'!$A:$A,"&lt;"&amp;$J1013+7))</f>
        <v/>
      </c>
      <c r="E1013">
        <f>IF($J1013="","",IFERROR(C1013/(B1013*40),0))</f>
        <v/>
      </c>
      <c r="F1013">
        <f>IF($J1013="","",0)</f>
        <v/>
      </c>
      <c r="G1013">
        <f>IF($J1013="","",SUMIFS('Hours Log'!$E:$E,'Hours Log'!$A:$A,"&gt;="&amp;$J1013,'Hours Log'!$A:$A,"&lt;"&amp;$J1013+7))</f>
        <v/>
      </c>
      <c r="J1013">
        <f>IF(COUNT('Hours Log'!$A$4:$A$5000)=0,"",IF(MIN('Hours Log'!$A$4:$A$5000)+7*(ROW()-10)&gt;MAX('Hours Log'!$A$4:$A$5000),"",MIN('Hours Log'!$A$4:$A$5000)+7*(ROW()-10)))</f>
        <v/>
      </c>
    </row>
    <row r="1014">
      <c r="A1014">
        <f>IF($J1014="","",YEAR($J1014-WEEKDAY($J1014,2)+4)&amp;"-W"&amp;TEXT(WEEKNUM($J1014,21),"00"))</f>
        <v/>
      </c>
      <c r="B1014" s="41">
        <f>IF($J1014="","",COUNTIFS(Roster!$D$4:$D$500,"Active",Roster!$C$4:$C$500,"&lt;="&amp;$J1014))</f>
        <v/>
      </c>
      <c r="C1014">
        <f>IF($J1014="","",SUMIFS('Hours Log'!$C:$C,'Hours Log'!$A:$A,"&gt;="&amp;$J1014,'Hours Log'!$A:$A,"&lt;"&amp;$J1014+7)+SUMIFS('Hours Log'!$D:$D,'Hours Log'!$A:$A,"&gt;="&amp;$J1014,'Hours Log'!$A:$A,"&lt;"&amp;$J1014+7))</f>
        <v/>
      </c>
      <c r="D1014">
        <f>IF($J1014="","",SUMIFS('Hours Log'!$D:$D,'Hours Log'!$A:$A,"&gt;="&amp;$J1014,'Hours Log'!$A:$A,"&lt;"&amp;$J1014+7))</f>
        <v/>
      </c>
      <c r="E1014">
        <f>IF($J1014="","",IFERROR(C1014/(B1014*40),0))</f>
        <v/>
      </c>
      <c r="F1014">
        <f>IF($J1014="","",0)</f>
        <v/>
      </c>
      <c r="G1014">
        <f>IF($J1014="","",SUMIFS('Hours Log'!$E:$E,'Hours Log'!$A:$A,"&gt;="&amp;$J1014,'Hours Log'!$A:$A,"&lt;"&amp;$J1014+7))</f>
        <v/>
      </c>
      <c r="J1014">
        <f>IF(COUNT('Hours Log'!$A$4:$A$5000)=0,"",IF(MIN('Hours Log'!$A$4:$A$5000)+7*(ROW()-10)&gt;MAX('Hours Log'!$A$4:$A$5000),"",MIN('Hours Log'!$A$4:$A$5000)+7*(ROW()-10)))</f>
        <v/>
      </c>
    </row>
    <row r="1015">
      <c r="A1015">
        <f>IF($J1015="","",YEAR($J1015-WEEKDAY($J1015,2)+4)&amp;"-W"&amp;TEXT(WEEKNUM($J1015,21),"00"))</f>
        <v/>
      </c>
      <c r="B1015" s="41">
        <f>IF($J1015="","",COUNTIFS(Roster!$D$4:$D$500,"Active",Roster!$C$4:$C$500,"&lt;="&amp;$J1015))</f>
        <v/>
      </c>
      <c r="C1015">
        <f>IF($J1015="","",SUMIFS('Hours Log'!$C:$C,'Hours Log'!$A:$A,"&gt;="&amp;$J1015,'Hours Log'!$A:$A,"&lt;"&amp;$J1015+7)+SUMIFS('Hours Log'!$D:$D,'Hours Log'!$A:$A,"&gt;="&amp;$J1015,'Hours Log'!$A:$A,"&lt;"&amp;$J1015+7))</f>
        <v/>
      </c>
      <c r="D1015">
        <f>IF($J1015="","",SUMIFS('Hours Log'!$D:$D,'Hours Log'!$A:$A,"&gt;="&amp;$J1015,'Hours Log'!$A:$A,"&lt;"&amp;$J1015+7))</f>
        <v/>
      </c>
      <c r="E1015">
        <f>IF($J1015="","",IFERROR(C1015/(B1015*40),0))</f>
        <v/>
      </c>
      <c r="F1015">
        <f>IF($J1015="","",0)</f>
        <v/>
      </c>
      <c r="G1015">
        <f>IF($J1015="","",SUMIFS('Hours Log'!$E:$E,'Hours Log'!$A:$A,"&gt;="&amp;$J1015,'Hours Log'!$A:$A,"&lt;"&amp;$J1015+7))</f>
        <v/>
      </c>
      <c r="J1015">
        <f>IF(COUNT('Hours Log'!$A$4:$A$5000)=0,"",IF(MIN('Hours Log'!$A$4:$A$5000)+7*(ROW()-10)&gt;MAX('Hours Log'!$A$4:$A$5000),"",MIN('Hours Log'!$A$4:$A$5000)+7*(ROW()-10)))</f>
        <v/>
      </c>
    </row>
    <row r="1016">
      <c r="A1016">
        <f>IF($J1016="","",YEAR($J1016-WEEKDAY($J1016,2)+4)&amp;"-W"&amp;TEXT(WEEKNUM($J1016,21),"00"))</f>
        <v/>
      </c>
      <c r="B1016" s="41">
        <f>IF($J1016="","",COUNTIFS(Roster!$D$4:$D$500,"Active",Roster!$C$4:$C$500,"&lt;="&amp;$J1016))</f>
        <v/>
      </c>
      <c r="C1016">
        <f>IF($J1016="","",SUMIFS('Hours Log'!$C:$C,'Hours Log'!$A:$A,"&gt;="&amp;$J1016,'Hours Log'!$A:$A,"&lt;"&amp;$J1016+7)+SUMIFS('Hours Log'!$D:$D,'Hours Log'!$A:$A,"&gt;="&amp;$J1016,'Hours Log'!$A:$A,"&lt;"&amp;$J1016+7))</f>
        <v/>
      </c>
      <c r="D1016">
        <f>IF($J1016="","",SUMIFS('Hours Log'!$D:$D,'Hours Log'!$A:$A,"&gt;="&amp;$J1016,'Hours Log'!$A:$A,"&lt;"&amp;$J1016+7))</f>
        <v/>
      </c>
      <c r="E1016">
        <f>IF($J1016="","",IFERROR(C1016/(B1016*40),0))</f>
        <v/>
      </c>
      <c r="F1016">
        <f>IF($J1016="","",0)</f>
        <v/>
      </c>
      <c r="G1016">
        <f>IF($J1016="","",SUMIFS('Hours Log'!$E:$E,'Hours Log'!$A:$A,"&gt;="&amp;$J1016,'Hours Log'!$A:$A,"&lt;"&amp;$J1016+7))</f>
        <v/>
      </c>
      <c r="J1016">
        <f>IF(COUNT('Hours Log'!$A$4:$A$5000)=0,"",IF(MIN('Hours Log'!$A$4:$A$5000)+7*(ROW()-10)&gt;MAX('Hours Log'!$A$4:$A$5000),"",MIN('Hours Log'!$A$4:$A$5000)+7*(ROW()-10)))</f>
        <v/>
      </c>
    </row>
    <row r="1017">
      <c r="A1017">
        <f>IF($J1017="","",YEAR($J1017-WEEKDAY($J1017,2)+4)&amp;"-W"&amp;TEXT(WEEKNUM($J1017,21),"00"))</f>
        <v/>
      </c>
      <c r="B1017" s="41">
        <f>IF($J1017="","",COUNTIFS(Roster!$D$4:$D$500,"Active",Roster!$C$4:$C$500,"&lt;="&amp;$J1017))</f>
        <v/>
      </c>
      <c r="C1017">
        <f>IF($J1017="","",SUMIFS('Hours Log'!$C:$C,'Hours Log'!$A:$A,"&gt;="&amp;$J1017,'Hours Log'!$A:$A,"&lt;"&amp;$J1017+7)+SUMIFS('Hours Log'!$D:$D,'Hours Log'!$A:$A,"&gt;="&amp;$J1017,'Hours Log'!$A:$A,"&lt;"&amp;$J1017+7))</f>
        <v/>
      </c>
      <c r="D1017">
        <f>IF($J1017="","",SUMIFS('Hours Log'!$D:$D,'Hours Log'!$A:$A,"&gt;="&amp;$J1017,'Hours Log'!$A:$A,"&lt;"&amp;$J1017+7))</f>
        <v/>
      </c>
      <c r="E1017">
        <f>IF($J1017="","",IFERROR(C1017/(B1017*40),0))</f>
        <v/>
      </c>
      <c r="F1017">
        <f>IF($J1017="","",0)</f>
        <v/>
      </c>
      <c r="G1017">
        <f>IF($J1017="","",SUMIFS('Hours Log'!$E:$E,'Hours Log'!$A:$A,"&gt;="&amp;$J1017,'Hours Log'!$A:$A,"&lt;"&amp;$J1017+7))</f>
        <v/>
      </c>
      <c r="J1017">
        <f>IF(COUNT('Hours Log'!$A$4:$A$5000)=0,"",IF(MIN('Hours Log'!$A$4:$A$5000)+7*(ROW()-10)&gt;MAX('Hours Log'!$A$4:$A$5000),"",MIN('Hours Log'!$A$4:$A$5000)+7*(ROW()-10)))</f>
        <v/>
      </c>
    </row>
    <row r="1018">
      <c r="A1018">
        <f>IF($J1018="","",YEAR($J1018-WEEKDAY($J1018,2)+4)&amp;"-W"&amp;TEXT(WEEKNUM($J1018,21),"00"))</f>
        <v/>
      </c>
      <c r="B1018" s="41">
        <f>IF($J1018="","",COUNTIFS(Roster!$D$4:$D$500,"Active",Roster!$C$4:$C$500,"&lt;="&amp;$J1018))</f>
        <v/>
      </c>
      <c r="C1018">
        <f>IF($J1018="","",SUMIFS('Hours Log'!$C:$C,'Hours Log'!$A:$A,"&gt;="&amp;$J1018,'Hours Log'!$A:$A,"&lt;"&amp;$J1018+7)+SUMIFS('Hours Log'!$D:$D,'Hours Log'!$A:$A,"&gt;="&amp;$J1018,'Hours Log'!$A:$A,"&lt;"&amp;$J1018+7))</f>
        <v/>
      </c>
      <c r="D1018">
        <f>IF($J1018="","",SUMIFS('Hours Log'!$D:$D,'Hours Log'!$A:$A,"&gt;="&amp;$J1018,'Hours Log'!$A:$A,"&lt;"&amp;$J1018+7))</f>
        <v/>
      </c>
      <c r="E1018">
        <f>IF($J1018="","",IFERROR(C1018/(B1018*40),0))</f>
        <v/>
      </c>
      <c r="F1018">
        <f>IF($J1018="","",0)</f>
        <v/>
      </c>
      <c r="G1018">
        <f>IF($J1018="","",SUMIFS('Hours Log'!$E:$E,'Hours Log'!$A:$A,"&gt;="&amp;$J1018,'Hours Log'!$A:$A,"&lt;"&amp;$J1018+7))</f>
        <v/>
      </c>
      <c r="J1018">
        <f>IF(COUNT('Hours Log'!$A$4:$A$5000)=0,"",IF(MIN('Hours Log'!$A$4:$A$5000)+7*(ROW()-10)&gt;MAX('Hours Log'!$A$4:$A$5000),"",MIN('Hours Log'!$A$4:$A$5000)+7*(ROW()-10)))</f>
        <v/>
      </c>
    </row>
    <row r="1019">
      <c r="A1019">
        <f>IF($J1019="","",YEAR($J1019-WEEKDAY($J1019,2)+4)&amp;"-W"&amp;TEXT(WEEKNUM($J1019,21),"00"))</f>
        <v/>
      </c>
      <c r="B1019" s="41">
        <f>IF($J1019="","",COUNTIFS(Roster!$D$4:$D$500,"Active",Roster!$C$4:$C$500,"&lt;="&amp;$J1019))</f>
        <v/>
      </c>
      <c r="C1019">
        <f>IF($J1019="","",SUMIFS('Hours Log'!$C:$C,'Hours Log'!$A:$A,"&gt;="&amp;$J1019,'Hours Log'!$A:$A,"&lt;"&amp;$J1019+7)+SUMIFS('Hours Log'!$D:$D,'Hours Log'!$A:$A,"&gt;="&amp;$J1019,'Hours Log'!$A:$A,"&lt;"&amp;$J1019+7))</f>
        <v/>
      </c>
      <c r="D1019">
        <f>IF($J1019="","",SUMIFS('Hours Log'!$D:$D,'Hours Log'!$A:$A,"&gt;="&amp;$J1019,'Hours Log'!$A:$A,"&lt;"&amp;$J1019+7))</f>
        <v/>
      </c>
      <c r="E1019">
        <f>IF($J1019="","",IFERROR(C1019/(B1019*40),0))</f>
        <v/>
      </c>
      <c r="F1019">
        <f>IF($J1019="","",0)</f>
        <v/>
      </c>
      <c r="G1019">
        <f>IF($J1019="","",SUMIFS('Hours Log'!$E:$E,'Hours Log'!$A:$A,"&gt;="&amp;$J1019,'Hours Log'!$A:$A,"&lt;"&amp;$J1019+7))</f>
        <v/>
      </c>
      <c r="J1019">
        <f>IF(COUNT('Hours Log'!$A$4:$A$5000)=0,"",IF(MIN('Hours Log'!$A$4:$A$5000)+7*(ROW()-10)&gt;MAX('Hours Log'!$A$4:$A$5000),"",MIN('Hours Log'!$A$4:$A$5000)+7*(ROW()-10)))</f>
        <v/>
      </c>
    </row>
    <row r="1020">
      <c r="A1020">
        <f>IF($J1020="","",YEAR($J1020-WEEKDAY($J1020,2)+4)&amp;"-W"&amp;TEXT(WEEKNUM($J1020,21),"00"))</f>
        <v/>
      </c>
      <c r="B1020" s="41">
        <f>IF($J1020="","",COUNTIFS(Roster!$D$4:$D$500,"Active",Roster!$C$4:$C$500,"&lt;="&amp;$J1020))</f>
        <v/>
      </c>
      <c r="C1020">
        <f>IF($J1020="","",SUMIFS('Hours Log'!$C:$C,'Hours Log'!$A:$A,"&gt;="&amp;$J1020,'Hours Log'!$A:$A,"&lt;"&amp;$J1020+7)+SUMIFS('Hours Log'!$D:$D,'Hours Log'!$A:$A,"&gt;="&amp;$J1020,'Hours Log'!$A:$A,"&lt;"&amp;$J1020+7))</f>
        <v/>
      </c>
      <c r="D1020">
        <f>IF($J1020="","",SUMIFS('Hours Log'!$D:$D,'Hours Log'!$A:$A,"&gt;="&amp;$J1020,'Hours Log'!$A:$A,"&lt;"&amp;$J1020+7))</f>
        <v/>
      </c>
      <c r="E1020">
        <f>IF($J1020="","",IFERROR(C1020/(B1020*40),0))</f>
        <v/>
      </c>
      <c r="F1020">
        <f>IF($J1020="","",0)</f>
        <v/>
      </c>
      <c r="G1020">
        <f>IF($J1020="","",SUMIFS('Hours Log'!$E:$E,'Hours Log'!$A:$A,"&gt;="&amp;$J1020,'Hours Log'!$A:$A,"&lt;"&amp;$J1020+7))</f>
        <v/>
      </c>
      <c r="J1020">
        <f>IF(COUNT('Hours Log'!$A$4:$A$5000)=0,"",IF(MIN('Hours Log'!$A$4:$A$5000)+7*(ROW()-10)&gt;MAX('Hours Log'!$A$4:$A$5000),"",MIN('Hours Log'!$A$4:$A$5000)+7*(ROW()-10)))</f>
        <v/>
      </c>
    </row>
    <row r="1021">
      <c r="A1021">
        <f>IF($J1021="","",YEAR($J1021-WEEKDAY($J1021,2)+4)&amp;"-W"&amp;TEXT(WEEKNUM($J1021,21),"00"))</f>
        <v/>
      </c>
      <c r="B1021" s="41">
        <f>IF($J1021="","",COUNTIFS(Roster!$D$4:$D$500,"Active",Roster!$C$4:$C$500,"&lt;="&amp;$J1021))</f>
        <v/>
      </c>
      <c r="C1021">
        <f>IF($J1021="","",SUMIFS('Hours Log'!$C:$C,'Hours Log'!$A:$A,"&gt;="&amp;$J1021,'Hours Log'!$A:$A,"&lt;"&amp;$J1021+7)+SUMIFS('Hours Log'!$D:$D,'Hours Log'!$A:$A,"&gt;="&amp;$J1021,'Hours Log'!$A:$A,"&lt;"&amp;$J1021+7))</f>
        <v/>
      </c>
      <c r="D1021">
        <f>IF($J1021="","",SUMIFS('Hours Log'!$D:$D,'Hours Log'!$A:$A,"&gt;="&amp;$J1021,'Hours Log'!$A:$A,"&lt;"&amp;$J1021+7))</f>
        <v/>
      </c>
      <c r="E1021">
        <f>IF($J1021="","",IFERROR(C1021/(B1021*40),0))</f>
        <v/>
      </c>
      <c r="F1021">
        <f>IF($J1021="","",0)</f>
        <v/>
      </c>
      <c r="G1021">
        <f>IF($J1021="","",SUMIFS('Hours Log'!$E:$E,'Hours Log'!$A:$A,"&gt;="&amp;$J1021,'Hours Log'!$A:$A,"&lt;"&amp;$J1021+7))</f>
        <v/>
      </c>
      <c r="J1021">
        <f>IF(COUNT('Hours Log'!$A$4:$A$5000)=0,"",IF(MIN('Hours Log'!$A$4:$A$5000)+7*(ROW()-10)&gt;MAX('Hours Log'!$A$4:$A$5000),"",MIN('Hours Log'!$A$4:$A$5000)+7*(ROW()-10)))</f>
        <v/>
      </c>
    </row>
    <row r="1022">
      <c r="A1022">
        <f>IF($J1022="","",YEAR($J1022-WEEKDAY($J1022,2)+4)&amp;"-W"&amp;TEXT(WEEKNUM($J1022,21),"00"))</f>
        <v/>
      </c>
      <c r="B1022" s="41">
        <f>IF($J1022="","",COUNTIFS(Roster!$D$4:$D$500,"Active",Roster!$C$4:$C$500,"&lt;="&amp;$J1022))</f>
        <v/>
      </c>
      <c r="C1022">
        <f>IF($J1022="","",SUMIFS('Hours Log'!$C:$C,'Hours Log'!$A:$A,"&gt;="&amp;$J1022,'Hours Log'!$A:$A,"&lt;"&amp;$J1022+7)+SUMIFS('Hours Log'!$D:$D,'Hours Log'!$A:$A,"&gt;="&amp;$J1022,'Hours Log'!$A:$A,"&lt;"&amp;$J1022+7))</f>
        <v/>
      </c>
      <c r="D1022">
        <f>IF($J1022="","",SUMIFS('Hours Log'!$D:$D,'Hours Log'!$A:$A,"&gt;="&amp;$J1022,'Hours Log'!$A:$A,"&lt;"&amp;$J1022+7))</f>
        <v/>
      </c>
      <c r="E1022">
        <f>IF($J1022="","",IFERROR(C1022/(B1022*40),0))</f>
        <v/>
      </c>
      <c r="F1022">
        <f>IF($J1022="","",0)</f>
        <v/>
      </c>
      <c r="G1022">
        <f>IF($J1022="","",SUMIFS('Hours Log'!$E:$E,'Hours Log'!$A:$A,"&gt;="&amp;$J1022,'Hours Log'!$A:$A,"&lt;"&amp;$J1022+7))</f>
        <v/>
      </c>
      <c r="J1022">
        <f>IF(COUNT('Hours Log'!$A$4:$A$5000)=0,"",IF(MIN('Hours Log'!$A$4:$A$5000)+7*(ROW()-10)&gt;MAX('Hours Log'!$A$4:$A$5000),"",MIN('Hours Log'!$A$4:$A$5000)+7*(ROW()-10)))</f>
        <v/>
      </c>
    </row>
    <row r="1023">
      <c r="A1023">
        <f>IF($J1023="","",YEAR($J1023-WEEKDAY($J1023,2)+4)&amp;"-W"&amp;TEXT(WEEKNUM($J1023,21),"00"))</f>
        <v/>
      </c>
      <c r="B1023" s="41">
        <f>IF($J1023="","",COUNTIFS(Roster!$D$4:$D$500,"Active",Roster!$C$4:$C$500,"&lt;="&amp;$J1023))</f>
        <v/>
      </c>
      <c r="C1023">
        <f>IF($J1023="","",SUMIFS('Hours Log'!$C:$C,'Hours Log'!$A:$A,"&gt;="&amp;$J1023,'Hours Log'!$A:$A,"&lt;"&amp;$J1023+7)+SUMIFS('Hours Log'!$D:$D,'Hours Log'!$A:$A,"&gt;="&amp;$J1023,'Hours Log'!$A:$A,"&lt;"&amp;$J1023+7))</f>
        <v/>
      </c>
      <c r="D1023">
        <f>IF($J1023="","",SUMIFS('Hours Log'!$D:$D,'Hours Log'!$A:$A,"&gt;="&amp;$J1023,'Hours Log'!$A:$A,"&lt;"&amp;$J1023+7))</f>
        <v/>
      </c>
      <c r="E1023">
        <f>IF($J1023="","",IFERROR(C1023/(B1023*40),0))</f>
        <v/>
      </c>
      <c r="F1023">
        <f>IF($J1023="","",0)</f>
        <v/>
      </c>
      <c r="G1023">
        <f>IF($J1023="","",SUMIFS('Hours Log'!$E:$E,'Hours Log'!$A:$A,"&gt;="&amp;$J1023,'Hours Log'!$A:$A,"&lt;"&amp;$J1023+7))</f>
        <v/>
      </c>
      <c r="J1023">
        <f>IF(COUNT('Hours Log'!$A$4:$A$5000)=0,"",IF(MIN('Hours Log'!$A$4:$A$5000)+7*(ROW()-10)&gt;MAX('Hours Log'!$A$4:$A$5000),"",MIN('Hours Log'!$A$4:$A$5000)+7*(ROW()-10)))</f>
        <v/>
      </c>
    </row>
    <row r="1024">
      <c r="A1024">
        <f>IF($J1024="","",YEAR($J1024-WEEKDAY($J1024,2)+4)&amp;"-W"&amp;TEXT(WEEKNUM($J1024,21),"00"))</f>
        <v/>
      </c>
      <c r="B1024" s="41">
        <f>IF($J1024="","",COUNTIFS(Roster!$D$4:$D$500,"Active",Roster!$C$4:$C$500,"&lt;="&amp;$J1024))</f>
        <v/>
      </c>
      <c r="C1024">
        <f>IF($J1024="","",SUMIFS('Hours Log'!$C:$C,'Hours Log'!$A:$A,"&gt;="&amp;$J1024,'Hours Log'!$A:$A,"&lt;"&amp;$J1024+7)+SUMIFS('Hours Log'!$D:$D,'Hours Log'!$A:$A,"&gt;="&amp;$J1024,'Hours Log'!$A:$A,"&lt;"&amp;$J1024+7))</f>
        <v/>
      </c>
      <c r="D1024">
        <f>IF($J1024="","",SUMIFS('Hours Log'!$D:$D,'Hours Log'!$A:$A,"&gt;="&amp;$J1024,'Hours Log'!$A:$A,"&lt;"&amp;$J1024+7))</f>
        <v/>
      </c>
      <c r="E1024">
        <f>IF($J1024="","",IFERROR(C1024/(B1024*40),0))</f>
        <v/>
      </c>
      <c r="F1024">
        <f>IF($J1024="","",0)</f>
        <v/>
      </c>
      <c r="G1024">
        <f>IF($J1024="","",SUMIFS('Hours Log'!$E:$E,'Hours Log'!$A:$A,"&gt;="&amp;$J1024,'Hours Log'!$A:$A,"&lt;"&amp;$J1024+7))</f>
        <v/>
      </c>
      <c r="J1024">
        <f>IF(COUNT('Hours Log'!$A$4:$A$5000)=0,"",IF(MIN('Hours Log'!$A$4:$A$5000)+7*(ROW()-10)&gt;MAX('Hours Log'!$A$4:$A$5000),"",MIN('Hours Log'!$A$4:$A$5000)+7*(ROW()-10)))</f>
        <v/>
      </c>
    </row>
    <row r="1025">
      <c r="A1025">
        <f>IF($J1025="","",YEAR($J1025-WEEKDAY($J1025,2)+4)&amp;"-W"&amp;TEXT(WEEKNUM($J1025,21),"00"))</f>
        <v/>
      </c>
      <c r="B1025" s="41">
        <f>IF($J1025="","",COUNTIFS(Roster!$D$4:$D$500,"Active",Roster!$C$4:$C$500,"&lt;="&amp;$J1025))</f>
        <v/>
      </c>
      <c r="C1025">
        <f>IF($J1025="","",SUMIFS('Hours Log'!$C:$C,'Hours Log'!$A:$A,"&gt;="&amp;$J1025,'Hours Log'!$A:$A,"&lt;"&amp;$J1025+7)+SUMIFS('Hours Log'!$D:$D,'Hours Log'!$A:$A,"&gt;="&amp;$J1025,'Hours Log'!$A:$A,"&lt;"&amp;$J1025+7))</f>
        <v/>
      </c>
      <c r="D1025">
        <f>IF($J1025="","",SUMIFS('Hours Log'!$D:$D,'Hours Log'!$A:$A,"&gt;="&amp;$J1025,'Hours Log'!$A:$A,"&lt;"&amp;$J1025+7))</f>
        <v/>
      </c>
      <c r="E1025">
        <f>IF($J1025="","",IFERROR(C1025/(B1025*40),0))</f>
        <v/>
      </c>
      <c r="F1025">
        <f>IF($J1025="","",0)</f>
        <v/>
      </c>
      <c r="G1025">
        <f>IF($J1025="","",SUMIFS('Hours Log'!$E:$E,'Hours Log'!$A:$A,"&gt;="&amp;$J1025,'Hours Log'!$A:$A,"&lt;"&amp;$J1025+7))</f>
        <v/>
      </c>
      <c r="J1025">
        <f>IF(COUNT('Hours Log'!$A$4:$A$5000)=0,"",IF(MIN('Hours Log'!$A$4:$A$5000)+7*(ROW()-10)&gt;MAX('Hours Log'!$A$4:$A$5000),"",MIN('Hours Log'!$A$4:$A$5000)+7*(ROW()-10)))</f>
        <v/>
      </c>
    </row>
    <row r="1026">
      <c r="A1026">
        <f>IF($J1026="","",YEAR($J1026-WEEKDAY($J1026,2)+4)&amp;"-W"&amp;TEXT(WEEKNUM($J1026,21),"00"))</f>
        <v/>
      </c>
      <c r="B1026" s="41">
        <f>IF($J1026="","",COUNTIFS(Roster!$D$4:$D$500,"Active",Roster!$C$4:$C$500,"&lt;="&amp;$J1026))</f>
        <v/>
      </c>
      <c r="C1026">
        <f>IF($J1026="","",SUMIFS('Hours Log'!$C:$C,'Hours Log'!$A:$A,"&gt;="&amp;$J1026,'Hours Log'!$A:$A,"&lt;"&amp;$J1026+7)+SUMIFS('Hours Log'!$D:$D,'Hours Log'!$A:$A,"&gt;="&amp;$J1026,'Hours Log'!$A:$A,"&lt;"&amp;$J1026+7))</f>
        <v/>
      </c>
      <c r="D1026">
        <f>IF($J1026="","",SUMIFS('Hours Log'!$D:$D,'Hours Log'!$A:$A,"&gt;="&amp;$J1026,'Hours Log'!$A:$A,"&lt;"&amp;$J1026+7))</f>
        <v/>
      </c>
      <c r="E1026">
        <f>IF($J1026="","",IFERROR(C1026/(B1026*40),0))</f>
        <v/>
      </c>
      <c r="F1026">
        <f>IF($J1026="","",0)</f>
        <v/>
      </c>
      <c r="G1026">
        <f>IF($J1026="","",SUMIFS('Hours Log'!$E:$E,'Hours Log'!$A:$A,"&gt;="&amp;$J1026,'Hours Log'!$A:$A,"&lt;"&amp;$J1026+7))</f>
        <v/>
      </c>
      <c r="J1026">
        <f>IF(COUNT('Hours Log'!$A$4:$A$5000)=0,"",IF(MIN('Hours Log'!$A$4:$A$5000)+7*(ROW()-10)&gt;MAX('Hours Log'!$A$4:$A$5000),"",MIN('Hours Log'!$A$4:$A$5000)+7*(ROW()-10)))</f>
        <v/>
      </c>
    </row>
    <row r="1027">
      <c r="A1027">
        <f>IF($J1027="","",YEAR($J1027-WEEKDAY($J1027,2)+4)&amp;"-W"&amp;TEXT(WEEKNUM($J1027,21),"00"))</f>
        <v/>
      </c>
      <c r="B1027" s="41">
        <f>IF($J1027="","",COUNTIFS(Roster!$D$4:$D$500,"Active",Roster!$C$4:$C$500,"&lt;="&amp;$J1027))</f>
        <v/>
      </c>
      <c r="C1027">
        <f>IF($J1027="","",SUMIFS('Hours Log'!$C:$C,'Hours Log'!$A:$A,"&gt;="&amp;$J1027,'Hours Log'!$A:$A,"&lt;"&amp;$J1027+7)+SUMIFS('Hours Log'!$D:$D,'Hours Log'!$A:$A,"&gt;="&amp;$J1027,'Hours Log'!$A:$A,"&lt;"&amp;$J1027+7))</f>
        <v/>
      </c>
      <c r="D1027">
        <f>IF($J1027="","",SUMIFS('Hours Log'!$D:$D,'Hours Log'!$A:$A,"&gt;="&amp;$J1027,'Hours Log'!$A:$A,"&lt;"&amp;$J1027+7))</f>
        <v/>
      </c>
      <c r="E1027">
        <f>IF($J1027="","",IFERROR(C1027/(B1027*40),0))</f>
        <v/>
      </c>
      <c r="F1027">
        <f>IF($J1027="","",0)</f>
        <v/>
      </c>
      <c r="G1027">
        <f>IF($J1027="","",SUMIFS('Hours Log'!$E:$E,'Hours Log'!$A:$A,"&gt;="&amp;$J1027,'Hours Log'!$A:$A,"&lt;"&amp;$J1027+7))</f>
        <v/>
      </c>
      <c r="J1027">
        <f>IF(COUNT('Hours Log'!$A$4:$A$5000)=0,"",IF(MIN('Hours Log'!$A$4:$A$5000)+7*(ROW()-10)&gt;MAX('Hours Log'!$A$4:$A$5000),"",MIN('Hours Log'!$A$4:$A$5000)+7*(ROW()-10)))</f>
        <v/>
      </c>
    </row>
    <row r="1028">
      <c r="A1028">
        <f>IF($J1028="","",YEAR($J1028-WEEKDAY($J1028,2)+4)&amp;"-W"&amp;TEXT(WEEKNUM($J1028,21),"00"))</f>
        <v/>
      </c>
      <c r="B1028" s="41">
        <f>IF($J1028="","",COUNTIFS(Roster!$D$4:$D$500,"Active",Roster!$C$4:$C$500,"&lt;="&amp;$J1028))</f>
        <v/>
      </c>
      <c r="C1028">
        <f>IF($J1028="","",SUMIFS('Hours Log'!$C:$C,'Hours Log'!$A:$A,"&gt;="&amp;$J1028,'Hours Log'!$A:$A,"&lt;"&amp;$J1028+7)+SUMIFS('Hours Log'!$D:$D,'Hours Log'!$A:$A,"&gt;="&amp;$J1028,'Hours Log'!$A:$A,"&lt;"&amp;$J1028+7))</f>
        <v/>
      </c>
      <c r="D1028">
        <f>IF($J1028="","",SUMIFS('Hours Log'!$D:$D,'Hours Log'!$A:$A,"&gt;="&amp;$J1028,'Hours Log'!$A:$A,"&lt;"&amp;$J1028+7))</f>
        <v/>
      </c>
      <c r="E1028">
        <f>IF($J1028="","",IFERROR(C1028/(B1028*40),0))</f>
        <v/>
      </c>
      <c r="F1028">
        <f>IF($J1028="","",0)</f>
        <v/>
      </c>
      <c r="G1028">
        <f>IF($J1028="","",SUMIFS('Hours Log'!$E:$E,'Hours Log'!$A:$A,"&gt;="&amp;$J1028,'Hours Log'!$A:$A,"&lt;"&amp;$J1028+7))</f>
        <v/>
      </c>
      <c r="J1028">
        <f>IF(COUNT('Hours Log'!$A$4:$A$5000)=0,"",IF(MIN('Hours Log'!$A$4:$A$5000)+7*(ROW()-10)&gt;MAX('Hours Log'!$A$4:$A$5000),"",MIN('Hours Log'!$A$4:$A$5000)+7*(ROW()-10)))</f>
        <v/>
      </c>
    </row>
    <row r="1029">
      <c r="A1029">
        <f>IF($J1029="","",YEAR($J1029-WEEKDAY($J1029,2)+4)&amp;"-W"&amp;TEXT(WEEKNUM($J1029,21),"00"))</f>
        <v/>
      </c>
      <c r="B1029" s="41">
        <f>IF($J1029="","",COUNTIFS(Roster!$D$4:$D$500,"Active",Roster!$C$4:$C$500,"&lt;="&amp;$J1029))</f>
        <v/>
      </c>
      <c r="C1029">
        <f>IF($J1029="","",SUMIFS('Hours Log'!$C:$C,'Hours Log'!$A:$A,"&gt;="&amp;$J1029,'Hours Log'!$A:$A,"&lt;"&amp;$J1029+7)+SUMIFS('Hours Log'!$D:$D,'Hours Log'!$A:$A,"&gt;="&amp;$J1029,'Hours Log'!$A:$A,"&lt;"&amp;$J1029+7))</f>
        <v/>
      </c>
      <c r="D1029">
        <f>IF($J1029="","",SUMIFS('Hours Log'!$D:$D,'Hours Log'!$A:$A,"&gt;="&amp;$J1029,'Hours Log'!$A:$A,"&lt;"&amp;$J1029+7))</f>
        <v/>
      </c>
      <c r="E1029">
        <f>IF($J1029="","",IFERROR(C1029/(B1029*40),0))</f>
        <v/>
      </c>
      <c r="F1029">
        <f>IF($J1029="","",0)</f>
        <v/>
      </c>
      <c r="G1029">
        <f>IF($J1029="","",SUMIFS('Hours Log'!$E:$E,'Hours Log'!$A:$A,"&gt;="&amp;$J1029,'Hours Log'!$A:$A,"&lt;"&amp;$J1029+7))</f>
        <v/>
      </c>
      <c r="J1029">
        <f>IF(COUNT('Hours Log'!$A$4:$A$5000)=0,"",IF(MIN('Hours Log'!$A$4:$A$5000)+7*(ROW()-10)&gt;MAX('Hours Log'!$A$4:$A$5000),"",MIN('Hours Log'!$A$4:$A$5000)+7*(ROW()-10)))</f>
        <v/>
      </c>
    </row>
    <row r="1030">
      <c r="A1030">
        <f>IF($J1030="","",YEAR($J1030-WEEKDAY($J1030,2)+4)&amp;"-W"&amp;TEXT(WEEKNUM($J1030,21),"00"))</f>
        <v/>
      </c>
      <c r="B1030" s="41">
        <f>IF($J1030="","",COUNTIFS(Roster!$D$4:$D$500,"Active",Roster!$C$4:$C$500,"&lt;="&amp;$J1030))</f>
        <v/>
      </c>
      <c r="C1030">
        <f>IF($J1030="","",SUMIFS('Hours Log'!$C:$C,'Hours Log'!$A:$A,"&gt;="&amp;$J1030,'Hours Log'!$A:$A,"&lt;"&amp;$J1030+7)+SUMIFS('Hours Log'!$D:$D,'Hours Log'!$A:$A,"&gt;="&amp;$J1030,'Hours Log'!$A:$A,"&lt;"&amp;$J1030+7))</f>
        <v/>
      </c>
      <c r="D1030">
        <f>IF($J1030="","",SUMIFS('Hours Log'!$D:$D,'Hours Log'!$A:$A,"&gt;="&amp;$J1030,'Hours Log'!$A:$A,"&lt;"&amp;$J1030+7))</f>
        <v/>
      </c>
      <c r="E1030">
        <f>IF($J1030="","",IFERROR(C1030/(B1030*40),0))</f>
        <v/>
      </c>
      <c r="F1030">
        <f>IF($J1030="","",0)</f>
        <v/>
      </c>
      <c r="G1030">
        <f>IF($J1030="","",SUMIFS('Hours Log'!$E:$E,'Hours Log'!$A:$A,"&gt;="&amp;$J1030,'Hours Log'!$A:$A,"&lt;"&amp;$J1030+7))</f>
        <v/>
      </c>
      <c r="J1030">
        <f>IF(COUNT('Hours Log'!$A$4:$A$5000)=0,"",IF(MIN('Hours Log'!$A$4:$A$5000)+7*(ROW()-10)&gt;MAX('Hours Log'!$A$4:$A$5000),"",MIN('Hours Log'!$A$4:$A$5000)+7*(ROW()-10)))</f>
        <v/>
      </c>
    </row>
    <row r="1031">
      <c r="A1031">
        <f>IF($J1031="","",YEAR($J1031-WEEKDAY($J1031,2)+4)&amp;"-W"&amp;TEXT(WEEKNUM($J1031,21),"00"))</f>
        <v/>
      </c>
      <c r="B1031" s="41">
        <f>IF($J1031="","",COUNTIFS(Roster!$D$4:$D$500,"Active",Roster!$C$4:$C$500,"&lt;="&amp;$J1031))</f>
        <v/>
      </c>
      <c r="C1031">
        <f>IF($J1031="","",SUMIFS('Hours Log'!$C:$C,'Hours Log'!$A:$A,"&gt;="&amp;$J1031,'Hours Log'!$A:$A,"&lt;"&amp;$J1031+7)+SUMIFS('Hours Log'!$D:$D,'Hours Log'!$A:$A,"&gt;="&amp;$J1031,'Hours Log'!$A:$A,"&lt;"&amp;$J1031+7))</f>
        <v/>
      </c>
      <c r="D1031">
        <f>IF($J1031="","",SUMIFS('Hours Log'!$D:$D,'Hours Log'!$A:$A,"&gt;="&amp;$J1031,'Hours Log'!$A:$A,"&lt;"&amp;$J1031+7))</f>
        <v/>
      </c>
      <c r="E1031">
        <f>IF($J1031="","",IFERROR(C1031/(B1031*40),0))</f>
        <v/>
      </c>
      <c r="F1031">
        <f>IF($J1031="","",0)</f>
        <v/>
      </c>
      <c r="G1031">
        <f>IF($J1031="","",SUMIFS('Hours Log'!$E:$E,'Hours Log'!$A:$A,"&gt;="&amp;$J1031,'Hours Log'!$A:$A,"&lt;"&amp;$J1031+7))</f>
        <v/>
      </c>
      <c r="J1031">
        <f>IF(COUNT('Hours Log'!$A$4:$A$5000)=0,"",IF(MIN('Hours Log'!$A$4:$A$5000)+7*(ROW()-10)&gt;MAX('Hours Log'!$A$4:$A$5000),"",MIN('Hours Log'!$A$4:$A$5000)+7*(ROW()-10)))</f>
        <v/>
      </c>
    </row>
    <row r="1032">
      <c r="A1032">
        <f>IF($J1032="","",YEAR($J1032-WEEKDAY($J1032,2)+4)&amp;"-W"&amp;TEXT(WEEKNUM($J1032,21),"00"))</f>
        <v/>
      </c>
      <c r="B1032" s="41">
        <f>IF($J1032="","",COUNTIFS(Roster!$D$4:$D$500,"Active",Roster!$C$4:$C$500,"&lt;="&amp;$J1032))</f>
        <v/>
      </c>
      <c r="C1032">
        <f>IF($J1032="","",SUMIFS('Hours Log'!$C:$C,'Hours Log'!$A:$A,"&gt;="&amp;$J1032,'Hours Log'!$A:$A,"&lt;"&amp;$J1032+7)+SUMIFS('Hours Log'!$D:$D,'Hours Log'!$A:$A,"&gt;="&amp;$J1032,'Hours Log'!$A:$A,"&lt;"&amp;$J1032+7))</f>
        <v/>
      </c>
      <c r="D1032">
        <f>IF($J1032="","",SUMIFS('Hours Log'!$D:$D,'Hours Log'!$A:$A,"&gt;="&amp;$J1032,'Hours Log'!$A:$A,"&lt;"&amp;$J1032+7))</f>
        <v/>
      </c>
      <c r="E1032">
        <f>IF($J1032="","",IFERROR(C1032/(B1032*40),0))</f>
        <v/>
      </c>
      <c r="F1032">
        <f>IF($J1032="","",0)</f>
        <v/>
      </c>
      <c r="G1032">
        <f>IF($J1032="","",SUMIFS('Hours Log'!$E:$E,'Hours Log'!$A:$A,"&gt;="&amp;$J1032,'Hours Log'!$A:$A,"&lt;"&amp;$J1032+7))</f>
        <v/>
      </c>
      <c r="J1032">
        <f>IF(COUNT('Hours Log'!$A$4:$A$5000)=0,"",IF(MIN('Hours Log'!$A$4:$A$5000)+7*(ROW()-10)&gt;MAX('Hours Log'!$A$4:$A$5000),"",MIN('Hours Log'!$A$4:$A$5000)+7*(ROW()-10)))</f>
        <v/>
      </c>
    </row>
    <row r="1033">
      <c r="A1033">
        <f>IF($J1033="","",YEAR($J1033-WEEKDAY($J1033,2)+4)&amp;"-W"&amp;TEXT(WEEKNUM($J1033,21),"00"))</f>
        <v/>
      </c>
      <c r="B1033" s="41">
        <f>IF($J1033="","",COUNTIFS(Roster!$D$4:$D$500,"Active",Roster!$C$4:$C$500,"&lt;="&amp;$J1033))</f>
        <v/>
      </c>
      <c r="C1033">
        <f>IF($J1033="","",SUMIFS('Hours Log'!$C:$C,'Hours Log'!$A:$A,"&gt;="&amp;$J1033,'Hours Log'!$A:$A,"&lt;"&amp;$J1033+7)+SUMIFS('Hours Log'!$D:$D,'Hours Log'!$A:$A,"&gt;="&amp;$J1033,'Hours Log'!$A:$A,"&lt;"&amp;$J1033+7))</f>
        <v/>
      </c>
      <c r="D1033">
        <f>IF($J1033="","",SUMIFS('Hours Log'!$D:$D,'Hours Log'!$A:$A,"&gt;="&amp;$J1033,'Hours Log'!$A:$A,"&lt;"&amp;$J1033+7))</f>
        <v/>
      </c>
      <c r="E1033">
        <f>IF($J1033="","",IFERROR(C1033/(B1033*40),0))</f>
        <v/>
      </c>
      <c r="F1033">
        <f>IF($J1033="","",0)</f>
        <v/>
      </c>
      <c r="G1033">
        <f>IF($J1033="","",SUMIFS('Hours Log'!$E:$E,'Hours Log'!$A:$A,"&gt;="&amp;$J1033,'Hours Log'!$A:$A,"&lt;"&amp;$J1033+7))</f>
        <v/>
      </c>
      <c r="J1033">
        <f>IF(COUNT('Hours Log'!$A$4:$A$5000)=0,"",IF(MIN('Hours Log'!$A$4:$A$5000)+7*(ROW()-10)&gt;MAX('Hours Log'!$A$4:$A$5000),"",MIN('Hours Log'!$A$4:$A$5000)+7*(ROW()-10)))</f>
        <v/>
      </c>
    </row>
    <row r="1034">
      <c r="A1034">
        <f>IF($J1034="","",YEAR($J1034-WEEKDAY($J1034,2)+4)&amp;"-W"&amp;TEXT(WEEKNUM($J1034,21),"00"))</f>
        <v/>
      </c>
      <c r="B1034" s="41">
        <f>IF($J1034="","",COUNTIFS(Roster!$D$4:$D$500,"Active",Roster!$C$4:$C$500,"&lt;="&amp;$J1034))</f>
        <v/>
      </c>
      <c r="C1034">
        <f>IF($J1034="","",SUMIFS('Hours Log'!$C:$C,'Hours Log'!$A:$A,"&gt;="&amp;$J1034,'Hours Log'!$A:$A,"&lt;"&amp;$J1034+7)+SUMIFS('Hours Log'!$D:$D,'Hours Log'!$A:$A,"&gt;="&amp;$J1034,'Hours Log'!$A:$A,"&lt;"&amp;$J1034+7))</f>
        <v/>
      </c>
      <c r="D1034">
        <f>IF($J1034="","",SUMIFS('Hours Log'!$D:$D,'Hours Log'!$A:$A,"&gt;="&amp;$J1034,'Hours Log'!$A:$A,"&lt;"&amp;$J1034+7))</f>
        <v/>
      </c>
      <c r="E1034">
        <f>IF($J1034="","",IFERROR(C1034/(B1034*40),0))</f>
        <v/>
      </c>
      <c r="F1034">
        <f>IF($J1034="","",0)</f>
        <v/>
      </c>
      <c r="G1034">
        <f>IF($J1034="","",SUMIFS('Hours Log'!$E:$E,'Hours Log'!$A:$A,"&gt;="&amp;$J1034,'Hours Log'!$A:$A,"&lt;"&amp;$J1034+7))</f>
        <v/>
      </c>
      <c r="J1034">
        <f>IF(COUNT('Hours Log'!$A$4:$A$5000)=0,"",IF(MIN('Hours Log'!$A$4:$A$5000)+7*(ROW()-10)&gt;MAX('Hours Log'!$A$4:$A$5000),"",MIN('Hours Log'!$A$4:$A$5000)+7*(ROW()-10)))</f>
        <v/>
      </c>
    </row>
    <row r="1035">
      <c r="A1035">
        <f>IF($J1035="","",YEAR($J1035-WEEKDAY($J1035,2)+4)&amp;"-W"&amp;TEXT(WEEKNUM($J1035,21),"00"))</f>
        <v/>
      </c>
      <c r="B1035" s="41">
        <f>IF($J1035="","",COUNTIFS(Roster!$D$4:$D$500,"Active",Roster!$C$4:$C$500,"&lt;="&amp;$J1035))</f>
        <v/>
      </c>
      <c r="C1035">
        <f>IF($J1035="","",SUMIFS('Hours Log'!$C:$C,'Hours Log'!$A:$A,"&gt;="&amp;$J1035,'Hours Log'!$A:$A,"&lt;"&amp;$J1035+7)+SUMIFS('Hours Log'!$D:$D,'Hours Log'!$A:$A,"&gt;="&amp;$J1035,'Hours Log'!$A:$A,"&lt;"&amp;$J1035+7))</f>
        <v/>
      </c>
      <c r="D1035">
        <f>IF($J1035="","",SUMIFS('Hours Log'!$D:$D,'Hours Log'!$A:$A,"&gt;="&amp;$J1035,'Hours Log'!$A:$A,"&lt;"&amp;$J1035+7))</f>
        <v/>
      </c>
      <c r="E1035">
        <f>IF($J1035="","",IFERROR(C1035/(B1035*40),0))</f>
        <v/>
      </c>
      <c r="F1035">
        <f>IF($J1035="","",0)</f>
        <v/>
      </c>
      <c r="G1035">
        <f>IF($J1035="","",SUMIFS('Hours Log'!$E:$E,'Hours Log'!$A:$A,"&gt;="&amp;$J1035,'Hours Log'!$A:$A,"&lt;"&amp;$J1035+7))</f>
        <v/>
      </c>
      <c r="J1035">
        <f>IF(COUNT('Hours Log'!$A$4:$A$5000)=0,"",IF(MIN('Hours Log'!$A$4:$A$5000)+7*(ROW()-10)&gt;MAX('Hours Log'!$A$4:$A$5000),"",MIN('Hours Log'!$A$4:$A$5000)+7*(ROW()-10)))</f>
        <v/>
      </c>
    </row>
    <row r="1036">
      <c r="A1036">
        <f>IF($J1036="","",YEAR($J1036-WEEKDAY($J1036,2)+4)&amp;"-W"&amp;TEXT(WEEKNUM($J1036,21),"00"))</f>
        <v/>
      </c>
      <c r="B1036" s="41">
        <f>IF($J1036="","",COUNTIFS(Roster!$D$4:$D$500,"Active",Roster!$C$4:$C$500,"&lt;="&amp;$J1036))</f>
        <v/>
      </c>
      <c r="C1036">
        <f>IF($J1036="","",SUMIFS('Hours Log'!$C:$C,'Hours Log'!$A:$A,"&gt;="&amp;$J1036,'Hours Log'!$A:$A,"&lt;"&amp;$J1036+7)+SUMIFS('Hours Log'!$D:$D,'Hours Log'!$A:$A,"&gt;="&amp;$J1036,'Hours Log'!$A:$A,"&lt;"&amp;$J1036+7))</f>
        <v/>
      </c>
      <c r="D1036">
        <f>IF($J1036="","",SUMIFS('Hours Log'!$D:$D,'Hours Log'!$A:$A,"&gt;="&amp;$J1036,'Hours Log'!$A:$A,"&lt;"&amp;$J1036+7))</f>
        <v/>
      </c>
      <c r="E1036">
        <f>IF($J1036="","",IFERROR(C1036/(B1036*40),0))</f>
        <v/>
      </c>
      <c r="F1036">
        <f>IF($J1036="","",0)</f>
        <v/>
      </c>
      <c r="G1036">
        <f>IF($J1036="","",SUMIFS('Hours Log'!$E:$E,'Hours Log'!$A:$A,"&gt;="&amp;$J1036,'Hours Log'!$A:$A,"&lt;"&amp;$J1036+7))</f>
        <v/>
      </c>
      <c r="J1036">
        <f>IF(COUNT('Hours Log'!$A$4:$A$5000)=0,"",IF(MIN('Hours Log'!$A$4:$A$5000)+7*(ROW()-10)&gt;MAX('Hours Log'!$A$4:$A$5000),"",MIN('Hours Log'!$A$4:$A$5000)+7*(ROW()-10)))</f>
        <v/>
      </c>
    </row>
    <row r="1037">
      <c r="A1037">
        <f>IF($J1037="","",YEAR($J1037-WEEKDAY($J1037,2)+4)&amp;"-W"&amp;TEXT(WEEKNUM($J1037,21),"00"))</f>
        <v/>
      </c>
      <c r="B1037" s="41">
        <f>IF($J1037="","",COUNTIFS(Roster!$D$4:$D$500,"Active",Roster!$C$4:$C$500,"&lt;="&amp;$J1037))</f>
        <v/>
      </c>
      <c r="C1037">
        <f>IF($J1037="","",SUMIFS('Hours Log'!$C:$C,'Hours Log'!$A:$A,"&gt;="&amp;$J1037,'Hours Log'!$A:$A,"&lt;"&amp;$J1037+7)+SUMIFS('Hours Log'!$D:$D,'Hours Log'!$A:$A,"&gt;="&amp;$J1037,'Hours Log'!$A:$A,"&lt;"&amp;$J1037+7))</f>
        <v/>
      </c>
      <c r="D1037">
        <f>IF($J1037="","",SUMIFS('Hours Log'!$D:$D,'Hours Log'!$A:$A,"&gt;="&amp;$J1037,'Hours Log'!$A:$A,"&lt;"&amp;$J1037+7))</f>
        <v/>
      </c>
      <c r="E1037">
        <f>IF($J1037="","",IFERROR(C1037/(B1037*40),0))</f>
        <v/>
      </c>
      <c r="F1037">
        <f>IF($J1037="","",0)</f>
        <v/>
      </c>
      <c r="G1037">
        <f>IF($J1037="","",SUMIFS('Hours Log'!$E:$E,'Hours Log'!$A:$A,"&gt;="&amp;$J1037,'Hours Log'!$A:$A,"&lt;"&amp;$J1037+7))</f>
        <v/>
      </c>
      <c r="J1037">
        <f>IF(COUNT('Hours Log'!$A$4:$A$5000)=0,"",IF(MIN('Hours Log'!$A$4:$A$5000)+7*(ROW()-10)&gt;MAX('Hours Log'!$A$4:$A$5000),"",MIN('Hours Log'!$A$4:$A$5000)+7*(ROW()-10)))</f>
        <v/>
      </c>
    </row>
    <row r="1038">
      <c r="A1038">
        <f>IF($J1038="","",YEAR($J1038-WEEKDAY($J1038,2)+4)&amp;"-W"&amp;TEXT(WEEKNUM($J1038,21),"00"))</f>
        <v/>
      </c>
      <c r="B1038" s="41">
        <f>IF($J1038="","",COUNTIFS(Roster!$D$4:$D$500,"Active",Roster!$C$4:$C$500,"&lt;="&amp;$J1038))</f>
        <v/>
      </c>
      <c r="C1038">
        <f>IF($J1038="","",SUMIFS('Hours Log'!$C:$C,'Hours Log'!$A:$A,"&gt;="&amp;$J1038,'Hours Log'!$A:$A,"&lt;"&amp;$J1038+7)+SUMIFS('Hours Log'!$D:$D,'Hours Log'!$A:$A,"&gt;="&amp;$J1038,'Hours Log'!$A:$A,"&lt;"&amp;$J1038+7))</f>
        <v/>
      </c>
      <c r="D1038">
        <f>IF($J1038="","",SUMIFS('Hours Log'!$D:$D,'Hours Log'!$A:$A,"&gt;="&amp;$J1038,'Hours Log'!$A:$A,"&lt;"&amp;$J1038+7))</f>
        <v/>
      </c>
      <c r="E1038">
        <f>IF($J1038="","",IFERROR(C1038/(B1038*40),0))</f>
        <v/>
      </c>
      <c r="F1038">
        <f>IF($J1038="","",0)</f>
        <v/>
      </c>
      <c r="G1038">
        <f>IF($J1038="","",SUMIFS('Hours Log'!$E:$E,'Hours Log'!$A:$A,"&gt;="&amp;$J1038,'Hours Log'!$A:$A,"&lt;"&amp;$J1038+7))</f>
        <v/>
      </c>
      <c r="J1038">
        <f>IF(COUNT('Hours Log'!$A$4:$A$5000)=0,"",IF(MIN('Hours Log'!$A$4:$A$5000)+7*(ROW()-10)&gt;MAX('Hours Log'!$A$4:$A$5000),"",MIN('Hours Log'!$A$4:$A$5000)+7*(ROW()-10)))</f>
        <v/>
      </c>
    </row>
    <row r="1039">
      <c r="A1039">
        <f>IF($J1039="","",YEAR($J1039-WEEKDAY($J1039,2)+4)&amp;"-W"&amp;TEXT(WEEKNUM($J1039,21),"00"))</f>
        <v/>
      </c>
      <c r="B1039" s="41">
        <f>IF($J1039="","",COUNTIFS(Roster!$D$4:$D$500,"Active",Roster!$C$4:$C$500,"&lt;="&amp;$J1039))</f>
        <v/>
      </c>
      <c r="C1039">
        <f>IF($J1039="","",SUMIFS('Hours Log'!$C:$C,'Hours Log'!$A:$A,"&gt;="&amp;$J1039,'Hours Log'!$A:$A,"&lt;"&amp;$J1039+7)+SUMIFS('Hours Log'!$D:$D,'Hours Log'!$A:$A,"&gt;="&amp;$J1039,'Hours Log'!$A:$A,"&lt;"&amp;$J1039+7))</f>
        <v/>
      </c>
      <c r="D1039">
        <f>IF($J1039="","",SUMIFS('Hours Log'!$D:$D,'Hours Log'!$A:$A,"&gt;="&amp;$J1039,'Hours Log'!$A:$A,"&lt;"&amp;$J1039+7))</f>
        <v/>
      </c>
      <c r="E1039">
        <f>IF($J1039="","",IFERROR(C1039/(B1039*40),0))</f>
        <v/>
      </c>
      <c r="F1039">
        <f>IF($J1039="","",0)</f>
        <v/>
      </c>
      <c r="G1039">
        <f>IF($J1039="","",SUMIFS('Hours Log'!$E:$E,'Hours Log'!$A:$A,"&gt;="&amp;$J1039,'Hours Log'!$A:$A,"&lt;"&amp;$J1039+7))</f>
        <v/>
      </c>
      <c r="J1039">
        <f>IF(COUNT('Hours Log'!$A$4:$A$5000)=0,"",IF(MIN('Hours Log'!$A$4:$A$5000)+7*(ROW()-10)&gt;MAX('Hours Log'!$A$4:$A$5000),"",MIN('Hours Log'!$A$4:$A$5000)+7*(ROW()-10)))</f>
        <v/>
      </c>
    </row>
    <row r="1040">
      <c r="A1040">
        <f>IF($J1040="","",YEAR($J1040-WEEKDAY($J1040,2)+4)&amp;"-W"&amp;TEXT(WEEKNUM($J1040,21),"00"))</f>
        <v/>
      </c>
      <c r="B1040" s="41">
        <f>IF($J1040="","",COUNTIFS(Roster!$D$4:$D$500,"Active",Roster!$C$4:$C$500,"&lt;="&amp;$J1040))</f>
        <v/>
      </c>
      <c r="C1040">
        <f>IF($J1040="","",SUMIFS('Hours Log'!$C:$C,'Hours Log'!$A:$A,"&gt;="&amp;$J1040,'Hours Log'!$A:$A,"&lt;"&amp;$J1040+7)+SUMIFS('Hours Log'!$D:$D,'Hours Log'!$A:$A,"&gt;="&amp;$J1040,'Hours Log'!$A:$A,"&lt;"&amp;$J1040+7))</f>
        <v/>
      </c>
      <c r="D1040">
        <f>IF($J1040="","",SUMIFS('Hours Log'!$D:$D,'Hours Log'!$A:$A,"&gt;="&amp;$J1040,'Hours Log'!$A:$A,"&lt;"&amp;$J1040+7))</f>
        <v/>
      </c>
      <c r="E1040">
        <f>IF($J1040="","",IFERROR(C1040/(B1040*40),0))</f>
        <v/>
      </c>
      <c r="F1040">
        <f>IF($J1040="","",0)</f>
        <v/>
      </c>
      <c r="G1040">
        <f>IF($J1040="","",SUMIFS('Hours Log'!$E:$E,'Hours Log'!$A:$A,"&gt;="&amp;$J1040,'Hours Log'!$A:$A,"&lt;"&amp;$J1040+7))</f>
        <v/>
      </c>
      <c r="J1040">
        <f>IF(COUNT('Hours Log'!$A$4:$A$5000)=0,"",IF(MIN('Hours Log'!$A$4:$A$5000)+7*(ROW()-10)&gt;MAX('Hours Log'!$A$4:$A$5000),"",MIN('Hours Log'!$A$4:$A$5000)+7*(ROW()-10)))</f>
        <v/>
      </c>
    </row>
    <row r="1041">
      <c r="A1041">
        <f>IF($J1041="","",YEAR($J1041-WEEKDAY($J1041,2)+4)&amp;"-W"&amp;TEXT(WEEKNUM($J1041,21),"00"))</f>
        <v/>
      </c>
      <c r="B1041" s="41">
        <f>IF($J1041="","",COUNTIFS(Roster!$D$4:$D$500,"Active",Roster!$C$4:$C$500,"&lt;="&amp;$J1041))</f>
        <v/>
      </c>
      <c r="C1041">
        <f>IF($J1041="","",SUMIFS('Hours Log'!$C:$C,'Hours Log'!$A:$A,"&gt;="&amp;$J1041,'Hours Log'!$A:$A,"&lt;"&amp;$J1041+7)+SUMIFS('Hours Log'!$D:$D,'Hours Log'!$A:$A,"&gt;="&amp;$J1041,'Hours Log'!$A:$A,"&lt;"&amp;$J1041+7))</f>
        <v/>
      </c>
      <c r="D1041">
        <f>IF($J1041="","",SUMIFS('Hours Log'!$D:$D,'Hours Log'!$A:$A,"&gt;="&amp;$J1041,'Hours Log'!$A:$A,"&lt;"&amp;$J1041+7))</f>
        <v/>
      </c>
      <c r="E1041">
        <f>IF($J1041="","",IFERROR(C1041/(B1041*40),0))</f>
        <v/>
      </c>
      <c r="F1041">
        <f>IF($J1041="","",0)</f>
        <v/>
      </c>
      <c r="G1041">
        <f>IF($J1041="","",SUMIFS('Hours Log'!$E:$E,'Hours Log'!$A:$A,"&gt;="&amp;$J1041,'Hours Log'!$A:$A,"&lt;"&amp;$J1041+7))</f>
        <v/>
      </c>
      <c r="J1041">
        <f>IF(COUNT('Hours Log'!$A$4:$A$5000)=0,"",IF(MIN('Hours Log'!$A$4:$A$5000)+7*(ROW()-10)&gt;MAX('Hours Log'!$A$4:$A$5000),"",MIN('Hours Log'!$A$4:$A$5000)+7*(ROW()-10)))</f>
        <v/>
      </c>
    </row>
    <row r="1042">
      <c r="A1042">
        <f>IF($J1042="","",YEAR($J1042-WEEKDAY($J1042,2)+4)&amp;"-W"&amp;TEXT(WEEKNUM($J1042,21),"00"))</f>
        <v/>
      </c>
      <c r="B1042" s="41">
        <f>IF($J1042="","",COUNTIFS(Roster!$D$4:$D$500,"Active",Roster!$C$4:$C$500,"&lt;="&amp;$J1042))</f>
        <v/>
      </c>
      <c r="C1042">
        <f>IF($J1042="","",SUMIFS('Hours Log'!$C:$C,'Hours Log'!$A:$A,"&gt;="&amp;$J1042,'Hours Log'!$A:$A,"&lt;"&amp;$J1042+7)+SUMIFS('Hours Log'!$D:$D,'Hours Log'!$A:$A,"&gt;="&amp;$J1042,'Hours Log'!$A:$A,"&lt;"&amp;$J1042+7))</f>
        <v/>
      </c>
      <c r="D1042">
        <f>IF($J1042="","",SUMIFS('Hours Log'!$D:$D,'Hours Log'!$A:$A,"&gt;="&amp;$J1042,'Hours Log'!$A:$A,"&lt;"&amp;$J1042+7))</f>
        <v/>
      </c>
      <c r="E1042">
        <f>IF($J1042="","",IFERROR(C1042/(B1042*40),0))</f>
        <v/>
      </c>
      <c r="F1042">
        <f>IF($J1042="","",0)</f>
        <v/>
      </c>
      <c r="G1042">
        <f>IF($J1042="","",SUMIFS('Hours Log'!$E:$E,'Hours Log'!$A:$A,"&gt;="&amp;$J1042,'Hours Log'!$A:$A,"&lt;"&amp;$J1042+7))</f>
        <v/>
      </c>
      <c r="J1042">
        <f>IF(COUNT('Hours Log'!$A$4:$A$5000)=0,"",IF(MIN('Hours Log'!$A$4:$A$5000)+7*(ROW()-10)&gt;MAX('Hours Log'!$A$4:$A$5000),"",MIN('Hours Log'!$A$4:$A$5000)+7*(ROW()-10)))</f>
        <v/>
      </c>
    </row>
    <row r="1043">
      <c r="A1043">
        <f>IF($J1043="","",YEAR($J1043-WEEKDAY($J1043,2)+4)&amp;"-W"&amp;TEXT(WEEKNUM($J1043,21),"00"))</f>
        <v/>
      </c>
      <c r="B1043" s="41">
        <f>IF($J1043="","",COUNTIFS(Roster!$D$4:$D$500,"Active",Roster!$C$4:$C$500,"&lt;="&amp;$J1043))</f>
        <v/>
      </c>
      <c r="C1043">
        <f>IF($J1043="","",SUMIFS('Hours Log'!$C:$C,'Hours Log'!$A:$A,"&gt;="&amp;$J1043,'Hours Log'!$A:$A,"&lt;"&amp;$J1043+7)+SUMIFS('Hours Log'!$D:$D,'Hours Log'!$A:$A,"&gt;="&amp;$J1043,'Hours Log'!$A:$A,"&lt;"&amp;$J1043+7))</f>
        <v/>
      </c>
      <c r="D1043">
        <f>IF($J1043="","",SUMIFS('Hours Log'!$D:$D,'Hours Log'!$A:$A,"&gt;="&amp;$J1043,'Hours Log'!$A:$A,"&lt;"&amp;$J1043+7))</f>
        <v/>
      </c>
      <c r="E1043">
        <f>IF($J1043="","",IFERROR(C1043/(B1043*40),0))</f>
        <v/>
      </c>
      <c r="F1043">
        <f>IF($J1043="","",0)</f>
        <v/>
      </c>
      <c r="G1043">
        <f>IF($J1043="","",SUMIFS('Hours Log'!$E:$E,'Hours Log'!$A:$A,"&gt;="&amp;$J1043,'Hours Log'!$A:$A,"&lt;"&amp;$J1043+7))</f>
        <v/>
      </c>
      <c r="J1043">
        <f>IF(COUNT('Hours Log'!$A$4:$A$5000)=0,"",IF(MIN('Hours Log'!$A$4:$A$5000)+7*(ROW()-10)&gt;MAX('Hours Log'!$A$4:$A$5000),"",MIN('Hours Log'!$A$4:$A$5000)+7*(ROW()-10)))</f>
        <v/>
      </c>
    </row>
    <row r="1044">
      <c r="A1044">
        <f>IF($J1044="","",YEAR($J1044-WEEKDAY($J1044,2)+4)&amp;"-W"&amp;TEXT(WEEKNUM($J1044,21),"00"))</f>
        <v/>
      </c>
      <c r="B1044" s="41">
        <f>IF($J1044="","",COUNTIFS(Roster!$D$4:$D$500,"Active",Roster!$C$4:$C$500,"&lt;="&amp;$J1044))</f>
        <v/>
      </c>
      <c r="C1044">
        <f>IF($J1044="","",SUMIFS('Hours Log'!$C:$C,'Hours Log'!$A:$A,"&gt;="&amp;$J1044,'Hours Log'!$A:$A,"&lt;"&amp;$J1044+7)+SUMIFS('Hours Log'!$D:$D,'Hours Log'!$A:$A,"&gt;="&amp;$J1044,'Hours Log'!$A:$A,"&lt;"&amp;$J1044+7))</f>
        <v/>
      </c>
      <c r="D1044">
        <f>IF($J1044="","",SUMIFS('Hours Log'!$D:$D,'Hours Log'!$A:$A,"&gt;="&amp;$J1044,'Hours Log'!$A:$A,"&lt;"&amp;$J1044+7))</f>
        <v/>
      </c>
      <c r="E1044">
        <f>IF($J1044="","",IFERROR(C1044/(B1044*40),0))</f>
        <v/>
      </c>
      <c r="F1044">
        <f>IF($J1044="","",0)</f>
        <v/>
      </c>
      <c r="G1044">
        <f>IF($J1044="","",SUMIFS('Hours Log'!$E:$E,'Hours Log'!$A:$A,"&gt;="&amp;$J1044,'Hours Log'!$A:$A,"&lt;"&amp;$J1044+7))</f>
        <v/>
      </c>
      <c r="J1044">
        <f>IF(COUNT('Hours Log'!$A$4:$A$5000)=0,"",IF(MIN('Hours Log'!$A$4:$A$5000)+7*(ROW()-10)&gt;MAX('Hours Log'!$A$4:$A$5000),"",MIN('Hours Log'!$A$4:$A$5000)+7*(ROW()-10)))</f>
        <v/>
      </c>
    </row>
    <row r="1045">
      <c r="A1045">
        <f>IF($J1045="","",YEAR($J1045-WEEKDAY($J1045,2)+4)&amp;"-W"&amp;TEXT(WEEKNUM($J1045,21),"00"))</f>
        <v/>
      </c>
      <c r="B1045" s="41">
        <f>IF($J1045="","",COUNTIFS(Roster!$D$4:$D$500,"Active",Roster!$C$4:$C$500,"&lt;="&amp;$J1045))</f>
        <v/>
      </c>
      <c r="C1045">
        <f>IF($J1045="","",SUMIFS('Hours Log'!$C:$C,'Hours Log'!$A:$A,"&gt;="&amp;$J1045,'Hours Log'!$A:$A,"&lt;"&amp;$J1045+7)+SUMIFS('Hours Log'!$D:$D,'Hours Log'!$A:$A,"&gt;="&amp;$J1045,'Hours Log'!$A:$A,"&lt;"&amp;$J1045+7))</f>
        <v/>
      </c>
      <c r="D1045">
        <f>IF($J1045="","",SUMIFS('Hours Log'!$D:$D,'Hours Log'!$A:$A,"&gt;="&amp;$J1045,'Hours Log'!$A:$A,"&lt;"&amp;$J1045+7))</f>
        <v/>
      </c>
      <c r="E1045">
        <f>IF($J1045="","",IFERROR(C1045/(B1045*40),0))</f>
        <v/>
      </c>
      <c r="F1045">
        <f>IF($J1045="","",0)</f>
        <v/>
      </c>
      <c r="G1045">
        <f>IF($J1045="","",SUMIFS('Hours Log'!$E:$E,'Hours Log'!$A:$A,"&gt;="&amp;$J1045,'Hours Log'!$A:$A,"&lt;"&amp;$J1045+7))</f>
        <v/>
      </c>
      <c r="J1045">
        <f>IF(COUNT('Hours Log'!$A$4:$A$5000)=0,"",IF(MIN('Hours Log'!$A$4:$A$5000)+7*(ROW()-10)&gt;MAX('Hours Log'!$A$4:$A$5000),"",MIN('Hours Log'!$A$4:$A$5000)+7*(ROW()-10)))</f>
        <v/>
      </c>
    </row>
    <row r="1046">
      <c r="A1046">
        <f>IF($J1046="","",YEAR($J1046-WEEKDAY($J1046,2)+4)&amp;"-W"&amp;TEXT(WEEKNUM($J1046,21),"00"))</f>
        <v/>
      </c>
      <c r="B1046" s="41">
        <f>IF($J1046="","",COUNTIFS(Roster!$D$4:$D$500,"Active",Roster!$C$4:$C$500,"&lt;="&amp;$J1046))</f>
        <v/>
      </c>
      <c r="C1046">
        <f>IF($J1046="","",SUMIFS('Hours Log'!$C:$C,'Hours Log'!$A:$A,"&gt;="&amp;$J1046,'Hours Log'!$A:$A,"&lt;"&amp;$J1046+7)+SUMIFS('Hours Log'!$D:$D,'Hours Log'!$A:$A,"&gt;="&amp;$J1046,'Hours Log'!$A:$A,"&lt;"&amp;$J1046+7))</f>
        <v/>
      </c>
      <c r="D1046">
        <f>IF($J1046="","",SUMIFS('Hours Log'!$D:$D,'Hours Log'!$A:$A,"&gt;="&amp;$J1046,'Hours Log'!$A:$A,"&lt;"&amp;$J1046+7))</f>
        <v/>
      </c>
      <c r="E1046">
        <f>IF($J1046="","",IFERROR(C1046/(B1046*40),0))</f>
        <v/>
      </c>
      <c r="F1046">
        <f>IF($J1046="","",0)</f>
        <v/>
      </c>
      <c r="G1046">
        <f>IF($J1046="","",SUMIFS('Hours Log'!$E:$E,'Hours Log'!$A:$A,"&gt;="&amp;$J1046,'Hours Log'!$A:$A,"&lt;"&amp;$J1046+7))</f>
        <v/>
      </c>
      <c r="J1046">
        <f>IF(COUNT('Hours Log'!$A$4:$A$5000)=0,"",IF(MIN('Hours Log'!$A$4:$A$5000)+7*(ROW()-10)&gt;MAX('Hours Log'!$A$4:$A$5000),"",MIN('Hours Log'!$A$4:$A$5000)+7*(ROW()-10)))</f>
        <v/>
      </c>
    </row>
    <row r="1047">
      <c r="A1047">
        <f>IF($J1047="","",YEAR($J1047-WEEKDAY($J1047,2)+4)&amp;"-W"&amp;TEXT(WEEKNUM($J1047,21),"00"))</f>
        <v/>
      </c>
      <c r="B1047" s="41">
        <f>IF($J1047="","",COUNTIFS(Roster!$D$4:$D$500,"Active",Roster!$C$4:$C$500,"&lt;="&amp;$J1047))</f>
        <v/>
      </c>
      <c r="C1047">
        <f>IF($J1047="","",SUMIFS('Hours Log'!$C:$C,'Hours Log'!$A:$A,"&gt;="&amp;$J1047,'Hours Log'!$A:$A,"&lt;"&amp;$J1047+7)+SUMIFS('Hours Log'!$D:$D,'Hours Log'!$A:$A,"&gt;="&amp;$J1047,'Hours Log'!$A:$A,"&lt;"&amp;$J1047+7))</f>
        <v/>
      </c>
      <c r="D1047">
        <f>IF($J1047="","",SUMIFS('Hours Log'!$D:$D,'Hours Log'!$A:$A,"&gt;="&amp;$J1047,'Hours Log'!$A:$A,"&lt;"&amp;$J1047+7))</f>
        <v/>
      </c>
      <c r="E1047">
        <f>IF($J1047="","",IFERROR(C1047/(B1047*40),0))</f>
        <v/>
      </c>
      <c r="F1047">
        <f>IF($J1047="","",0)</f>
        <v/>
      </c>
      <c r="G1047">
        <f>IF($J1047="","",SUMIFS('Hours Log'!$E:$E,'Hours Log'!$A:$A,"&gt;="&amp;$J1047,'Hours Log'!$A:$A,"&lt;"&amp;$J1047+7))</f>
        <v/>
      </c>
      <c r="J1047">
        <f>IF(COUNT('Hours Log'!$A$4:$A$5000)=0,"",IF(MIN('Hours Log'!$A$4:$A$5000)+7*(ROW()-10)&gt;MAX('Hours Log'!$A$4:$A$5000),"",MIN('Hours Log'!$A$4:$A$5000)+7*(ROW()-10)))</f>
        <v/>
      </c>
    </row>
    <row r="1048">
      <c r="A1048">
        <f>IF($J1048="","",YEAR($J1048-WEEKDAY($J1048,2)+4)&amp;"-W"&amp;TEXT(WEEKNUM($J1048,21),"00"))</f>
        <v/>
      </c>
      <c r="B1048" s="41">
        <f>IF($J1048="","",COUNTIFS(Roster!$D$4:$D$500,"Active",Roster!$C$4:$C$500,"&lt;="&amp;$J1048))</f>
        <v/>
      </c>
      <c r="C1048">
        <f>IF($J1048="","",SUMIFS('Hours Log'!$C:$C,'Hours Log'!$A:$A,"&gt;="&amp;$J1048,'Hours Log'!$A:$A,"&lt;"&amp;$J1048+7)+SUMIFS('Hours Log'!$D:$D,'Hours Log'!$A:$A,"&gt;="&amp;$J1048,'Hours Log'!$A:$A,"&lt;"&amp;$J1048+7))</f>
        <v/>
      </c>
      <c r="D1048">
        <f>IF($J1048="","",SUMIFS('Hours Log'!$D:$D,'Hours Log'!$A:$A,"&gt;="&amp;$J1048,'Hours Log'!$A:$A,"&lt;"&amp;$J1048+7))</f>
        <v/>
      </c>
      <c r="E1048">
        <f>IF($J1048="","",IFERROR(C1048/(B1048*40),0))</f>
        <v/>
      </c>
      <c r="F1048">
        <f>IF($J1048="","",0)</f>
        <v/>
      </c>
      <c r="G1048">
        <f>IF($J1048="","",SUMIFS('Hours Log'!$E:$E,'Hours Log'!$A:$A,"&gt;="&amp;$J1048,'Hours Log'!$A:$A,"&lt;"&amp;$J1048+7))</f>
        <v/>
      </c>
      <c r="J1048">
        <f>IF(COUNT('Hours Log'!$A$4:$A$5000)=0,"",IF(MIN('Hours Log'!$A$4:$A$5000)+7*(ROW()-10)&gt;MAX('Hours Log'!$A$4:$A$5000),"",MIN('Hours Log'!$A$4:$A$5000)+7*(ROW()-10)))</f>
        <v/>
      </c>
    </row>
    <row r="1049">
      <c r="A1049">
        <f>IF($J1049="","",YEAR($J1049-WEEKDAY($J1049,2)+4)&amp;"-W"&amp;TEXT(WEEKNUM($J1049,21),"00"))</f>
        <v/>
      </c>
      <c r="B1049" s="41">
        <f>IF($J1049="","",COUNTIFS(Roster!$D$4:$D$500,"Active",Roster!$C$4:$C$500,"&lt;="&amp;$J1049))</f>
        <v/>
      </c>
      <c r="C1049">
        <f>IF($J1049="","",SUMIFS('Hours Log'!$C:$C,'Hours Log'!$A:$A,"&gt;="&amp;$J1049,'Hours Log'!$A:$A,"&lt;"&amp;$J1049+7)+SUMIFS('Hours Log'!$D:$D,'Hours Log'!$A:$A,"&gt;="&amp;$J1049,'Hours Log'!$A:$A,"&lt;"&amp;$J1049+7))</f>
        <v/>
      </c>
      <c r="D1049">
        <f>IF($J1049="","",SUMIFS('Hours Log'!$D:$D,'Hours Log'!$A:$A,"&gt;="&amp;$J1049,'Hours Log'!$A:$A,"&lt;"&amp;$J1049+7))</f>
        <v/>
      </c>
      <c r="E1049">
        <f>IF($J1049="","",IFERROR(C1049/(B1049*40),0))</f>
        <v/>
      </c>
      <c r="F1049">
        <f>IF($J1049="","",0)</f>
        <v/>
      </c>
      <c r="G1049">
        <f>IF($J1049="","",SUMIFS('Hours Log'!$E:$E,'Hours Log'!$A:$A,"&gt;="&amp;$J1049,'Hours Log'!$A:$A,"&lt;"&amp;$J1049+7))</f>
        <v/>
      </c>
      <c r="J1049">
        <f>IF(COUNT('Hours Log'!$A$4:$A$5000)=0,"",IF(MIN('Hours Log'!$A$4:$A$5000)+7*(ROW()-10)&gt;MAX('Hours Log'!$A$4:$A$5000),"",MIN('Hours Log'!$A$4:$A$5000)+7*(ROW()-10)))</f>
        <v/>
      </c>
    </row>
    <row r="1050">
      <c r="A1050">
        <f>IF($J1050="","",YEAR($J1050-WEEKDAY($J1050,2)+4)&amp;"-W"&amp;TEXT(WEEKNUM($J1050,21),"00"))</f>
        <v/>
      </c>
      <c r="B1050" s="41">
        <f>IF($J1050="","",COUNTIFS(Roster!$D$4:$D$500,"Active",Roster!$C$4:$C$500,"&lt;="&amp;$J1050))</f>
        <v/>
      </c>
      <c r="C1050">
        <f>IF($J1050="","",SUMIFS('Hours Log'!$C:$C,'Hours Log'!$A:$A,"&gt;="&amp;$J1050,'Hours Log'!$A:$A,"&lt;"&amp;$J1050+7)+SUMIFS('Hours Log'!$D:$D,'Hours Log'!$A:$A,"&gt;="&amp;$J1050,'Hours Log'!$A:$A,"&lt;"&amp;$J1050+7))</f>
        <v/>
      </c>
      <c r="D1050">
        <f>IF($J1050="","",SUMIFS('Hours Log'!$D:$D,'Hours Log'!$A:$A,"&gt;="&amp;$J1050,'Hours Log'!$A:$A,"&lt;"&amp;$J1050+7))</f>
        <v/>
      </c>
      <c r="E1050">
        <f>IF($J1050="","",IFERROR(C1050/(B1050*40),0))</f>
        <v/>
      </c>
      <c r="F1050">
        <f>IF($J1050="","",0)</f>
        <v/>
      </c>
      <c r="G1050">
        <f>IF($J1050="","",SUMIFS('Hours Log'!$E:$E,'Hours Log'!$A:$A,"&gt;="&amp;$J1050,'Hours Log'!$A:$A,"&lt;"&amp;$J1050+7))</f>
        <v/>
      </c>
      <c r="J1050">
        <f>IF(COUNT('Hours Log'!$A$4:$A$5000)=0,"",IF(MIN('Hours Log'!$A$4:$A$5000)+7*(ROW()-10)&gt;MAX('Hours Log'!$A$4:$A$5000),"",MIN('Hours Log'!$A$4:$A$5000)+7*(ROW()-10)))</f>
        <v/>
      </c>
    </row>
    <row r="1051">
      <c r="A1051">
        <f>IF($J1051="","",YEAR($J1051-WEEKDAY($J1051,2)+4)&amp;"-W"&amp;TEXT(WEEKNUM($J1051,21),"00"))</f>
        <v/>
      </c>
      <c r="B1051" s="41">
        <f>IF($J1051="","",COUNTIFS(Roster!$D$4:$D$500,"Active",Roster!$C$4:$C$500,"&lt;="&amp;$J1051))</f>
        <v/>
      </c>
      <c r="C1051">
        <f>IF($J1051="","",SUMIFS('Hours Log'!$C:$C,'Hours Log'!$A:$A,"&gt;="&amp;$J1051,'Hours Log'!$A:$A,"&lt;"&amp;$J1051+7)+SUMIFS('Hours Log'!$D:$D,'Hours Log'!$A:$A,"&gt;="&amp;$J1051,'Hours Log'!$A:$A,"&lt;"&amp;$J1051+7))</f>
        <v/>
      </c>
      <c r="D1051">
        <f>IF($J1051="","",SUMIFS('Hours Log'!$D:$D,'Hours Log'!$A:$A,"&gt;="&amp;$J1051,'Hours Log'!$A:$A,"&lt;"&amp;$J1051+7))</f>
        <v/>
      </c>
      <c r="E1051">
        <f>IF($J1051="","",IFERROR(C1051/(B1051*40),0))</f>
        <v/>
      </c>
      <c r="F1051">
        <f>IF($J1051="","",0)</f>
        <v/>
      </c>
      <c r="G1051">
        <f>IF($J1051="","",SUMIFS('Hours Log'!$E:$E,'Hours Log'!$A:$A,"&gt;="&amp;$J1051,'Hours Log'!$A:$A,"&lt;"&amp;$J1051+7))</f>
        <v/>
      </c>
      <c r="J1051">
        <f>IF(COUNT('Hours Log'!$A$4:$A$5000)=0,"",IF(MIN('Hours Log'!$A$4:$A$5000)+7*(ROW()-10)&gt;MAX('Hours Log'!$A$4:$A$5000),"",MIN('Hours Log'!$A$4:$A$5000)+7*(ROW()-10)))</f>
        <v/>
      </c>
    </row>
    <row r="1052">
      <c r="A1052">
        <f>IF($J1052="","",YEAR($J1052-WEEKDAY($J1052,2)+4)&amp;"-W"&amp;TEXT(WEEKNUM($J1052,21),"00"))</f>
        <v/>
      </c>
      <c r="B1052" s="41">
        <f>IF($J1052="","",COUNTIFS(Roster!$D$4:$D$500,"Active",Roster!$C$4:$C$500,"&lt;="&amp;$J1052))</f>
        <v/>
      </c>
      <c r="C1052">
        <f>IF($J1052="","",SUMIFS('Hours Log'!$C:$C,'Hours Log'!$A:$A,"&gt;="&amp;$J1052,'Hours Log'!$A:$A,"&lt;"&amp;$J1052+7)+SUMIFS('Hours Log'!$D:$D,'Hours Log'!$A:$A,"&gt;="&amp;$J1052,'Hours Log'!$A:$A,"&lt;"&amp;$J1052+7))</f>
        <v/>
      </c>
      <c r="D1052">
        <f>IF($J1052="","",SUMIFS('Hours Log'!$D:$D,'Hours Log'!$A:$A,"&gt;="&amp;$J1052,'Hours Log'!$A:$A,"&lt;"&amp;$J1052+7))</f>
        <v/>
      </c>
      <c r="E1052">
        <f>IF($J1052="","",IFERROR(C1052/(B1052*40),0))</f>
        <v/>
      </c>
      <c r="F1052">
        <f>IF($J1052="","",0)</f>
        <v/>
      </c>
      <c r="G1052">
        <f>IF($J1052="","",SUMIFS('Hours Log'!$E:$E,'Hours Log'!$A:$A,"&gt;="&amp;$J1052,'Hours Log'!$A:$A,"&lt;"&amp;$J1052+7))</f>
        <v/>
      </c>
      <c r="J1052">
        <f>IF(COUNT('Hours Log'!$A$4:$A$5000)=0,"",IF(MIN('Hours Log'!$A$4:$A$5000)+7*(ROW()-10)&gt;MAX('Hours Log'!$A$4:$A$5000),"",MIN('Hours Log'!$A$4:$A$5000)+7*(ROW()-10)))</f>
        <v/>
      </c>
    </row>
    <row r="1053">
      <c r="A1053">
        <f>IF($J1053="","",YEAR($J1053-WEEKDAY($J1053,2)+4)&amp;"-W"&amp;TEXT(WEEKNUM($J1053,21),"00"))</f>
        <v/>
      </c>
      <c r="B1053" s="41">
        <f>IF($J1053="","",COUNTIFS(Roster!$D$4:$D$500,"Active",Roster!$C$4:$C$500,"&lt;="&amp;$J1053))</f>
        <v/>
      </c>
      <c r="C1053">
        <f>IF($J1053="","",SUMIFS('Hours Log'!$C:$C,'Hours Log'!$A:$A,"&gt;="&amp;$J1053,'Hours Log'!$A:$A,"&lt;"&amp;$J1053+7)+SUMIFS('Hours Log'!$D:$D,'Hours Log'!$A:$A,"&gt;="&amp;$J1053,'Hours Log'!$A:$A,"&lt;"&amp;$J1053+7))</f>
        <v/>
      </c>
      <c r="D1053">
        <f>IF($J1053="","",SUMIFS('Hours Log'!$D:$D,'Hours Log'!$A:$A,"&gt;="&amp;$J1053,'Hours Log'!$A:$A,"&lt;"&amp;$J1053+7))</f>
        <v/>
      </c>
      <c r="E1053">
        <f>IF($J1053="","",IFERROR(C1053/(B1053*40),0))</f>
        <v/>
      </c>
      <c r="F1053">
        <f>IF($J1053="","",0)</f>
        <v/>
      </c>
      <c r="G1053">
        <f>IF($J1053="","",SUMIFS('Hours Log'!$E:$E,'Hours Log'!$A:$A,"&gt;="&amp;$J1053,'Hours Log'!$A:$A,"&lt;"&amp;$J1053+7))</f>
        <v/>
      </c>
      <c r="J1053">
        <f>IF(COUNT('Hours Log'!$A$4:$A$5000)=0,"",IF(MIN('Hours Log'!$A$4:$A$5000)+7*(ROW()-10)&gt;MAX('Hours Log'!$A$4:$A$5000),"",MIN('Hours Log'!$A$4:$A$5000)+7*(ROW()-10)))</f>
        <v/>
      </c>
    </row>
    <row r="1054">
      <c r="A1054">
        <f>IF($J1054="","",YEAR($J1054-WEEKDAY($J1054,2)+4)&amp;"-W"&amp;TEXT(WEEKNUM($J1054,21),"00"))</f>
        <v/>
      </c>
      <c r="B1054" s="41">
        <f>IF($J1054="","",COUNTIFS(Roster!$D$4:$D$500,"Active",Roster!$C$4:$C$500,"&lt;="&amp;$J1054))</f>
        <v/>
      </c>
      <c r="C1054">
        <f>IF($J1054="","",SUMIFS('Hours Log'!$C:$C,'Hours Log'!$A:$A,"&gt;="&amp;$J1054,'Hours Log'!$A:$A,"&lt;"&amp;$J1054+7)+SUMIFS('Hours Log'!$D:$D,'Hours Log'!$A:$A,"&gt;="&amp;$J1054,'Hours Log'!$A:$A,"&lt;"&amp;$J1054+7))</f>
        <v/>
      </c>
      <c r="D1054">
        <f>IF($J1054="","",SUMIFS('Hours Log'!$D:$D,'Hours Log'!$A:$A,"&gt;="&amp;$J1054,'Hours Log'!$A:$A,"&lt;"&amp;$J1054+7))</f>
        <v/>
      </c>
      <c r="E1054">
        <f>IF($J1054="","",IFERROR(C1054/(B1054*40),0))</f>
        <v/>
      </c>
      <c r="F1054">
        <f>IF($J1054="","",0)</f>
        <v/>
      </c>
      <c r="G1054">
        <f>IF($J1054="","",SUMIFS('Hours Log'!$E:$E,'Hours Log'!$A:$A,"&gt;="&amp;$J1054,'Hours Log'!$A:$A,"&lt;"&amp;$J1054+7))</f>
        <v/>
      </c>
      <c r="J1054">
        <f>IF(COUNT('Hours Log'!$A$4:$A$5000)=0,"",IF(MIN('Hours Log'!$A$4:$A$5000)+7*(ROW()-10)&gt;MAX('Hours Log'!$A$4:$A$5000),"",MIN('Hours Log'!$A$4:$A$5000)+7*(ROW()-10)))</f>
        <v/>
      </c>
    </row>
    <row r="1055">
      <c r="A1055">
        <f>IF($J1055="","",YEAR($J1055-WEEKDAY($J1055,2)+4)&amp;"-W"&amp;TEXT(WEEKNUM($J1055,21),"00"))</f>
        <v/>
      </c>
      <c r="B1055" s="41">
        <f>IF($J1055="","",COUNTIFS(Roster!$D$4:$D$500,"Active",Roster!$C$4:$C$500,"&lt;="&amp;$J1055))</f>
        <v/>
      </c>
      <c r="C1055">
        <f>IF($J1055="","",SUMIFS('Hours Log'!$C:$C,'Hours Log'!$A:$A,"&gt;="&amp;$J1055,'Hours Log'!$A:$A,"&lt;"&amp;$J1055+7)+SUMIFS('Hours Log'!$D:$D,'Hours Log'!$A:$A,"&gt;="&amp;$J1055,'Hours Log'!$A:$A,"&lt;"&amp;$J1055+7))</f>
        <v/>
      </c>
      <c r="D1055">
        <f>IF($J1055="","",SUMIFS('Hours Log'!$D:$D,'Hours Log'!$A:$A,"&gt;="&amp;$J1055,'Hours Log'!$A:$A,"&lt;"&amp;$J1055+7))</f>
        <v/>
      </c>
      <c r="E1055">
        <f>IF($J1055="","",IFERROR(C1055/(B1055*40),0))</f>
        <v/>
      </c>
      <c r="F1055">
        <f>IF($J1055="","",0)</f>
        <v/>
      </c>
      <c r="G1055">
        <f>IF($J1055="","",SUMIFS('Hours Log'!$E:$E,'Hours Log'!$A:$A,"&gt;="&amp;$J1055,'Hours Log'!$A:$A,"&lt;"&amp;$J1055+7))</f>
        <v/>
      </c>
      <c r="J1055">
        <f>IF(COUNT('Hours Log'!$A$4:$A$5000)=0,"",IF(MIN('Hours Log'!$A$4:$A$5000)+7*(ROW()-10)&gt;MAX('Hours Log'!$A$4:$A$5000),"",MIN('Hours Log'!$A$4:$A$5000)+7*(ROW()-10)))</f>
        <v/>
      </c>
    </row>
    <row r="1056">
      <c r="A1056">
        <f>IF($J1056="","",YEAR($J1056-WEEKDAY($J1056,2)+4)&amp;"-W"&amp;TEXT(WEEKNUM($J1056,21),"00"))</f>
        <v/>
      </c>
      <c r="B1056" s="41">
        <f>IF($J1056="","",COUNTIFS(Roster!$D$4:$D$500,"Active",Roster!$C$4:$C$500,"&lt;="&amp;$J1056))</f>
        <v/>
      </c>
      <c r="C1056">
        <f>IF($J1056="","",SUMIFS('Hours Log'!$C:$C,'Hours Log'!$A:$A,"&gt;="&amp;$J1056,'Hours Log'!$A:$A,"&lt;"&amp;$J1056+7)+SUMIFS('Hours Log'!$D:$D,'Hours Log'!$A:$A,"&gt;="&amp;$J1056,'Hours Log'!$A:$A,"&lt;"&amp;$J1056+7))</f>
        <v/>
      </c>
      <c r="D1056">
        <f>IF($J1056="","",SUMIFS('Hours Log'!$D:$D,'Hours Log'!$A:$A,"&gt;="&amp;$J1056,'Hours Log'!$A:$A,"&lt;"&amp;$J1056+7))</f>
        <v/>
      </c>
      <c r="E1056">
        <f>IF($J1056="","",IFERROR(C1056/(B1056*40),0))</f>
        <v/>
      </c>
      <c r="F1056">
        <f>IF($J1056="","",0)</f>
        <v/>
      </c>
      <c r="G1056">
        <f>IF($J1056="","",SUMIFS('Hours Log'!$E:$E,'Hours Log'!$A:$A,"&gt;="&amp;$J1056,'Hours Log'!$A:$A,"&lt;"&amp;$J1056+7))</f>
        <v/>
      </c>
      <c r="J1056">
        <f>IF(COUNT('Hours Log'!$A$4:$A$5000)=0,"",IF(MIN('Hours Log'!$A$4:$A$5000)+7*(ROW()-10)&gt;MAX('Hours Log'!$A$4:$A$5000),"",MIN('Hours Log'!$A$4:$A$5000)+7*(ROW()-10)))</f>
        <v/>
      </c>
    </row>
    <row r="1057">
      <c r="A1057">
        <f>IF($J1057="","",YEAR($J1057-WEEKDAY($J1057,2)+4)&amp;"-W"&amp;TEXT(WEEKNUM($J1057,21),"00"))</f>
        <v/>
      </c>
      <c r="B1057" s="41">
        <f>IF($J1057="","",COUNTIFS(Roster!$D$4:$D$500,"Active",Roster!$C$4:$C$500,"&lt;="&amp;$J1057))</f>
        <v/>
      </c>
      <c r="C1057">
        <f>IF($J1057="","",SUMIFS('Hours Log'!$C:$C,'Hours Log'!$A:$A,"&gt;="&amp;$J1057,'Hours Log'!$A:$A,"&lt;"&amp;$J1057+7)+SUMIFS('Hours Log'!$D:$D,'Hours Log'!$A:$A,"&gt;="&amp;$J1057,'Hours Log'!$A:$A,"&lt;"&amp;$J1057+7))</f>
        <v/>
      </c>
      <c r="D1057">
        <f>IF($J1057="","",SUMIFS('Hours Log'!$D:$D,'Hours Log'!$A:$A,"&gt;="&amp;$J1057,'Hours Log'!$A:$A,"&lt;"&amp;$J1057+7))</f>
        <v/>
      </c>
      <c r="E1057">
        <f>IF($J1057="","",IFERROR(C1057/(B1057*40),0))</f>
        <v/>
      </c>
      <c r="F1057">
        <f>IF($J1057="","",0)</f>
        <v/>
      </c>
      <c r="G1057">
        <f>IF($J1057="","",SUMIFS('Hours Log'!$E:$E,'Hours Log'!$A:$A,"&gt;="&amp;$J1057,'Hours Log'!$A:$A,"&lt;"&amp;$J1057+7))</f>
        <v/>
      </c>
      <c r="J1057">
        <f>IF(COUNT('Hours Log'!$A$4:$A$5000)=0,"",IF(MIN('Hours Log'!$A$4:$A$5000)+7*(ROW()-10)&gt;MAX('Hours Log'!$A$4:$A$5000),"",MIN('Hours Log'!$A$4:$A$5000)+7*(ROW()-10)))</f>
        <v/>
      </c>
    </row>
    <row r="1058">
      <c r="A1058">
        <f>IF($J1058="","",YEAR($J1058-WEEKDAY($J1058,2)+4)&amp;"-W"&amp;TEXT(WEEKNUM($J1058,21),"00"))</f>
        <v/>
      </c>
      <c r="B1058" s="41">
        <f>IF($J1058="","",COUNTIFS(Roster!$D$4:$D$500,"Active",Roster!$C$4:$C$500,"&lt;="&amp;$J1058))</f>
        <v/>
      </c>
      <c r="C1058">
        <f>IF($J1058="","",SUMIFS('Hours Log'!$C:$C,'Hours Log'!$A:$A,"&gt;="&amp;$J1058,'Hours Log'!$A:$A,"&lt;"&amp;$J1058+7)+SUMIFS('Hours Log'!$D:$D,'Hours Log'!$A:$A,"&gt;="&amp;$J1058,'Hours Log'!$A:$A,"&lt;"&amp;$J1058+7))</f>
        <v/>
      </c>
      <c r="D1058">
        <f>IF($J1058="","",SUMIFS('Hours Log'!$D:$D,'Hours Log'!$A:$A,"&gt;="&amp;$J1058,'Hours Log'!$A:$A,"&lt;"&amp;$J1058+7))</f>
        <v/>
      </c>
      <c r="E1058">
        <f>IF($J1058="","",IFERROR(C1058/(B1058*40),0))</f>
        <v/>
      </c>
      <c r="F1058">
        <f>IF($J1058="","",0)</f>
        <v/>
      </c>
      <c r="G1058">
        <f>IF($J1058="","",SUMIFS('Hours Log'!$E:$E,'Hours Log'!$A:$A,"&gt;="&amp;$J1058,'Hours Log'!$A:$A,"&lt;"&amp;$J1058+7))</f>
        <v/>
      </c>
      <c r="J1058">
        <f>IF(COUNT('Hours Log'!$A$4:$A$5000)=0,"",IF(MIN('Hours Log'!$A$4:$A$5000)+7*(ROW()-10)&gt;MAX('Hours Log'!$A$4:$A$5000),"",MIN('Hours Log'!$A$4:$A$5000)+7*(ROW()-10)))</f>
        <v/>
      </c>
    </row>
    <row r="1059">
      <c r="A1059">
        <f>IF($J1059="","",YEAR($J1059-WEEKDAY($J1059,2)+4)&amp;"-W"&amp;TEXT(WEEKNUM($J1059,21),"00"))</f>
        <v/>
      </c>
      <c r="B1059" s="41">
        <f>IF($J1059="","",COUNTIFS(Roster!$D$4:$D$500,"Active",Roster!$C$4:$C$500,"&lt;="&amp;$J1059))</f>
        <v/>
      </c>
      <c r="C1059">
        <f>IF($J1059="","",SUMIFS('Hours Log'!$C:$C,'Hours Log'!$A:$A,"&gt;="&amp;$J1059,'Hours Log'!$A:$A,"&lt;"&amp;$J1059+7)+SUMIFS('Hours Log'!$D:$D,'Hours Log'!$A:$A,"&gt;="&amp;$J1059,'Hours Log'!$A:$A,"&lt;"&amp;$J1059+7))</f>
        <v/>
      </c>
      <c r="D1059">
        <f>IF($J1059="","",SUMIFS('Hours Log'!$D:$D,'Hours Log'!$A:$A,"&gt;="&amp;$J1059,'Hours Log'!$A:$A,"&lt;"&amp;$J1059+7))</f>
        <v/>
      </c>
      <c r="E1059">
        <f>IF($J1059="","",IFERROR(C1059/(B1059*40),0))</f>
        <v/>
      </c>
      <c r="F1059">
        <f>IF($J1059="","",0)</f>
        <v/>
      </c>
      <c r="G1059">
        <f>IF($J1059="","",SUMIFS('Hours Log'!$E:$E,'Hours Log'!$A:$A,"&gt;="&amp;$J1059,'Hours Log'!$A:$A,"&lt;"&amp;$J1059+7))</f>
        <v/>
      </c>
      <c r="J1059">
        <f>IF(COUNT('Hours Log'!$A$4:$A$5000)=0,"",IF(MIN('Hours Log'!$A$4:$A$5000)+7*(ROW()-10)&gt;MAX('Hours Log'!$A$4:$A$5000),"",MIN('Hours Log'!$A$4:$A$5000)+7*(ROW()-10)))</f>
        <v/>
      </c>
    </row>
    <row r="1060">
      <c r="A1060">
        <f>IF($J1060="","",YEAR($J1060-WEEKDAY($J1060,2)+4)&amp;"-W"&amp;TEXT(WEEKNUM($J1060,21),"00"))</f>
        <v/>
      </c>
      <c r="B1060" s="41">
        <f>IF($J1060="","",COUNTIFS(Roster!$D$4:$D$500,"Active",Roster!$C$4:$C$500,"&lt;="&amp;$J1060))</f>
        <v/>
      </c>
      <c r="C1060">
        <f>IF($J1060="","",SUMIFS('Hours Log'!$C:$C,'Hours Log'!$A:$A,"&gt;="&amp;$J1060,'Hours Log'!$A:$A,"&lt;"&amp;$J1060+7)+SUMIFS('Hours Log'!$D:$D,'Hours Log'!$A:$A,"&gt;="&amp;$J1060,'Hours Log'!$A:$A,"&lt;"&amp;$J1060+7))</f>
        <v/>
      </c>
      <c r="D1060">
        <f>IF($J1060="","",SUMIFS('Hours Log'!$D:$D,'Hours Log'!$A:$A,"&gt;="&amp;$J1060,'Hours Log'!$A:$A,"&lt;"&amp;$J1060+7))</f>
        <v/>
      </c>
      <c r="E1060">
        <f>IF($J1060="","",IFERROR(C1060/(B1060*40),0))</f>
        <v/>
      </c>
      <c r="F1060">
        <f>IF($J1060="","",0)</f>
        <v/>
      </c>
      <c r="G1060">
        <f>IF($J1060="","",SUMIFS('Hours Log'!$E:$E,'Hours Log'!$A:$A,"&gt;="&amp;$J1060,'Hours Log'!$A:$A,"&lt;"&amp;$J1060+7))</f>
        <v/>
      </c>
      <c r="J1060">
        <f>IF(COUNT('Hours Log'!$A$4:$A$5000)=0,"",IF(MIN('Hours Log'!$A$4:$A$5000)+7*(ROW()-10)&gt;MAX('Hours Log'!$A$4:$A$5000),"",MIN('Hours Log'!$A$4:$A$5000)+7*(ROW()-10)))</f>
        <v/>
      </c>
    </row>
    <row r="1061">
      <c r="A1061">
        <f>IF($J1061="","",YEAR($J1061-WEEKDAY($J1061,2)+4)&amp;"-W"&amp;TEXT(WEEKNUM($J1061,21),"00"))</f>
        <v/>
      </c>
      <c r="B1061" s="41">
        <f>IF($J1061="","",COUNTIFS(Roster!$D$4:$D$500,"Active",Roster!$C$4:$C$500,"&lt;="&amp;$J1061))</f>
        <v/>
      </c>
      <c r="C1061">
        <f>IF($J1061="","",SUMIFS('Hours Log'!$C:$C,'Hours Log'!$A:$A,"&gt;="&amp;$J1061,'Hours Log'!$A:$A,"&lt;"&amp;$J1061+7)+SUMIFS('Hours Log'!$D:$D,'Hours Log'!$A:$A,"&gt;="&amp;$J1061,'Hours Log'!$A:$A,"&lt;"&amp;$J1061+7))</f>
        <v/>
      </c>
      <c r="D1061">
        <f>IF($J1061="","",SUMIFS('Hours Log'!$D:$D,'Hours Log'!$A:$A,"&gt;="&amp;$J1061,'Hours Log'!$A:$A,"&lt;"&amp;$J1061+7))</f>
        <v/>
      </c>
      <c r="E1061">
        <f>IF($J1061="","",IFERROR(C1061/(B1061*40),0))</f>
        <v/>
      </c>
      <c r="F1061">
        <f>IF($J1061="","",0)</f>
        <v/>
      </c>
      <c r="G1061">
        <f>IF($J1061="","",SUMIFS('Hours Log'!$E:$E,'Hours Log'!$A:$A,"&gt;="&amp;$J1061,'Hours Log'!$A:$A,"&lt;"&amp;$J1061+7))</f>
        <v/>
      </c>
      <c r="J1061">
        <f>IF(COUNT('Hours Log'!$A$4:$A$5000)=0,"",IF(MIN('Hours Log'!$A$4:$A$5000)+7*(ROW()-10)&gt;MAX('Hours Log'!$A$4:$A$5000),"",MIN('Hours Log'!$A$4:$A$5000)+7*(ROW()-10)))</f>
        <v/>
      </c>
    </row>
    <row r="1062">
      <c r="A1062">
        <f>IF($J1062="","",YEAR($J1062-WEEKDAY($J1062,2)+4)&amp;"-W"&amp;TEXT(WEEKNUM($J1062,21),"00"))</f>
        <v/>
      </c>
      <c r="B1062" s="41">
        <f>IF($J1062="","",COUNTIFS(Roster!$D$4:$D$500,"Active",Roster!$C$4:$C$500,"&lt;="&amp;$J1062))</f>
        <v/>
      </c>
      <c r="C1062">
        <f>IF($J1062="","",SUMIFS('Hours Log'!$C:$C,'Hours Log'!$A:$A,"&gt;="&amp;$J1062,'Hours Log'!$A:$A,"&lt;"&amp;$J1062+7)+SUMIFS('Hours Log'!$D:$D,'Hours Log'!$A:$A,"&gt;="&amp;$J1062,'Hours Log'!$A:$A,"&lt;"&amp;$J1062+7))</f>
        <v/>
      </c>
      <c r="D1062">
        <f>IF($J1062="","",SUMIFS('Hours Log'!$D:$D,'Hours Log'!$A:$A,"&gt;="&amp;$J1062,'Hours Log'!$A:$A,"&lt;"&amp;$J1062+7))</f>
        <v/>
      </c>
      <c r="E1062">
        <f>IF($J1062="","",IFERROR(C1062/(B1062*40),0))</f>
        <v/>
      </c>
      <c r="F1062">
        <f>IF($J1062="","",0)</f>
        <v/>
      </c>
      <c r="G1062">
        <f>IF($J1062="","",SUMIFS('Hours Log'!$E:$E,'Hours Log'!$A:$A,"&gt;="&amp;$J1062,'Hours Log'!$A:$A,"&lt;"&amp;$J1062+7))</f>
        <v/>
      </c>
      <c r="J1062">
        <f>IF(COUNT('Hours Log'!$A$4:$A$5000)=0,"",IF(MIN('Hours Log'!$A$4:$A$5000)+7*(ROW()-10)&gt;MAX('Hours Log'!$A$4:$A$5000),"",MIN('Hours Log'!$A$4:$A$5000)+7*(ROW()-10)))</f>
        <v/>
      </c>
    </row>
    <row r="1063">
      <c r="A1063">
        <f>IF($J1063="","",YEAR($J1063-WEEKDAY($J1063,2)+4)&amp;"-W"&amp;TEXT(WEEKNUM($J1063,21),"00"))</f>
        <v/>
      </c>
      <c r="B1063" s="41">
        <f>IF($J1063="","",COUNTIFS(Roster!$D$4:$D$500,"Active",Roster!$C$4:$C$500,"&lt;="&amp;$J1063))</f>
        <v/>
      </c>
      <c r="C1063">
        <f>IF($J1063="","",SUMIFS('Hours Log'!$C:$C,'Hours Log'!$A:$A,"&gt;="&amp;$J1063,'Hours Log'!$A:$A,"&lt;"&amp;$J1063+7)+SUMIFS('Hours Log'!$D:$D,'Hours Log'!$A:$A,"&gt;="&amp;$J1063,'Hours Log'!$A:$A,"&lt;"&amp;$J1063+7))</f>
        <v/>
      </c>
      <c r="D1063">
        <f>IF($J1063="","",SUMIFS('Hours Log'!$D:$D,'Hours Log'!$A:$A,"&gt;="&amp;$J1063,'Hours Log'!$A:$A,"&lt;"&amp;$J1063+7))</f>
        <v/>
      </c>
      <c r="E1063">
        <f>IF($J1063="","",IFERROR(C1063/(B1063*40),0))</f>
        <v/>
      </c>
      <c r="F1063">
        <f>IF($J1063="","",0)</f>
        <v/>
      </c>
      <c r="G1063">
        <f>IF($J1063="","",SUMIFS('Hours Log'!$E:$E,'Hours Log'!$A:$A,"&gt;="&amp;$J1063,'Hours Log'!$A:$A,"&lt;"&amp;$J1063+7))</f>
        <v/>
      </c>
      <c r="J1063">
        <f>IF(COUNT('Hours Log'!$A$4:$A$5000)=0,"",IF(MIN('Hours Log'!$A$4:$A$5000)+7*(ROW()-10)&gt;MAX('Hours Log'!$A$4:$A$5000),"",MIN('Hours Log'!$A$4:$A$5000)+7*(ROW()-10)))</f>
        <v/>
      </c>
    </row>
    <row r="1064">
      <c r="A1064">
        <f>IF($J1064="","",YEAR($J1064-WEEKDAY($J1064,2)+4)&amp;"-W"&amp;TEXT(WEEKNUM($J1064,21),"00"))</f>
        <v/>
      </c>
      <c r="B1064" s="41">
        <f>IF($J1064="","",COUNTIFS(Roster!$D$4:$D$500,"Active",Roster!$C$4:$C$500,"&lt;="&amp;$J1064))</f>
        <v/>
      </c>
      <c r="C1064">
        <f>IF($J1064="","",SUMIFS('Hours Log'!$C:$C,'Hours Log'!$A:$A,"&gt;="&amp;$J1064,'Hours Log'!$A:$A,"&lt;"&amp;$J1064+7)+SUMIFS('Hours Log'!$D:$D,'Hours Log'!$A:$A,"&gt;="&amp;$J1064,'Hours Log'!$A:$A,"&lt;"&amp;$J1064+7))</f>
        <v/>
      </c>
      <c r="D1064">
        <f>IF($J1064="","",SUMIFS('Hours Log'!$D:$D,'Hours Log'!$A:$A,"&gt;="&amp;$J1064,'Hours Log'!$A:$A,"&lt;"&amp;$J1064+7))</f>
        <v/>
      </c>
      <c r="E1064">
        <f>IF($J1064="","",IFERROR(C1064/(B1064*40),0))</f>
        <v/>
      </c>
      <c r="F1064">
        <f>IF($J1064="","",0)</f>
        <v/>
      </c>
      <c r="G1064">
        <f>IF($J1064="","",SUMIFS('Hours Log'!$E:$E,'Hours Log'!$A:$A,"&gt;="&amp;$J1064,'Hours Log'!$A:$A,"&lt;"&amp;$J1064+7))</f>
        <v/>
      </c>
      <c r="J1064">
        <f>IF(COUNT('Hours Log'!$A$4:$A$5000)=0,"",IF(MIN('Hours Log'!$A$4:$A$5000)+7*(ROW()-10)&gt;MAX('Hours Log'!$A$4:$A$5000),"",MIN('Hours Log'!$A$4:$A$5000)+7*(ROW()-10)))</f>
        <v/>
      </c>
    </row>
    <row r="1065">
      <c r="A1065">
        <f>IF($J1065="","",YEAR($J1065-WEEKDAY($J1065,2)+4)&amp;"-W"&amp;TEXT(WEEKNUM($J1065,21),"00"))</f>
        <v/>
      </c>
      <c r="B1065" s="41">
        <f>IF($J1065="","",COUNTIFS(Roster!$D$4:$D$500,"Active",Roster!$C$4:$C$500,"&lt;="&amp;$J1065))</f>
        <v/>
      </c>
      <c r="C1065">
        <f>IF($J1065="","",SUMIFS('Hours Log'!$C:$C,'Hours Log'!$A:$A,"&gt;="&amp;$J1065,'Hours Log'!$A:$A,"&lt;"&amp;$J1065+7)+SUMIFS('Hours Log'!$D:$D,'Hours Log'!$A:$A,"&gt;="&amp;$J1065,'Hours Log'!$A:$A,"&lt;"&amp;$J1065+7))</f>
        <v/>
      </c>
      <c r="D1065">
        <f>IF($J1065="","",SUMIFS('Hours Log'!$D:$D,'Hours Log'!$A:$A,"&gt;="&amp;$J1065,'Hours Log'!$A:$A,"&lt;"&amp;$J1065+7))</f>
        <v/>
      </c>
      <c r="E1065">
        <f>IF($J1065="","",IFERROR(C1065/(B1065*40),0))</f>
        <v/>
      </c>
      <c r="F1065">
        <f>IF($J1065="","",0)</f>
        <v/>
      </c>
      <c r="G1065">
        <f>IF($J1065="","",SUMIFS('Hours Log'!$E:$E,'Hours Log'!$A:$A,"&gt;="&amp;$J1065,'Hours Log'!$A:$A,"&lt;"&amp;$J1065+7))</f>
        <v/>
      </c>
      <c r="J1065">
        <f>IF(COUNT('Hours Log'!$A$4:$A$5000)=0,"",IF(MIN('Hours Log'!$A$4:$A$5000)+7*(ROW()-10)&gt;MAX('Hours Log'!$A$4:$A$5000),"",MIN('Hours Log'!$A$4:$A$5000)+7*(ROW()-10)))</f>
        <v/>
      </c>
    </row>
    <row r="1066">
      <c r="A1066">
        <f>IF($J1066="","",YEAR($J1066-WEEKDAY($J1066,2)+4)&amp;"-W"&amp;TEXT(WEEKNUM($J1066,21),"00"))</f>
        <v/>
      </c>
      <c r="B1066" s="41">
        <f>IF($J1066="","",COUNTIFS(Roster!$D$4:$D$500,"Active",Roster!$C$4:$C$500,"&lt;="&amp;$J1066))</f>
        <v/>
      </c>
      <c r="C1066">
        <f>IF($J1066="","",SUMIFS('Hours Log'!$C:$C,'Hours Log'!$A:$A,"&gt;="&amp;$J1066,'Hours Log'!$A:$A,"&lt;"&amp;$J1066+7)+SUMIFS('Hours Log'!$D:$D,'Hours Log'!$A:$A,"&gt;="&amp;$J1066,'Hours Log'!$A:$A,"&lt;"&amp;$J1066+7))</f>
        <v/>
      </c>
      <c r="D1066">
        <f>IF($J1066="","",SUMIFS('Hours Log'!$D:$D,'Hours Log'!$A:$A,"&gt;="&amp;$J1066,'Hours Log'!$A:$A,"&lt;"&amp;$J1066+7))</f>
        <v/>
      </c>
      <c r="E1066">
        <f>IF($J1066="","",IFERROR(C1066/(B1066*40),0))</f>
        <v/>
      </c>
      <c r="F1066">
        <f>IF($J1066="","",0)</f>
        <v/>
      </c>
      <c r="G1066">
        <f>IF($J1066="","",SUMIFS('Hours Log'!$E:$E,'Hours Log'!$A:$A,"&gt;="&amp;$J1066,'Hours Log'!$A:$A,"&lt;"&amp;$J1066+7))</f>
        <v/>
      </c>
      <c r="J1066">
        <f>IF(COUNT('Hours Log'!$A$4:$A$5000)=0,"",IF(MIN('Hours Log'!$A$4:$A$5000)+7*(ROW()-10)&gt;MAX('Hours Log'!$A$4:$A$5000),"",MIN('Hours Log'!$A$4:$A$5000)+7*(ROW()-10)))</f>
        <v/>
      </c>
    </row>
    <row r="1067">
      <c r="A1067">
        <f>IF($J1067="","",YEAR($J1067-WEEKDAY($J1067,2)+4)&amp;"-W"&amp;TEXT(WEEKNUM($J1067,21),"00"))</f>
        <v/>
      </c>
      <c r="B1067" s="41">
        <f>IF($J1067="","",COUNTIFS(Roster!$D$4:$D$500,"Active",Roster!$C$4:$C$500,"&lt;="&amp;$J1067))</f>
        <v/>
      </c>
      <c r="C1067">
        <f>IF($J1067="","",SUMIFS('Hours Log'!$C:$C,'Hours Log'!$A:$A,"&gt;="&amp;$J1067,'Hours Log'!$A:$A,"&lt;"&amp;$J1067+7)+SUMIFS('Hours Log'!$D:$D,'Hours Log'!$A:$A,"&gt;="&amp;$J1067,'Hours Log'!$A:$A,"&lt;"&amp;$J1067+7))</f>
        <v/>
      </c>
      <c r="D1067">
        <f>IF($J1067="","",SUMIFS('Hours Log'!$D:$D,'Hours Log'!$A:$A,"&gt;="&amp;$J1067,'Hours Log'!$A:$A,"&lt;"&amp;$J1067+7))</f>
        <v/>
      </c>
      <c r="E1067">
        <f>IF($J1067="","",IFERROR(C1067/(B1067*40),0))</f>
        <v/>
      </c>
      <c r="F1067">
        <f>IF($J1067="","",0)</f>
        <v/>
      </c>
      <c r="G1067">
        <f>IF($J1067="","",SUMIFS('Hours Log'!$E:$E,'Hours Log'!$A:$A,"&gt;="&amp;$J1067,'Hours Log'!$A:$A,"&lt;"&amp;$J1067+7))</f>
        <v/>
      </c>
      <c r="J1067">
        <f>IF(COUNT('Hours Log'!$A$4:$A$5000)=0,"",IF(MIN('Hours Log'!$A$4:$A$5000)+7*(ROW()-10)&gt;MAX('Hours Log'!$A$4:$A$5000),"",MIN('Hours Log'!$A$4:$A$5000)+7*(ROW()-10)))</f>
        <v/>
      </c>
    </row>
    <row r="1068">
      <c r="A1068">
        <f>IF($J1068="","",YEAR($J1068-WEEKDAY($J1068,2)+4)&amp;"-W"&amp;TEXT(WEEKNUM($J1068,21),"00"))</f>
        <v/>
      </c>
      <c r="B1068" s="41">
        <f>IF($J1068="","",COUNTIFS(Roster!$D$4:$D$500,"Active",Roster!$C$4:$C$500,"&lt;="&amp;$J1068))</f>
        <v/>
      </c>
      <c r="C1068">
        <f>IF($J1068="","",SUMIFS('Hours Log'!$C:$C,'Hours Log'!$A:$A,"&gt;="&amp;$J1068,'Hours Log'!$A:$A,"&lt;"&amp;$J1068+7)+SUMIFS('Hours Log'!$D:$D,'Hours Log'!$A:$A,"&gt;="&amp;$J1068,'Hours Log'!$A:$A,"&lt;"&amp;$J1068+7))</f>
        <v/>
      </c>
      <c r="D1068">
        <f>IF($J1068="","",SUMIFS('Hours Log'!$D:$D,'Hours Log'!$A:$A,"&gt;="&amp;$J1068,'Hours Log'!$A:$A,"&lt;"&amp;$J1068+7))</f>
        <v/>
      </c>
      <c r="E1068">
        <f>IF($J1068="","",IFERROR(C1068/(B1068*40),0))</f>
        <v/>
      </c>
      <c r="F1068">
        <f>IF($J1068="","",0)</f>
        <v/>
      </c>
      <c r="G1068">
        <f>IF($J1068="","",SUMIFS('Hours Log'!$E:$E,'Hours Log'!$A:$A,"&gt;="&amp;$J1068,'Hours Log'!$A:$A,"&lt;"&amp;$J1068+7))</f>
        <v/>
      </c>
      <c r="J1068">
        <f>IF(COUNT('Hours Log'!$A$4:$A$5000)=0,"",IF(MIN('Hours Log'!$A$4:$A$5000)+7*(ROW()-10)&gt;MAX('Hours Log'!$A$4:$A$5000),"",MIN('Hours Log'!$A$4:$A$5000)+7*(ROW()-10)))</f>
        <v/>
      </c>
    </row>
    <row r="1069">
      <c r="A1069">
        <f>IF($J1069="","",YEAR($J1069-WEEKDAY($J1069,2)+4)&amp;"-W"&amp;TEXT(WEEKNUM($J1069,21),"00"))</f>
        <v/>
      </c>
      <c r="B1069" s="41">
        <f>IF($J1069="","",COUNTIFS(Roster!$D$4:$D$500,"Active",Roster!$C$4:$C$500,"&lt;="&amp;$J1069))</f>
        <v/>
      </c>
      <c r="C1069">
        <f>IF($J1069="","",SUMIFS('Hours Log'!$C:$C,'Hours Log'!$A:$A,"&gt;="&amp;$J1069,'Hours Log'!$A:$A,"&lt;"&amp;$J1069+7)+SUMIFS('Hours Log'!$D:$D,'Hours Log'!$A:$A,"&gt;="&amp;$J1069,'Hours Log'!$A:$A,"&lt;"&amp;$J1069+7))</f>
        <v/>
      </c>
      <c r="D1069">
        <f>IF($J1069="","",SUMIFS('Hours Log'!$D:$D,'Hours Log'!$A:$A,"&gt;="&amp;$J1069,'Hours Log'!$A:$A,"&lt;"&amp;$J1069+7))</f>
        <v/>
      </c>
      <c r="E1069">
        <f>IF($J1069="","",IFERROR(C1069/(B1069*40),0))</f>
        <v/>
      </c>
      <c r="F1069">
        <f>IF($J1069="","",0)</f>
        <v/>
      </c>
      <c r="G1069">
        <f>IF($J1069="","",SUMIFS('Hours Log'!$E:$E,'Hours Log'!$A:$A,"&gt;="&amp;$J1069,'Hours Log'!$A:$A,"&lt;"&amp;$J1069+7))</f>
        <v/>
      </c>
      <c r="J1069">
        <f>IF(COUNT('Hours Log'!$A$4:$A$5000)=0,"",IF(MIN('Hours Log'!$A$4:$A$5000)+7*(ROW()-10)&gt;MAX('Hours Log'!$A$4:$A$5000),"",MIN('Hours Log'!$A$4:$A$5000)+7*(ROW()-10)))</f>
        <v/>
      </c>
    </row>
    <row r="1070">
      <c r="A1070">
        <f>IF($J1070="","",YEAR($J1070-WEEKDAY($J1070,2)+4)&amp;"-W"&amp;TEXT(WEEKNUM($J1070,21),"00"))</f>
        <v/>
      </c>
      <c r="B1070" s="41">
        <f>IF($J1070="","",COUNTIFS(Roster!$D$4:$D$500,"Active",Roster!$C$4:$C$500,"&lt;="&amp;$J1070))</f>
        <v/>
      </c>
      <c r="C1070">
        <f>IF($J1070="","",SUMIFS('Hours Log'!$C:$C,'Hours Log'!$A:$A,"&gt;="&amp;$J1070,'Hours Log'!$A:$A,"&lt;"&amp;$J1070+7)+SUMIFS('Hours Log'!$D:$D,'Hours Log'!$A:$A,"&gt;="&amp;$J1070,'Hours Log'!$A:$A,"&lt;"&amp;$J1070+7))</f>
        <v/>
      </c>
      <c r="D1070">
        <f>IF($J1070="","",SUMIFS('Hours Log'!$D:$D,'Hours Log'!$A:$A,"&gt;="&amp;$J1070,'Hours Log'!$A:$A,"&lt;"&amp;$J1070+7))</f>
        <v/>
      </c>
      <c r="E1070">
        <f>IF($J1070="","",IFERROR(C1070/(B1070*40),0))</f>
        <v/>
      </c>
      <c r="F1070">
        <f>IF($J1070="","",0)</f>
        <v/>
      </c>
      <c r="G1070">
        <f>IF($J1070="","",SUMIFS('Hours Log'!$E:$E,'Hours Log'!$A:$A,"&gt;="&amp;$J1070,'Hours Log'!$A:$A,"&lt;"&amp;$J1070+7))</f>
        <v/>
      </c>
      <c r="J1070">
        <f>IF(COUNT('Hours Log'!$A$4:$A$5000)=0,"",IF(MIN('Hours Log'!$A$4:$A$5000)+7*(ROW()-10)&gt;MAX('Hours Log'!$A$4:$A$5000),"",MIN('Hours Log'!$A$4:$A$5000)+7*(ROW()-10)))</f>
        <v/>
      </c>
    </row>
    <row r="1071">
      <c r="A1071">
        <f>IF($J1071="","",YEAR($J1071-WEEKDAY($J1071,2)+4)&amp;"-W"&amp;TEXT(WEEKNUM($J1071,21),"00"))</f>
        <v/>
      </c>
      <c r="B1071" s="41">
        <f>IF($J1071="","",COUNTIFS(Roster!$D$4:$D$500,"Active",Roster!$C$4:$C$500,"&lt;="&amp;$J1071))</f>
        <v/>
      </c>
      <c r="C1071">
        <f>IF($J1071="","",SUMIFS('Hours Log'!$C:$C,'Hours Log'!$A:$A,"&gt;="&amp;$J1071,'Hours Log'!$A:$A,"&lt;"&amp;$J1071+7)+SUMIFS('Hours Log'!$D:$D,'Hours Log'!$A:$A,"&gt;="&amp;$J1071,'Hours Log'!$A:$A,"&lt;"&amp;$J1071+7))</f>
        <v/>
      </c>
      <c r="D1071">
        <f>IF($J1071="","",SUMIFS('Hours Log'!$D:$D,'Hours Log'!$A:$A,"&gt;="&amp;$J1071,'Hours Log'!$A:$A,"&lt;"&amp;$J1071+7))</f>
        <v/>
      </c>
      <c r="E1071">
        <f>IF($J1071="","",IFERROR(C1071/(B1071*40),0))</f>
        <v/>
      </c>
      <c r="F1071">
        <f>IF($J1071="","",0)</f>
        <v/>
      </c>
      <c r="G1071">
        <f>IF($J1071="","",SUMIFS('Hours Log'!$E:$E,'Hours Log'!$A:$A,"&gt;="&amp;$J1071,'Hours Log'!$A:$A,"&lt;"&amp;$J1071+7))</f>
        <v/>
      </c>
      <c r="J1071">
        <f>IF(COUNT('Hours Log'!$A$4:$A$5000)=0,"",IF(MIN('Hours Log'!$A$4:$A$5000)+7*(ROW()-10)&gt;MAX('Hours Log'!$A$4:$A$5000),"",MIN('Hours Log'!$A$4:$A$5000)+7*(ROW()-10)))</f>
        <v/>
      </c>
    </row>
    <row r="1072">
      <c r="A1072">
        <f>IF($J1072="","",YEAR($J1072-WEEKDAY($J1072,2)+4)&amp;"-W"&amp;TEXT(WEEKNUM($J1072,21),"00"))</f>
        <v/>
      </c>
      <c r="B1072" s="41">
        <f>IF($J1072="","",COUNTIFS(Roster!$D$4:$D$500,"Active",Roster!$C$4:$C$500,"&lt;="&amp;$J1072))</f>
        <v/>
      </c>
      <c r="C1072">
        <f>IF($J1072="","",SUMIFS('Hours Log'!$C:$C,'Hours Log'!$A:$A,"&gt;="&amp;$J1072,'Hours Log'!$A:$A,"&lt;"&amp;$J1072+7)+SUMIFS('Hours Log'!$D:$D,'Hours Log'!$A:$A,"&gt;="&amp;$J1072,'Hours Log'!$A:$A,"&lt;"&amp;$J1072+7))</f>
        <v/>
      </c>
      <c r="D1072">
        <f>IF($J1072="","",SUMIFS('Hours Log'!$D:$D,'Hours Log'!$A:$A,"&gt;="&amp;$J1072,'Hours Log'!$A:$A,"&lt;"&amp;$J1072+7))</f>
        <v/>
      </c>
      <c r="E1072">
        <f>IF($J1072="","",IFERROR(C1072/(B1072*40),0))</f>
        <v/>
      </c>
      <c r="F1072">
        <f>IF($J1072="","",0)</f>
        <v/>
      </c>
      <c r="G1072">
        <f>IF($J1072="","",SUMIFS('Hours Log'!$E:$E,'Hours Log'!$A:$A,"&gt;="&amp;$J1072,'Hours Log'!$A:$A,"&lt;"&amp;$J1072+7))</f>
        <v/>
      </c>
      <c r="J1072">
        <f>IF(COUNT('Hours Log'!$A$4:$A$5000)=0,"",IF(MIN('Hours Log'!$A$4:$A$5000)+7*(ROW()-10)&gt;MAX('Hours Log'!$A$4:$A$5000),"",MIN('Hours Log'!$A$4:$A$5000)+7*(ROW()-10)))</f>
        <v/>
      </c>
    </row>
    <row r="1073">
      <c r="A1073">
        <f>IF($J1073="","",YEAR($J1073-WEEKDAY($J1073,2)+4)&amp;"-W"&amp;TEXT(WEEKNUM($J1073,21),"00"))</f>
        <v/>
      </c>
      <c r="B1073" s="41">
        <f>IF($J1073="","",COUNTIFS(Roster!$D$4:$D$500,"Active",Roster!$C$4:$C$500,"&lt;="&amp;$J1073))</f>
        <v/>
      </c>
      <c r="C1073">
        <f>IF($J1073="","",SUMIFS('Hours Log'!$C:$C,'Hours Log'!$A:$A,"&gt;="&amp;$J1073,'Hours Log'!$A:$A,"&lt;"&amp;$J1073+7)+SUMIFS('Hours Log'!$D:$D,'Hours Log'!$A:$A,"&gt;="&amp;$J1073,'Hours Log'!$A:$A,"&lt;"&amp;$J1073+7))</f>
        <v/>
      </c>
      <c r="D1073">
        <f>IF($J1073="","",SUMIFS('Hours Log'!$D:$D,'Hours Log'!$A:$A,"&gt;="&amp;$J1073,'Hours Log'!$A:$A,"&lt;"&amp;$J1073+7))</f>
        <v/>
      </c>
      <c r="E1073">
        <f>IF($J1073="","",IFERROR(C1073/(B1073*40),0))</f>
        <v/>
      </c>
      <c r="F1073">
        <f>IF($J1073="","",0)</f>
        <v/>
      </c>
      <c r="G1073">
        <f>IF($J1073="","",SUMIFS('Hours Log'!$E:$E,'Hours Log'!$A:$A,"&gt;="&amp;$J1073,'Hours Log'!$A:$A,"&lt;"&amp;$J1073+7))</f>
        <v/>
      </c>
      <c r="J1073">
        <f>IF(COUNT('Hours Log'!$A$4:$A$5000)=0,"",IF(MIN('Hours Log'!$A$4:$A$5000)+7*(ROW()-10)&gt;MAX('Hours Log'!$A$4:$A$5000),"",MIN('Hours Log'!$A$4:$A$5000)+7*(ROW()-10)))</f>
        <v/>
      </c>
    </row>
    <row r="1074">
      <c r="A1074">
        <f>IF($J1074="","",YEAR($J1074-WEEKDAY($J1074,2)+4)&amp;"-W"&amp;TEXT(WEEKNUM($J1074,21),"00"))</f>
        <v/>
      </c>
      <c r="B1074" s="41">
        <f>IF($J1074="","",COUNTIFS(Roster!$D$4:$D$500,"Active",Roster!$C$4:$C$500,"&lt;="&amp;$J1074))</f>
        <v/>
      </c>
      <c r="C1074">
        <f>IF($J1074="","",SUMIFS('Hours Log'!$C:$C,'Hours Log'!$A:$A,"&gt;="&amp;$J1074,'Hours Log'!$A:$A,"&lt;"&amp;$J1074+7)+SUMIFS('Hours Log'!$D:$D,'Hours Log'!$A:$A,"&gt;="&amp;$J1074,'Hours Log'!$A:$A,"&lt;"&amp;$J1074+7))</f>
        <v/>
      </c>
      <c r="D1074">
        <f>IF($J1074="","",SUMIFS('Hours Log'!$D:$D,'Hours Log'!$A:$A,"&gt;="&amp;$J1074,'Hours Log'!$A:$A,"&lt;"&amp;$J1074+7))</f>
        <v/>
      </c>
      <c r="E1074">
        <f>IF($J1074="","",IFERROR(C1074/(B1074*40),0))</f>
        <v/>
      </c>
      <c r="F1074">
        <f>IF($J1074="","",0)</f>
        <v/>
      </c>
      <c r="G1074">
        <f>IF($J1074="","",SUMIFS('Hours Log'!$E:$E,'Hours Log'!$A:$A,"&gt;="&amp;$J1074,'Hours Log'!$A:$A,"&lt;"&amp;$J1074+7))</f>
        <v/>
      </c>
      <c r="J1074">
        <f>IF(COUNT('Hours Log'!$A$4:$A$5000)=0,"",IF(MIN('Hours Log'!$A$4:$A$5000)+7*(ROW()-10)&gt;MAX('Hours Log'!$A$4:$A$5000),"",MIN('Hours Log'!$A$4:$A$5000)+7*(ROW()-10)))</f>
        <v/>
      </c>
    </row>
    <row r="1075">
      <c r="A1075">
        <f>IF($J1075="","",YEAR($J1075-WEEKDAY($J1075,2)+4)&amp;"-W"&amp;TEXT(WEEKNUM($J1075,21),"00"))</f>
        <v/>
      </c>
      <c r="B1075" s="41">
        <f>IF($J1075="","",COUNTIFS(Roster!$D$4:$D$500,"Active",Roster!$C$4:$C$500,"&lt;="&amp;$J1075))</f>
        <v/>
      </c>
      <c r="C1075">
        <f>IF($J1075="","",SUMIFS('Hours Log'!$C:$C,'Hours Log'!$A:$A,"&gt;="&amp;$J1075,'Hours Log'!$A:$A,"&lt;"&amp;$J1075+7)+SUMIFS('Hours Log'!$D:$D,'Hours Log'!$A:$A,"&gt;="&amp;$J1075,'Hours Log'!$A:$A,"&lt;"&amp;$J1075+7))</f>
        <v/>
      </c>
      <c r="D1075">
        <f>IF($J1075="","",SUMIFS('Hours Log'!$D:$D,'Hours Log'!$A:$A,"&gt;="&amp;$J1075,'Hours Log'!$A:$A,"&lt;"&amp;$J1075+7))</f>
        <v/>
      </c>
      <c r="E1075">
        <f>IF($J1075="","",IFERROR(C1075/(B1075*40),0))</f>
        <v/>
      </c>
      <c r="F1075">
        <f>IF($J1075="","",0)</f>
        <v/>
      </c>
      <c r="G1075">
        <f>IF($J1075="","",SUMIFS('Hours Log'!$E:$E,'Hours Log'!$A:$A,"&gt;="&amp;$J1075,'Hours Log'!$A:$A,"&lt;"&amp;$J1075+7))</f>
        <v/>
      </c>
      <c r="J1075">
        <f>IF(COUNT('Hours Log'!$A$4:$A$5000)=0,"",IF(MIN('Hours Log'!$A$4:$A$5000)+7*(ROW()-10)&gt;MAX('Hours Log'!$A$4:$A$5000),"",MIN('Hours Log'!$A$4:$A$5000)+7*(ROW()-10)))</f>
        <v/>
      </c>
    </row>
    <row r="1076">
      <c r="A1076">
        <f>IF($J1076="","",YEAR($J1076-WEEKDAY($J1076,2)+4)&amp;"-W"&amp;TEXT(WEEKNUM($J1076,21),"00"))</f>
        <v/>
      </c>
      <c r="B1076" s="41">
        <f>IF($J1076="","",COUNTIFS(Roster!$D$4:$D$500,"Active",Roster!$C$4:$C$500,"&lt;="&amp;$J1076))</f>
        <v/>
      </c>
      <c r="C1076">
        <f>IF($J1076="","",SUMIFS('Hours Log'!$C:$C,'Hours Log'!$A:$A,"&gt;="&amp;$J1076,'Hours Log'!$A:$A,"&lt;"&amp;$J1076+7)+SUMIFS('Hours Log'!$D:$D,'Hours Log'!$A:$A,"&gt;="&amp;$J1076,'Hours Log'!$A:$A,"&lt;"&amp;$J1076+7))</f>
        <v/>
      </c>
      <c r="D1076">
        <f>IF($J1076="","",SUMIFS('Hours Log'!$D:$D,'Hours Log'!$A:$A,"&gt;="&amp;$J1076,'Hours Log'!$A:$A,"&lt;"&amp;$J1076+7))</f>
        <v/>
      </c>
      <c r="E1076">
        <f>IF($J1076="","",IFERROR(C1076/(B1076*40),0))</f>
        <v/>
      </c>
      <c r="F1076">
        <f>IF($J1076="","",0)</f>
        <v/>
      </c>
      <c r="G1076">
        <f>IF($J1076="","",SUMIFS('Hours Log'!$E:$E,'Hours Log'!$A:$A,"&gt;="&amp;$J1076,'Hours Log'!$A:$A,"&lt;"&amp;$J1076+7))</f>
        <v/>
      </c>
      <c r="J1076">
        <f>IF(COUNT('Hours Log'!$A$4:$A$5000)=0,"",IF(MIN('Hours Log'!$A$4:$A$5000)+7*(ROW()-10)&gt;MAX('Hours Log'!$A$4:$A$5000),"",MIN('Hours Log'!$A$4:$A$5000)+7*(ROW()-10)))</f>
        <v/>
      </c>
    </row>
    <row r="1077">
      <c r="A1077">
        <f>IF($J1077="","",YEAR($J1077-WEEKDAY($J1077,2)+4)&amp;"-W"&amp;TEXT(WEEKNUM($J1077,21),"00"))</f>
        <v/>
      </c>
      <c r="B1077" s="41">
        <f>IF($J1077="","",COUNTIFS(Roster!$D$4:$D$500,"Active",Roster!$C$4:$C$500,"&lt;="&amp;$J1077))</f>
        <v/>
      </c>
      <c r="C1077">
        <f>IF($J1077="","",SUMIFS('Hours Log'!$C:$C,'Hours Log'!$A:$A,"&gt;="&amp;$J1077,'Hours Log'!$A:$A,"&lt;"&amp;$J1077+7)+SUMIFS('Hours Log'!$D:$D,'Hours Log'!$A:$A,"&gt;="&amp;$J1077,'Hours Log'!$A:$A,"&lt;"&amp;$J1077+7))</f>
        <v/>
      </c>
      <c r="D1077">
        <f>IF($J1077="","",SUMIFS('Hours Log'!$D:$D,'Hours Log'!$A:$A,"&gt;="&amp;$J1077,'Hours Log'!$A:$A,"&lt;"&amp;$J1077+7))</f>
        <v/>
      </c>
      <c r="E1077">
        <f>IF($J1077="","",IFERROR(C1077/(B1077*40),0))</f>
        <v/>
      </c>
      <c r="F1077">
        <f>IF($J1077="","",0)</f>
        <v/>
      </c>
      <c r="G1077">
        <f>IF($J1077="","",SUMIFS('Hours Log'!$E:$E,'Hours Log'!$A:$A,"&gt;="&amp;$J1077,'Hours Log'!$A:$A,"&lt;"&amp;$J1077+7))</f>
        <v/>
      </c>
      <c r="J1077">
        <f>IF(COUNT('Hours Log'!$A$4:$A$5000)=0,"",IF(MIN('Hours Log'!$A$4:$A$5000)+7*(ROW()-10)&gt;MAX('Hours Log'!$A$4:$A$5000),"",MIN('Hours Log'!$A$4:$A$5000)+7*(ROW()-10)))</f>
        <v/>
      </c>
    </row>
    <row r="1078">
      <c r="A1078">
        <f>IF($J1078="","",YEAR($J1078-WEEKDAY($J1078,2)+4)&amp;"-W"&amp;TEXT(WEEKNUM($J1078,21),"00"))</f>
        <v/>
      </c>
      <c r="B1078" s="41">
        <f>IF($J1078="","",COUNTIFS(Roster!$D$4:$D$500,"Active",Roster!$C$4:$C$500,"&lt;="&amp;$J1078))</f>
        <v/>
      </c>
      <c r="C1078">
        <f>IF($J1078="","",SUMIFS('Hours Log'!$C:$C,'Hours Log'!$A:$A,"&gt;="&amp;$J1078,'Hours Log'!$A:$A,"&lt;"&amp;$J1078+7)+SUMIFS('Hours Log'!$D:$D,'Hours Log'!$A:$A,"&gt;="&amp;$J1078,'Hours Log'!$A:$A,"&lt;"&amp;$J1078+7))</f>
        <v/>
      </c>
      <c r="D1078">
        <f>IF($J1078="","",SUMIFS('Hours Log'!$D:$D,'Hours Log'!$A:$A,"&gt;="&amp;$J1078,'Hours Log'!$A:$A,"&lt;"&amp;$J1078+7))</f>
        <v/>
      </c>
      <c r="E1078">
        <f>IF($J1078="","",IFERROR(C1078/(B1078*40),0))</f>
        <v/>
      </c>
      <c r="F1078">
        <f>IF($J1078="","",0)</f>
        <v/>
      </c>
      <c r="G1078">
        <f>IF($J1078="","",SUMIFS('Hours Log'!$E:$E,'Hours Log'!$A:$A,"&gt;="&amp;$J1078,'Hours Log'!$A:$A,"&lt;"&amp;$J1078+7))</f>
        <v/>
      </c>
      <c r="J1078">
        <f>IF(COUNT('Hours Log'!$A$4:$A$5000)=0,"",IF(MIN('Hours Log'!$A$4:$A$5000)+7*(ROW()-10)&gt;MAX('Hours Log'!$A$4:$A$5000),"",MIN('Hours Log'!$A$4:$A$5000)+7*(ROW()-10)))</f>
        <v/>
      </c>
    </row>
    <row r="1079">
      <c r="A1079">
        <f>IF($J1079="","",YEAR($J1079-WEEKDAY($J1079,2)+4)&amp;"-W"&amp;TEXT(WEEKNUM($J1079,21),"00"))</f>
        <v/>
      </c>
      <c r="B1079" s="41">
        <f>IF($J1079="","",COUNTIFS(Roster!$D$4:$D$500,"Active",Roster!$C$4:$C$500,"&lt;="&amp;$J1079))</f>
        <v/>
      </c>
      <c r="C1079">
        <f>IF($J1079="","",SUMIFS('Hours Log'!$C:$C,'Hours Log'!$A:$A,"&gt;="&amp;$J1079,'Hours Log'!$A:$A,"&lt;"&amp;$J1079+7)+SUMIFS('Hours Log'!$D:$D,'Hours Log'!$A:$A,"&gt;="&amp;$J1079,'Hours Log'!$A:$A,"&lt;"&amp;$J1079+7))</f>
        <v/>
      </c>
      <c r="D1079">
        <f>IF($J1079="","",SUMIFS('Hours Log'!$D:$D,'Hours Log'!$A:$A,"&gt;="&amp;$J1079,'Hours Log'!$A:$A,"&lt;"&amp;$J1079+7))</f>
        <v/>
      </c>
      <c r="E1079">
        <f>IF($J1079="","",IFERROR(C1079/(B1079*40),0))</f>
        <v/>
      </c>
      <c r="F1079">
        <f>IF($J1079="","",0)</f>
        <v/>
      </c>
      <c r="G1079">
        <f>IF($J1079="","",SUMIFS('Hours Log'!$E:$E,'Hours Log'!$A:$A,"&gt;="&amp;$J1079,'Hours Log'!$A:$A,"&lt;"&amp;$J1079+7))</f>
        <v/>
      </c>
      <c r="J1079">
        <f>IF(COUNT('Hours Log'!$A$4:$A$5000)=0,"",IF(MIN('Hours Log'!$A$4:$A$5000)+7*(ROW()-10)&gt;MAX('Hours Log'!$A$4:$A$5000),"",MIN('Hours Log'!$A$4:$A$5000)+7*(ROW()-10)))</f>
        <v/>
      </c>
    </row>
    <row r="1080">
      <c r="A1080">
        <f>IF($J1080="","",YEAR($J1080-WEEKDAY($J1080,2)+4)&amp;"-W"&amp;TEXT(WEEKNUM($J1080,21),"00"))</f>
        <v/>
      </c>
      <c r="B1080" s="41">
        <f>IF($J1080="","",COUNTIFS(Roster!$D$4:$D$500,"Active",Roster!$C$4:$C$500,"&lt;="&amp;$J1080))</f>
        <v/>
      </c>
      <c r="C1080">
        <f>IF($J1080="","",SUMIFS('Hours Log'!$C:$C,'Hours Log'!$A:$A,"&gt;="&amp;$J1080,'Hours Log'!$A:$A,"&lt;"&amp;$J1080+7)+SUMIFS('Hours Log'!$D:$D,'Hours Log'!$A:$A,"&gt;="&amp;$J1080,'Hours Log'!$A:$A,"&lt;"&amp;$J1080+7))</f>
        <v/>
      </c>
      <c r="D1080">
        <f>IF($J1080="","",SUMIFS('Hours Log'!$D:$D,'Hours Log'!$A:$A,"&gt;="&amp;$J1080,'Hours Log'!$A:$A,"&lt;"&amp;$J1080+7))</f>
        <v/>
      </c>
      <c r="E1080">
        <f>IF($J1080="","",IFERROR(C1080/(B1080*40),0))</f>
        <v/>
      </c>
      <c r="F1080">
        <f>IF($J1080="","",0)</f>
        <v/>
      </c>
      <c r="G1080">
        <f>IF($J1080="","",SUMIFS('Hours Log'!$E:$E,'Hours Log'!$A:$A,"&gt;="&amp;$J1080,'Hours Log'!$A:$A,"&lt;"&amp;$J1080+7))</f>
        <v/>
      </c>
      <c r="J1080">
        <f>IF(COUNT('Hours Log'!$A$4:$A$5000)=0,"",IF(MIN('Hours Log'!$A$4:$A$5000)+7*(ROW()-10)&gt;MAX('Hours Log'!$A$4:$A$5000),"",MIN('Hours Log'!$A$4:$A$5000)+7*(ROW()-10)))</f>
        <v/>
      </c>
    </row>
    <row r="1081">
      <c r="A1081">
        <f>IF($J1081="","",YEAR($J1081-WEEKDAY($J1081,2)+4)&amp;"-W"&amp;TEXT(WEEKNUM($J1081,21),"00"))</f>
        <v/>
      </c>
      <c r="B1081" s="41">
        <f>IF($J1081="","",COUNTIFS(Roster!$D$4:$D$500,"Active",Roster!$C$4:$C$500,"&lt;="&amp;$J1081))</f>
        <v/>
      </c>
      <c r="C1081">
        <f>IF($J1081="","",SUMIFS('Hours Log'!$C:$C,'Hours Log'!$A:$A,"&gt;="&amp;$J1081,'Hours Log'!$A:$A,"&lt;"&amp;$J1081+7)+SUMIFS('Hours Log'!$D:$D,'Hours Log'!$A:$A,"&gt;="&amp;$J1081,'Hours Log'!$A:$A,"&lt;"&amp;$J1081+7))</f>
        <v/>
      </c>
      <c r="D1081">
        <f>IF($J1081="","",SUMIFS('Hours Log'!$D:$D,'Hours Log'!$A:$A,"&gt;="&amp;$J1081,'Hours Log'!$A:$A,"&lt;"&amp;$J1081+7))</f>
        <v/>
      </c>
      <c r="E1081">
        <f>IF($J1081="","",IFERROR(C1081/(B1081*40),0))</f>
        <v/>
      </c>
      <c r="F1081">
        <f>IF($J1081="","",0)</f>
        <v/>
      </c>
      <c r="G1081">
        <f>IF($J1081="","",SUMIFS('Hours Log'!$E:$E,'Hours Log'!$A:$A,"&gt;="&amp;$J1081,'Hours Log'!$A:$A,"&lt;"&amp;$J1081+7))</f>
        <v/>
      </c>
      <c r="J1081">
        <f>IF(COUNT('Hours Log'!$A$4:$A$5000)=0,"",IF(MIN('Hours Log'!$A$4:$A$5000)+7*(ROW()-10)&gt;MAX('Hours Log'!$A$4:$A$5000),"",MIN('Hours Log'!$A$4:$A$5000)+7*(ROW()-10)))</f>
        <v/>
      </c>
    </row>
    <row r="1082">
      <c r="A1082">
        <f>IF($J1082="","",YEAR($J1082-WEEKDAY($J1082,2)+4)&amp;"-W"&amp;TEXT(WEEKNUM($J1082,21),"00"))</f>
        <v/>
      </c>
      <c r="B1082" s="41">
        <f>IF($J1082="","",COUNTIFS(Roster!$D$4:$D$500,"Active",Roster!$C$4:$C$500,"&lt;="&amp;$J1082))</f>
        <v/>
      </c>
      <c r="C1082">
        <f>IF($J1082="","",SUMIFS('Hours Log'!$C:$C,'Hours Log'!$A:$A,"&gt;="&amp;$J1082,'Hours Log'!$A:$A,"&lt;"&amp;$J1082+7)+SUMIFS('Hours Log'!$D:$D,'Hours Log'!$A:$A,"&gt;="&amp;$J1082,'Hours Log'!$A:$A,"&lt;"&amp;$J1082+7))</f>
        <v/>
      </c>
      <c r="D1082">
        <f>IF($J1082="","",SUMIFS('Hours Log'!$D:$D,'Hours Log'!$A:$A,"&gt;="&amp;$J1082,'Hours Log'!$A:$A,"&lt;"&amp;$J1082+7))</f>
        <v/>
      </c>
      <c r="E1082">
        <f>IF($J1082="","",IFERROR(C1082/(B1082*40),0))</f>
        <v/>
      </c>
      <c r="F1082">
        <f>IF($J1082="","",0)</f>
        <v/>
      </c>
      <c r="G1082">
        <f>IF($J1082="","",SUMIFS('Hours Log'!$E:$E,'Hours Log'!$A:$A,"&gt;="&amp;$J1082,'Hours Log'!$A:$A,"&lt;"&amp;$J1082+7))</f>
        <v/>
      </c>
      <c r="J1082">
        <f>IF(COUNT('Hours Log'!$A$4:$A$5000)=0,"",IF(MIN('Hours Log'!$A$4:$A$5000)+7*(ROW()-10)&gt;MAX('Hours Log'!$A$4:$A$5000),"",MIN('Hours Log'!$A$4:$A$5000)+7*(ROW()-10)))</f>
        <v/>
      </c>
    </row>
    <row r="1083">
      <c r="A1083">
        <f>IF($J1083="","",YEAR($J1083-WEEKDAY($J1083,2)+4)&amp;"-W"&amp;TEXT(WEEKNUM($J1083,21),"00"))</f>
        <v/>
      </c>
      <c r="B1083" s="41">
        <f>IF($J1083="","",COUNTIFS(Roster!$D$4:$D$500,"Active",Roster!$C$4:$C$500,"&lt;="&amp;$J1083))</f>
        <v/>
      </c>
      <c r="C1083">
        <f>IF($J1083="","",SUMIFS('Hours Log'!$C:$C,'Hours Log'!$A:$A,"&gt;="&amp;$J1083,'Hours Log'!$A:$A,"&lt;"&amp;$J1083+7)+SUMIFS('Hours Log'!$D:$D,'Hours Log'!$A:$A,"&gt;="&amp;$J1083,'Hours Log'!$A:$A,"&lt;"&amp;$J1083+7))</f>
        <v/>
      </c>
      <c r="D1083">
        <f>IF($J1083="","",SUMIFS('Hours Log'!$D:$D,'Hours Log'!$A:$A,"&gt;="&amp;$J1083,'Hours Log'!$A:$A,"&lt;"&amp;$J1083+7))</f>
        <v/>
      </c>
      <c r="E1083">
        <f>IF($J1083="","",IFERROR(C1083/(B1083*40),0))</f>
        <v/>
      </c>
      <c r="F1083">
        <f>IF($J1083="","",0)</f>
        <v/>
      </c>
      <c r="G1083">
        <f>IF($J1083="","",SUMIFS('Hours Log'!$E:$E,'Hours Log'!$A:$A,"&gt;="&amp;$J1083,'Hours Log'!$A:$A,"&lt;"&amp;$J1083+7))</f>
        <v/>
      </c>
      <c r="J1083">
        <f>IF(COUNT('Hours Log'!$A$4:$A$5000)=0,"",IF(MIN('Hours Log'!$A$4:$A$5000)+7*(ROW()-10)&gt;MAX('Hours Log'!$A$4:$A$5000),"",MIN('Hours Log'!$A$4:$A$5000)+7*(ROW()-10)))</f>
        <v/>
      </c>
    </row>
    <row r="1084">
      <c r="A1084">
        <f>IF($J1084="","",YEAR($J1084-WEEKDAY($J1084,2)+4)&amp;"-W"&amp;TEXT(WEEKNUM($J1084,21),"00"))</f>
        <v/>
      </c>
      <c r="B1084" s="41">
        <f>IF($J1084="","",COUNTIFS(Roster!$D$4:$D$500,"Active",Roster!$C$4:$C$500,"&lt;="&amp;$J1084))</f>
        <v/>
      </c>
      <c r="C1084">
        <f>IF($J1084="","",SUMIFS('Hours Log'!$C:$C,'Hours Log'!$A:$A,"&gt;="&amp;$J1084,'Hours Log'!$A:$A,"&lt;"&amp;$J1084+7)+SUMIFS('Hours Log'!$D:$D,'Hours Log'!$A:$A,"&gt;="&amp;$J1084,'Hours Log'!$A:$A,"&lt;"&amp;$J1084+7))</f>
        <v/>
      </c>
      <c r="D1084">
        <f>IF($J1084="","",SUMIFS('Hours Log'!$D:$D,'Hours Log'!$A:$A,"&gt;="&amp;$J1084,'Hours Log'!$A:$A,"&lt;"&amp;$J1084+7))</f>
        <v/>
      </c>
      <c r="E1084">
        <f>IF($J1084="","",IFERROR(C1084/(B1084*40),0))</f>
        <v/>
      </c>
      <c r="F1084">
        <f>IF($J1084="","",0)</f>
        <v/>
      </c>
      <c r="G1084">
        <f>IF($J1084="","",SUMIFS('Hours Log'!$E:$E,'Hours Log'!$A:$A,"&gt;="&amp;$J1084,'Hours Log'!$A:$A,"&lt;"&amp;$J1084+7))</f>
        <v/>
      </c>
      <c r="J1084">
        <f>IF(COUNT('Hours Log'!$A$4:$A$5000)=0,"",IF(MIN('Hours Log'!$A$4:$A$5000)+7*(ROW()-10)&gt;MAX('Hours Log'!$A$4:$A$5000),"",MIN('Hours Log'!$A$4:$A$5000)+7*(ROW()-10)))</f>
        <v/>
      </c>
    </row>
    <row r="1085">
      <c r="A1085">
        <f>IF($J1085="","",YEAR($J1085-WEEKDAY($J1085,2)+4)&amp;"-W"&amp;TEXT(WEEKNUM($J1085,21),"00"))</f>
        <v/>
      </c>
      <c r="B1085" s="41">
        <f>IF($J1085="","",COUNTIFS(Roster!$D$4:$D$500,"Active",Roster!$C$4:$C$500,"&lt;="&amp;$J1085))</f>
        <v/>
      </c>
      <c r="C1085">
        <f>IF($J1085="","",SUMIFS('Hours Log'!$C:$C,'Hours Log'!$A:$A,"&gt;="&amp;$J1085,'Hours Log'!$A:$A,"&lt;"&amp;$J1085+7)+SUMIFS('Hours Log'!$D:$D,'Hours Log'!$A:$A,"&gt;="&amp;$J1085,'Hours Log'!$A:$A,"&lt;"&amp;$J1085+7))</f>
        <v/>
      </c>
      <c r="D1085">
        <f>IF($J1085="","",SUMIFS('Hours Log'!$D:$D,'Hours Log'!$A:$A,"&gt;="&amp;$J1085,'Hours Log'!$A:$A,"&lt;"&amp;$J1085+7))</f>
        <v/>
      </c>
      <c r="E1085">
        <f>IF($J1085="","",IFERROR(C1085/(B1085*40),0))</f>
        <v/>
      </c>
      <c r="F1085">
        <f>IF($J1085="","",0)</f>
        <v/>
      </c>
      <c r="G1085">
        <f>IF($J1085="","",SUMIFS('Hours Log'!$E:$E,'Hours Log'!$A:$A,"&gt;="&amp;$J1085,'Hours Log'!$A:$A,"&lt;"&amp;$J1085+7))</f>
        <v/>
      </c>
      <c r="J1085">
        <f>IF(COUNT('Hours Log'!$A$4:$A$5000)=0,"",IF(MIN('Hours Log'!$A$4:$A$5000)+7*(ROW()-10)&gt;MAX('Hours Log'!$A$4:$A$5000),"",MIN('Hours Log'!$A$4:$A$5000)+7*(ROW()-10)))</f>
        <v/>
      </c>
    </row>
    <row r="1086">
      <c r="A1086">
        <f>IF($J1086="","",YEAR($J1086-WEEKDAY($J1086,2)+4)&amp;"-W"&amp;TEXT(WEEKNUM($J1086,21),"00"))</f>
        <v/>
      </c>
      <c r="B1086" s="41">
        <f>IF($J1086="","",COUNTIFS(Roster!$D$4:$D$500,"Active",Roster!$C$4:$C$500,"&lt;="&amp;$J1086))</f>
        <v/>
      </c>
      <c r="C1086">
        <f>IF($J1086="","",SUMIFS('Hours Log'!$C:$C,'Hours Log'!$A:$A,"&gt;="&amp;$J1086,'Hours Log'!$A:$A,"&lt;"&amp;$J1086+7)+SUMIFS('Hours Log'!$D:$D,'Hours Log'!$A:$A,"&gt;="&amp;$J1086,'Hours Log'!$A:$A,"&lt;"&amp;$J1086+7))</f>
        <v/>
      </c>
      <c r="D1086">
        <f>IF($J1086="","",SUMIFS('Hours Log'!$D:$D,'Hours Log'!$A:$A,"&gt;="&amp;$J1086,'Hours Log'!$A:$A,"&lt;"&amp;$J1086+7))</f>
        <v/>
      </c>
      <c r="E1086">
        <f>IF($J1086="","",IFERROR(C1086/(B1086*40),0))</f>
        <v/>
      </c>
      <c r="F1086">
        <f>IF($J1086="","",0)</f>
        <v/>
      </c>
      <c r="G1086">
        <f>IF($J1086="","",SUMIFS('Hours Log'!$E:$E,'Hours Log'!$A:$A,"&gt;="&amp;$J1086,'Hours Log'!$A:$A,"&lt;"&amp;$J1086+7))</f>
        <v/>
      </c>
      <c r="J1086">
        <f>IF(COUNT('Hours Log'!$A$4:$A$5000)=0,"",IF(MIN('Hours Log'!$A$4:$A$5000)+7*(ROW()-10)&gt;MAX('Hours Log'!$A$4:$A$5000),"",MIN('Hours Log'!$A$4:$A$5000)+7*(ROW()-10)))</f>
        <v/>
      </c>
    </row>
    <row r="1087">
      <c r="A1087">
        <f>IF($J1087="","",YEAR($J1087-WEEKDAY($J1087,2)+4)&amp;"-W"&amp;TEXT(WEEKNUM($J1087,21),"00"))</f>
        <v/>
      </c>
      <c r="B1087" s="41">
        <f>IF($J1087="","",COUNTIFS(Roster!$D$4:$D$500,"Active",Roster!$C$4:$C$500,"&lt;="&amp;$J1087))</f>
        <v/>
      </c>
      <c r="C1087">
        <f>IF($J1087="","",SUMIFS('Hours Log'!$C:$C,'Hours Log'!$A:$A,"&gt;="&amp;$J1087,'Hours Log'!$A:$A,"&lt;"&amp;$J1087+7)+SUMIFS('Hours Log'!$D:$D,'Hours Log'!$A:$A,"&gt;="&amp;$J1087,'Hours Log'!$A:$A,"&lt;"&amp;$J1087+7))</f>
        <v/>
      </c>
      <c r="D1087">
        <f>IF($J1087="","",SUMIFS('Hours Log'!$D:$D,'Hours Log'!$A:$A,"&gt;="&amp;$J1087,'Hours Log'!$A:$A,"&lt;"&amp;$J1087+7))</f>
        <v/>
      </c>
      <c r="E1087">
        <f>IF($J1087="","",IFERROR(C1087/(B1087*40),0))</f>
        <v/>
      </c>
      <c r="F1087">
        <f>IF($J1087="","",0)</f>
        <v/>
      </c>
      <c r="G1087">
        <f>IF($J1087="","",SUMIFS('Hours Log'!$E:$E,'Hours Log'!$A:$A,"&gt;="&amp;$J1087,'Hours Log'!$A:$A,"&lt;"&amp;$J1087+7))</f>
        <v/>
      </c>
      <c r="J1087">
        <f>IF(COUNT('Hours Log'!$A$4:$A$5000)=0,"",IF(MIN('Hours Log'!$A$4:$A$5000)+7*(ROW()-10)&gt;MAX('Hours Log'!$A$4:$A$5000),"",MIN('Hours Log'!$A$4:$A$5000)+7*(ROW()-10)))</f>
        <v/>
      </c>
    </row>
    <row r="1088">
      <c r="A1088">
        <f>IF($J1088="","",YEAR($J1088-WEEKDAY($J1088,2)+4)&amp;"-W"&amp;TEXT(WEEKNUM($J1088,21),"00"))</f>
        <v/>
      </c>
      <c r="B1088" s="41">
        <f>IF($J1088="","",COUNTIFS(Roster!$D$4:$D$500,"Active",Roster!$C$4:$C$500,"&lt;="&amp;$J1088))</f>
        <v/>
      </c>
      <c r="C1088">
        <f>IF($J1088="","",SUMIFS('Hours Log'!$C:$C,'Hours Log'!$A:$A,"&gt;="&amp;$J1088,'Hours Log'!$A:$A,"&lt;"&amp;$J1088+7)+SUMIFS('Hours Log'!$D:$D,'Hours Log'!$A:$A,"&gt;="&amp;$J1088,'Hours Log'!$A:$A,"&lt;"&amp;$J1088+7))</f>
        <v/>
      </c>
      <c r="D1088">
        <f>IF($J1088="","",SUMIFS('Hours Log'!$D:$D,'Hours Log'!$A:$A,"&gt;="&amp;$J1088,'Hours Log'!$A:$A,"&lt;"&amp;$J1088+7))</f>
        <v/>
      </c>
      <c r="E1088">
        <f>IF($J1088="","",IFERROR(C1088/(B1088*40),0))</f>
        <v/>
      </c>
      <c r="F1088">
        <f>IF($J1088="","",0)</f>
        <v/>
      </c>
      <c r="G1088">
        <f>IF($J1088="","",SUMIFS('Hours Log'!$E:$E,'Hours Log'!$A:$A,"&gt;="&amp;$J1088,'Hours Log'!$A:$A,"&lt;"&amp;$J1088+7))</f>
        <v/>
      </c>
      <c r="J1088">
        <f>IF(COUNT('Hours Log'!$A$4:$A$5000)=0,"",IF(MIN('Hours Log'!$A$4:$A$5000)+7*(ROW()-10)&gt;MAX('Hours Log'!$A$4:$A$5000),"",MIN('Hours Log'!$A$4:$A$5000)+7*(ROW()-10)))</f>
        <v/>
      </c>
    </row>
    <row r="1089">
      <c r="A1089">
        <f>IF($J1089="","",YEAR($J1089-WEEKDAY($J1089,2)+4)&amp;"-W"&amp;TEXT(WEEKNUM($J1089,21),"00"))</f>
        <v/>
      </c>
      <c r="B1089" s="41">
        <f>IF($J1089="","",COUNTIFS(Roster!$D$4:$D$500,"Active",Roster!$C$4:$C$500,"&lt;="&amp;$J1089))</f>
        <v/>
      </c>
      <c r="C1089">
        <f>IF($J1089="","",SUMIFS('Hours Log'!$C:$C,'Hours Log'!$A:$A,"&gt;="&amp;$J1089,'Hours Log'!$A:$A,"&lt;"&amp;$J1089+7)+SUMIFS('Hours Log'!$D:$D,'Hours Log'!$A:$A,"&gt;="&amp;$J1089,'Hours Log'!$A:$A,"&lt;"&amp;$J1089+7))</f>
        <v/>
      </c>
      <c r="D1089">
        <f>IF($J1089="","",SUMIFS('Hours Log'!$D:$D,'Hours Log'!$A:$A,"&gt;="&amp;$J1089,'Hours Log'!$A:$A,"&lt;"&amp;$J1089+7))</f>
        <v/>
      </c>
      <c r="E1089">
        <f>IF($J1089="","",IFERROR(C1089/(B1089*40),0))</f>
        <v/>
      </c>
      <c r="F1089">
        <f>IF($J1089="","",0)</f>
        <v/>
      </c>
      <c r="G1089">
        <f>IF($J1089="","",SUMIFS('Hours Log'!$E:$E,'Hours Log'!$A:$A,"&gt;="&amp;$J1089,'Hours Log'!$A:$A,"&lt;"&amp;$J1089+7))</f>
        <v/>
      </c>
      <c r="J1089">
        <f>IF(COUNT('Hours Log'!$A$4:$A$5000)=0,"",IF(MIN('Hours Log'!$A$4:$A$5000)+7*(ROW()-10)&gt;MAX('Hours Log'!$A$4:$A$5000),"",MIN('Hours Log'!$A$4:$A$5000)+7*(ROW()-10)))</f>
        <v/>
      </c>
    </row>
    <row r="1090">
      <c r="A1090">
        <f>IF($J1090="","",YEAR($J1090-WEEKDAY($J1090,2)+4)&amp;"-W"&amp;TEXT(WEEKNUM($J1090,21),"00"))</f>
        <v/>
      </c>
      <c r="B1090" s="41">
        <f>IF($J1090="","",COUNTIFS(Roster!$D$4:$D$500,"Active",Roster!$C$4:$C$500,"&lt;="&amp;$J1090))</f>
        <v/>
      </c>
      <c r="C1090">
        <f>IF($J1090="","",SUMIFS('Hours Log'!$C:$C,'Hours Log'!$A:$A,"&gt;="&amp;$J1090,'Hours Log'!$A:$A,"&lt;"&amp;$J1090+7)+SUMIFS('Hours Log'!$D:$D,'Hours Log'!$A:$A,"&gt;="&amp;$J1090,'Hours Log'!$A:$A,"&lt;"&amp;$J1090+7))</f>
        <v/>
      </c>
      <c r="D1090">
        <f>IF($J1090="","",SUMIFS('Hours Log'!$D:$D,'Hours Log'!$A:$A,"&gt;="&amp;$J1090,'Hours Log'!$A:$A,"&lt;"&amp;$J1090+7))</f>
        <v/>
      </c>
      <c r="E1090">
        <f>IF($J1090="","",IFERROR(C1090/(B1090*40),0))</f>
        <v/>
      </c>
      <c r="F1090">
        <f>IF($J1090="","",0)</f>
        <v/>
      </c>
      <c r="G1090">
        <f>IF($J1090="","",SUMIFS('Hours Log'!$E:$E,'Hours Log'!$A:$A,"&gt;="&amp;$J1090,'Hours Log'!$A:$A,"&lt;"&amp;$J1090+7))</f>
        <v/>
      </c>
      <c r="J1090">
        <f>IF(COUNT('Hours Log'!$A$4:$A$5000)=0,"",IF(MIN('Hours Log'!$A$4:$A$5000)+7*(ROW()-10)&gt;MAX('Hours Log'!$A$4:$A$5000),"",MIN('Hours Log'!$A$4:$A$5000)+7*(ROW()-10)))</f>
        <v/>
      </c>
    </row>
    <row r="1091">
      <c r="A1091">
        <f>IF($J1091="","",YEAR($J1091-WEEKDAY($J1091,2)+4)&amp;"-W"&amp;TEXT(WEEKNUM($J1091,21),"00"))</f>
        <v/>
      </c>
      <c r="B1091" s="41">
        <f>IF($J1091="","",COUNTIFS(Roster!$D$4:$D$500,"Active",Roster!$C$4:$C$500,"&lt;="&amp;$J1091))</f>
        <v/>
      </c>
      <c r="C1091">
        <f>IF($J1091="","",SUMIFS('Hours Log'!$C:$C,'Hours Log'!$A:$A,"&gt;="&amp;$J1091,'Hours Log'!$A:$A,"&lt;"&amp;$J1091+7)+SUMIFS('Hours Log'!$D:$D,'Hours Log'!$A:$A,"&gt;="&amp;$J1091,'Hours Log'!$A:$A,"&lt;"&amp;$J1091+7))</f>
        <v/>
      </c>
      <c r="D1091">
        <f>IF($J1091="","",SUMIFS('Hours Log'!$D:$D,'Hours Log'!$A:$A,"&gt;="&amp;$J1091,'Hours Log'!$A:$A,"&lt;"&amp;$J1091+7))</f>
        <v/>
      </c>
      <c r="E1091">
        <f>IF($J1091="","",IFERROR(C1091/(B1091*40),0))</f>
        <v/>
      </c>
      <c r="F1091">
        <f>IF($J1091="","",0)</f>
        <v/>
      </c>
      <c r="G1091">
        <f>IF($J1091="","",SUMIFS('Hours Log'!$E:$E,'Hours Log'!$A:$A,"&gt;="&amp;$J1091,'Hours Log'!$A:$A,"&lt;"&amp;$J1091+7))</f>
        <v/>
      </c>
      <c r="J1091">
        <f>IF(COUNT('Hours Log'!$A$4:$A$5000)=0,"",IF(MIN('Hours Log'!$A$4:$A$5000)+7*(ROW()-10)&gt;MAX('Hours Log'!$A$4:$A$5000),"",MIN('Hours Log'!$A$4:$A$5000)+7*(ROW()-10)))</f>
        <v/>
      </c>
    </row>
    <row r="1092">
      <c r="A1092">
        <f>IF($J1092="","",YEAR($J1092-WEEKDAY($J1092,2)+4)&amp;"-W"&amp;TEXT(WEEKNUM($J1092,21),"00"))</f>
        <v/>
      </c>
      <c r="B1092" s="41">
        <f>IF($J1092="","",COUNTIFS(Roster!$D$4:$D$500,"Active",Roster!$C$4:$C$500,"&lt;="&amp;$J1092))</f>
        <v/>
      </c>
      <c r="C1092">
        <f>IF($J1092="","",SUMIFS('Hours Log'!$C:$C,'Hours Log'!$A:$A,"&gt;="&amp;$J1092,'Hours Log'!$A:$A,"&lt;"&amp;$J1092+7)+SUMIFS('Hours Log'!$D:$D,'Hours Log'!$A:$A,"&gt;="&amp;$J1092,'Hours Log'!$A:$A,"&lt;"&amp;$J1092+7))</f>
        <v/>
      </c>
      <c r="D1092">
        <f>IF($J1092="","",SUMIFS('Hours Log'!$D:$D,'Hours Log'!$A:$A,"&gt;="&amp;$J1092,'Hours Log'!$A:$A,"&lt;"&amp;$J1092+7))</f>
        <v/>
      </c>
      <c r="E1092">
        <f>IF($J1092="","",IFERROR(C1092/(B1092*40),0))</f>
        <v/>
      </c>
      <c r="F1092">
        <f>IF($J1092="","",0)</f>
        <v/>
      </c>
      <c r="G1092">
        <f>IF($J1092="","",SUMIFS('Hours Log'!$E:$E,'Hours Log'!$A:$A,"&gt;="&amp;$J1092,'Hours Log'!$A:$A,"&lt;"&amp;$J1092+7))</f>
        <v/>
      </c>
      <c r="J1092">
        <f>IF(COUNT('Hours Log'!$A$4:$A$5000)=0,"",IF(MIN('Hours Log'!$A$4:$A$5000)+7*(ROW()-10)&gt;MAX('Hours Log'!$A$4:$A$5000),"",MIN('Hours Log'!$A$4:$A$5000)+7*(ROW()-10)))</f>
        <v/>
      </c>
    </row>
    <row r="1093">
      <c r="A1093">
        <f>IF($J1093="","",YEAR($J1093-WEEKDAY($J1093,2)+4)&amp;"-W"&amp;TEXT(WEEKNUM($J1093,21),"00"))</f>
        <v/>
      </c>
      <c r="B1093" s="41">
        <f>IF($J1093="","",COUNTIFS(Roster!$D$4:$D$500,"Active",Roster!$C$4:$C$500,"&lt;="&amp;$J1093))</f>
        <v/>
      </c>
      <c r="C1093">
        <f>IF($J1093="","",SUMIFS('Hours Log'!$C:$C,'Hours Log'!$A:$A,"&gt;="&amp;$J1093,'Hours Log'!$A:$A,"&lt;"&amp;$J1093+7)+SUMIFS('Hours Log'!$D:$D,'Hours Log'!$A:$A,"&gt;="&amp;$J1093,'Hours Log'!$A:$A,"&lt;"&amp;$J1093+7))</f>
        <v/>
      </c>
      <c r="D1093">
        <f>IF($J1093="","",SUMIFS('Hours Log'!$D:$D,'Hours Log'!$A:$A,"&gt;="&amp;$J1093,'Hours Log'!$A:$A,"&lt;"&amp;$J1093+7))</f>
        <v/>
      </c>
      <c r="E1093">
        <f>IF($J1093="","",IFERROR(C1093/(B1093*40),0))</f>
        <v/>
      </c>
      <c r="F1093">
        <f>IF($J1093="","",0)</f>
        <v/>
      </c>
      <c r="G1093">
        <f>IF($J1093="","",SUMIFS('Hours Log'!$E:$E,'Hours Log'!$A:$A,"&gt;="&amp;$J1093,'Hours Log'!$A:$A,"&lt;"&amp;$J1093+7))</f>
        <v/>
      </c>
      <c r="J1093">
        <f>IF(COUNT('Hours Log'!$A$4:$A$5000)=0,"",IF(MIN('Hours Log'!$A$4:$A$5000)+7*(ROW()-10)&gt;MAX('Hours Log'!$A$4:$A$5000),"",MIN('Hours Log'!$A$4:$A$5000)+7*(ROW()-10)))</f>
        <v/>
      </c>
    </row>
    <row r="1094">
      <c r="A1094">
        <f>IF($J1094="","",YEAR($J1094-WEEKDAY($J1094,2)+4)&amp;"-W"&amp;TEXT(WEEKNUM($J1094,21),"00"))</f>
        <v/>
      </c>
      <c r="B1094" s="41">
        <f>IF($J1094="","",COUNTIFS(Roster!$D$4:$D$500,"Active",Roster!$C$4:$C$500,"&lt;="&amp;$J1094))</f>
        <v/>
      </c>
      <c r="C1094">
        <f>IF($J1094="","",SUMIFS('Hours Log'!$C:$C,'Hours Log'!$A:$A,"&gt;="&amp;$J1094,'Hours Log'!$A:$A,"&lt;"&amp;$J1094+7)+SUMIFS('Hours Log'!$D:$D,'Hours Log'!$A:$A,"&gt;="&amp;$J1094,'Hours Log'!$A:$A,"&lt;"&amp;$J1094+7))</f>
        <v/>
      </c>
      <c r="D1094">
        <f>IF($J1094="","",SUMIFS('Hours Log'!$D:$D,'Hours Log'!$A:$A,"&gt;="&amp;$J1094,'Hours Log'!$A:$A,"&lt;"&amp;$J1094+7))</f>
        <v/>
      </c>
      <c r="E1094">
        <f>IF($J1094="","",IFERROR(C1094/(B1094*40),0))</f>
        <v/>
      </c>
      <c r="F1094">
        <f>IF($J1094="","",0)</f>
        <v/>
      </c>
      <c r="G1094">
        <f>IF($J1094="","",SUMIFS('Hours Log'!$E:$E,'Hours Log'!$A:$A,"&gt;="&amp;$J1094,'Hours Log'!$A:$A,"&lt;"&amp;$J1094+7))</f>
        <v/>
      </c>
      <c r="J1094">
        <f>IF(COUNT('Hours Log'!$A$4:$A$5000)=0,"",IF(MIN('Hours Log'!$A$4:$A$5000)+7*(ROW()-10)&gt;MAX('Hours Log'!$A$4:$A$5000),"",MIN('Hours Log'!$A$4:$A$5000)+7*(ROW()-10)))</f>
        <v/>
      </c>
    </row>
    <row r="1095">
      <c r="A1095">
        <f>IF($J1095="","",YEAR($J1095-WEEKDAY($J1095,2)+4)&amp;"-W"&amp;TEXT(WEEKNUM($J1095,21),"00"))</f>
        <v/>
      </c>
      <c r="B1095" s="41">
        <f>IF($J1095="","",COUNTIFS(Roster!$D$4:$D$500,"Active",Roster!$C$4:$C$500,"&lt;="&amp;$J1095))</f>
        <v/>
      </c>
      <c r="C1095">
        <f>IF($J1095="","",SUMIFS('Hours Log'!$C:$C,'Hours Log'!$A:$A,"&gt;="&amp;$J1095,'Hours Log'!$A:$A,"&lt;"&amp;$J1095+7)+SUMIFS('Hours Log'!$D:$D,'Hours Log'!$A:$A,"&gt;="&amp;$J1095,'Hours Log'!$A:$A,"&lt;"&amp;$J1095+7))</f>
        <v/>
      </c>
      <c r="D1095">
        <f>IF($J1095="","",SUMIFS('Hours Log'!$D:$D,'Hours Log'!$A:$A,"&gt;="&amp;$J1095,'Hours Log'!$A:$A,"&lt;"&amp;$J1095+7))</f>
        <v/>
      </c>
      <c r="E1095">
        <f>IF($J1095="","",IFERROR(C1095/(B1095*40),0))</f>
        <v/>
      </c>
      <c r="F1095">
        <f>IF($J1095="","",0)</f>
        <v/>
      </c>
      <c r="G1095">
        <f>IF($J1095="","",SUMIFS('Hours Log'!$E:$E,'Hours Log'!$A:$A,"&gt;="&amp;$J1095,'Hours Log'!$A:$A,"&lt;"&amp;$J1095+7))</f>
        <v/>
      </c>
      <c r="J1095">
        <f>IF(COUNT('Hours Log'!$A$4:$A$5000)=0,"",IF(MIN('Hours Log'!$A$4:$A$5000)+7*(ROW()-10)&gt;MAX('Hours Log'!$A$4:$A$5000),"",MIN('Hours Log'!$A$4:$A$5000)+7*(ROW()-10)))</f>
        <v/>
      </c>
    </row>
    <row r="1096">
      <c r="A1096">
        <f>IF($J1096="","",YEAR($J1096-WEEKDAY($J1096,2)+4)&amp;"-W"&amp;TEXT(WEEKNUM($J1096,21),"00"))</f>
        <v/>
      </c>
      <c r="B1096" s="41">
        <f>IF($J1096="","",COUNTIFS(Roster!$D$4:$D$500,"Active",Roster!$C$4:$C$500,"&lt;="&amp;$J1096))</f>
        <v/>
      </c>
      <c r="C1096">
        <f>IF($J1096="","",SUMIFS('Hours Log'!$C:$C,'Hours Log'!$A:$A,"&gt;="&amp;$J1096,'Hours Log'!$A:$A,"&lt;"&amp;$J1096+7)+SUMIFS('Hours Log'!$D:$D,'Hours Log'!$A:$A,"&gt;="&amp;$J1096,'Hours Log'!$A:$A,"&lt;"&amp;$J1096+7))</f>
        <v/>
      </c>
      <c r="D1096">
        <f>IF($J1096="","",SUMIFS('Hours Log'!$D:$D,'Hours Log'!$A:$A,"&gt;="&amp;$J1096,'Hours Log'!$A:$A,"&lt;"&amp;$J1096+7))</f>
        <v/>
      </c>
      <c r="E1096">
        <f>IF($J1096="","",IFERROR(C1096/(B1096*40),0))</f>
        <v/>
      </c>
      <c r="F1096">
        <f>IF($J1096="","",0)</f>
        <v/>
      </c>
      <c r="G1096">
        <f>IF($J1096="","",SUMIFS('Hours Log'!$E:$E,'Hours Log'!$A:$A,"&gt;="&amp;$J1096,'Hours Log'!$A:$A,"&lt;"&amp;$J1096+7))</f>
        <v/>
      </c>
      <c r="J1096">
        <f>IF(COUNT('Hours Log'!$A$4:$A$5000)=0,"",IF(MIN('Hours Log'!$A$4:$A$5000)+7*(ROW()-10)&gt;MAX('Hours Log'!$A$4:$A$5000),"",MIN('Hours Log'!$A$4:$A$5000)+7*(ROW()-10)))</f>
        <v/>
      </c>
    </row>
    <row r="1097">
      <c r="A1097">
        <f>IF($J1097="","",YEAR($J1097-WEEKDAY($J1097,2)+4)&amp;"-W"&amp;TEXT(WEEKNUM($J1097,21),"00"))</f>
        <v/>
      </c>
      <c r="B1097" s="41">
        <f>IF($J1097="","",COUNTIFS(Roster!$D$4:$D$500,"Active",Roster!$C$4:$C$500,"&lt;="&amp;$J1097))</f>
        <v/>
      </c>
      <c r="C1097">
        <f>IF($J1097="","",SUMIFS('Hours Log'!$C:$C,'Hours Log'!$A:$A,"&gt;="&amp;$J1097,'Hours Log'!$A:$A,"&lt;"&amp;$J1097+7)+SUMIFS('Hours Log'!$D:$D,'Hours Log'!$A:$A,"&gt;="&amp;$J1097,'Hours Log'!$A:$A,"&lt;"&amp;$J1097+7))</f>
        <v/>
      </c>
      <c r="D1097">
        <f>IF($J1097="","",SUMIFS('Hours Log'!$D:$D,'Hours Log'!$A:$A,"&gt;="&amp;$J1097,'Hours Log'!$A:$A,"&lt;"&amp;$J1097+7))</f>
        <v/>
      </c>
      <c r="E1097">
        <f>IF($J1097="","",IFERROR(C1097/(B1097*40),0))</f>
        <v/>
      </c>
      <c r="F1097">
        <f>IF($J1097="","",0)</f>
        <v/>
      </c>
      <c r="G1097">
        <f>IF($J1097="","",SUMIFS('Hours Log'!$E:$E,'Hours Log'!$A:$A,"&gt;="&amp;$J1097,'Hours Log'!$A:$A,"&lt;"&amp;$J1097+7))</f>
        <v/>
      </c>
      <c r="J1097">
        <f>IF(COUNT('Hours Log'!$A$4:$A$5000)=0,"",IF(MIN('Hours Log'!$A$4:$A$5000)+7*(ROW()-10)&gt;MAX('Hours Log'!$A$4:$A$5000),"",MIN('Hours Log'!$A$4:$A$5000)+7*(ROW()-10)))</f>
        <v/>
      </c>
    </row>
    <row r="1098">
      <c r="A1098">
        <f>IF($J1098="","",YEAR($J1098-WEEKDAY($J1098,2)+4)&amp;"-W"&amp;TEXT(WEEKNUM($J1098,21),"00"))</f>
        <v/>
      </c>
      <c r="B1098" s="41">
        <f>IF($J1098="","",COUNTIFS(Roster!$D$4:$D$500,"Active",Roster!$C$4:$C$500,"&lt;="&amp;$J1098))</f>
        <v/>
      </c>
      <c r="C1098">
        <f>IF($J1098="","",SUMIFS('Hours Log'!$C:$C,'Hours Log'!$A:$A,"&gt;="&amp;$J1098,'Hours Log'!$A:$A,"&lt;"&amp;$J1098+7)+SUMIFS('Hours Log'!$D:$D,'Hours Log'!$A:$A,"&gt;="&amp;$J1098,'Hours Log'!$A:$A,"&lt;"&amp;$J1098+7))</f>
        <v/>
      </c>
      <c r="D1098">
        <f>IF($J1098="","",SUMIFS('Hours Log'!$D:$D,'Hours Log'!$A:$A,"&gt;="&amp;$J1098,'Hours Log'!$A:$A,"&lt;"&amp;$J1098+7))</f>
        <v/>
      </c>
      <c r="E1098">
        <f>IF($J1098="","",IFERROR(C1098/(B1098*40),0))</f>
        <v/>
      </c>
      <c r="F1098">
        <f>IF($J1098="","",0)</f>
        <v/>
      </c>
      <c r="G1098">
        <f>IF($J1098="","",SUMIFS('Hours Log'!$E:$E,'Hours Log'!$A:$A,"&gt;="&amp;$J1098,'Hours Log'!$A:$A,"&lt;"&amp;$J1098+7))</f>
        <v/>
      </c>
      <c r="J1098">
        <f>IF(COUNT('Hours Log'!$A$4:$A$5000)=0,"",IF(MIN('Hours Log'!$A$4:$A$5000)+7*(ROW()-10)&gt;MAX('Hours Log'!$A$4:$A$5000),"",MIN('Hours Log'!$A$4:$A$5000)+7*(ROW()-10)))</f>
        <v/>
      </c>
    </row>
    <row r="1099">
      <c r="A1099">
        <f>IF($J1099="","",YEAR($J1099-WEEKDAY($J1099,2)+4)&amp;"-W"&amp;TEXT(WEEKNUM($J1099,21),"00"))</f>
        <v/>
      </c>
      <c r="B1099" s="41">
        <f>IF($J1099="","",COUNTIFS(Roster!$D$4:$D$500,"Active",Roster!$C$4:$C$500,"&lt;="&amp;$J1099))</f>
        <v/>
      </c>
      <c r="C1099">
        <f>IF($J1099="","",SUMIFS('Hours Log'!$C:$C,'Hours Log'!$A:$A,"&gt;="&amp;$J1099,'Hours Log'!$A:$A,"&lt;"&amp;$J1099+7)+SUMIFS('Hours Log'!$D:$D,'Hours Log'!$A:$A,"&gt;="&amp;$J1099,'Hours Log'!$A:$A,"&lt;"&amp;$J1099+7))</f>
        <v/>
      </c>
      <c r="D1099">
        <f>IF($J1099="","",SUMIFS('Hours Log'!$D:$D,'Hours Log'!$A:$A,"&gt;="&amp;$J1099,'Hours Log'!$A:$A,"&lt;"&amp;$J1099+7))</f>
        <v/>
      </c>
      <c r="E1099">
        <f>IF($J1099="","",IFERROR(C1099/(B1099*40),0))</f>
        <v/>
      </c>
      <c r="F1099">
        <f>IF($J1099="","",0)</f>
        <v/>
      </c>
      <c r="G1099">
        <f>IF($J1099="","",SUMIFS('Hours Log'!$E:$E,'Hours Log'!$A:$A,"&gt;="&amp;$J1099,'Hours Log'!$A:$A,"&lt;"&amp;$J1099+7))</f>
        <v/>
      </c>
      <c r="J1099">
        <f>IF(COUNT('Hours Log'!$A$4:$A$5000)=0,"",IF(MIN('Hours Log'!$A$4:$A$5000)+7*(ROW()-10)&gt;MAX('Hours Log'!$A$4:$A$5000),"",MIN('Hours Log'!$A$4:$A$5000)+7*(ROW()-10)))</f>
        <v/>
      </c>
    </row>
    <row r="1100">
      <c r="A1100">
        <f>IF($J1100="","",YEAR($J1100-WEEKDAY($J1100,2)+4)&amp;"-W"&amp;TEXT(WEEKNUM($J1100,21),"00"))</f>
        <v/>
      </c>
      <c r="B1100" s="41">
        <f>IF($J1100="","",COUNTIFS(Roster!$D$4:$D$500,"Active",Roster!$C$4:$C$500,"&lt;="&amp;$J1100))</f>
        <v/>
      </c>
      <c r="C1100">
        <f>IF($J1100="","",SUMIFS('Hours Log'!$C:$C,'Hours Log'!$A:$A,"&gt;="&amp;$J1100,'Hours Log'!$A:$A,"&lt;"&amp;$J1100+7)+SUMIFS('Hours Log'!$D:$D,'Hours Log'!$A:$A,"&gt;="&amp;$J1100,'Hours Log'!$A:$A,"&lt;"&amp;$J1100+7))</f>
        <v/>
      </c>
      <c r="D1100">
        <f>IF($J1100="","",SUMIFS('Hours Log'!$D:$D,'Hours Log'!$A:$A,"&gt;="&amp;$J1100,'Hours Log'!$A:$A,"&lt;"&amp;$J1100+7))</f>
        <v/>
      </c>
      <c r="E1100">
        <f>IF($J1100="","",IFERROR(C1100/(B1100*40),0))</f>
        <v/>
      </c>
      <c r="F1100">
        <f>IF($J1100="","",0)</f>
        <v/>
      </c>
      <c r="G1100">
        <f>IF($J1100="","",SUMIFS('Hours Log'!$E:$E,'Hours Log'!$A:$A,"&gt;="&amp;$J1100,'Hours Log'!$A:$A,"&lt;"&amp;$J1100+7))</f>
        <v/>
      </c>
      <c r="J1100">
        <f>IF(COUNT('Hours Log'!$A$4:$A$5000)=0,"",IF(MIN('Hours Log'!$A$4:$A$5000)+7*(ROW()-10)&gt;MAX('Hours Log'!$A$4:$A$5000),"",MIN('Hours Log'!$A$4:$A$5000)+7*(ROW()-10)))</f>
        <v/>
      </c>
    </row>
    <row r="1101">
      <c r="A1101">
        <f>IF($J1101="","",YEAR($J1101-WEEKDAY($J1101,2)+4)&amp;"-W"&amp;TEXT(WEEKNUM($J1101,21),"00"))</f>
        <v/>
      </c>
      <c r="B1101" s="41">
        <f>IF($J1101="","",COUNTIFS(Roster!$D$4:$D$500,"Active",Roster!$C$4:$C$500,"&lt;="&amp;$J1101))</f>
        <v/>
      </c>
      <c r="C1101">
        <f>IF($J1101="","",SUMIFS('Hours Log'!$C:$C,'Hours Log'!$A:$A,"&gt;="&amp;$J1101,'Hours Log'!$A:$A,"&lt;"&amp;$J1101+7)+SUMIFS('Hours Log'!$D:$D,'Hours Log'!$A:$A,"&gt;="&amp;$J1101,'Hours Log'!$A:$A,"&lt;"&amp;$J1101+7))</f>
        <v/>
      </c>
      <c r="D1101">
        <f>IF($J1101="","",SUMIFS('Hours Log'!$D:$D,'Hours Log'!$A:$A,"&gt;="&amp;$J1101,'Hours Log'!$A:$A,"&lt;"&amp;$J1101+7))</f>
        <v/>
      </c>
      <c r="E1101">
        <f>IF($J1101="","",IFERROR(C1101/(B1101*40),0))</f>
        <v/>
      </c>
      <c r="F1101">
        <f>IF($J1101="","",0)</f>
        <v/>
      </c>
      <c r="G1101">
        <f>IF($J1101="","",SUMIFS('Hours Log'!$E:$E,'Hours Log'!$A:$A,"&gt;="&amp;$J1101,'Hours Log'!$A:$A,"&lt;"&amp;$J1101+7))</f>
        <v/>
      </c>
      <c r="J1101">
        <f>IF(COUNT('Hours Log'!$A$4:$A$5000)=0,"",IF(MIN('Hours Log'!$A$4:$A$5000)+7*(ROW()-10)&gt;MAX('Hours Log'!$A$4:$A$5000),"",MIN('Hours Log'!$A$4:$A$5000)+7*(ROW()-10)))</f>
        <v/>
      </c>
    </row>
    <row r="1102">
      <c r="A1102">
        <f>IF($J1102="","",YEAR($J1102-WEEKDAY($J1102,2)+4)&amp;"-W"&amp;TEXT(WEEKNUM($J1102,21),"00"))</f>
        <v/>
      </c>
      <c r="B1102" s="41">
        <f>IF($J1102="","",COUNTIFS(Roster!$D$4:$D$500,"Active",Roster!$C$4:$C$500,"&lt;="&amp;$J1102))</f>
        <v/>
      </c>
      <c r="C1102">
        <f>IF($J1102="","",SUMIFS('Hours Log'!$C:$C,'Hours Log'!$A:$A,"&gt;="&amp;$J1102,'Hours Log'!$A:$A,"&lt;"&amp;$J1102+7)+SUMIFS('Hours Log'!$D:$D,'Hours Log'!$A:$A,"&gt;="&amp;$J1102,'Hours Log'!$A:$A,"&lt;"&amp;$J1102+7))</f>
        <v/>
      </c>
      <c r="D1102">
        <f>IF($J1102="","",SUMIFS('Hours Log'!$D:$D,'Hours Log'!$A:$A,"&gt;="&amp;$J1102,'Hours Log'!$A:$A,"&lt;"&amp;$J1102+7))</f>
        <v/>
      </c>
      <c r="E1102">
        <f>IF($J1102="","",IFERROR(C1102/(B1102*40),0))</f>
        <v/>
      </c>
      <c r="F1102">
        <f>IF($J1102="","",0)</f>
        <v/>
      </c>
      <c r="G1102">
        <f>IF($J1102="","",SUMIFS('Hours Log'!$E:$E,'Hours Log'!$A:$A,"&gt;="&amp;$J1102,'Hours Log'!$A:$A,"&lt;"&amp;$J1102+7))</f>
        <v/>
      </c>
      <c r="J1102">
        <f>IF(COUNT('Hours Log'!$A$4:$A$5000)=0,"",IF(MIN('Hours Log'!$A$4:$A$5000)+7*(ROW()-10)&gt;MAX('Hours Log'!$A$4:$A$5000),"",MIN('Hours Log'!$A$4:$A$5000)+7*(ROW()-10)))</f>
        <v/>
      </c>
    </row>
    <row r="1103">
      <c r="A1103">
        <f>IF($J1103="","",YEAR($J1103-WEEKDAY($J1103,2)+4)&amp;"-W"&amp;TEXT(WEEKNUM($J1103,21),"00"))</f>
        <v/>
      </c>
      <c r="B1103" s="41">
        <f>IF($J1103="","",COUNTIFS(Roster!$D$4:$D$500,"Active",Roster!$C$4:$C$500,"&lt;="&amp;$J1103))</f>
        <v/>
      </c>
      <c r="C1103">
        <f>IF($J1103="","",SUMIFS('Hours Log'!$C:$C,'Hours Log'!$A:$A,"&gt;="&amp;$J1103,'Hours Log'!$A:$A,"&lt;"&amp;$J1103+7)+SUMIFS('Hours Log'!$D:$D,'Hours Log'!$A:$A,"&gt;="&amp;$J1103,'Hours Log'!$A:$A,"&lt;"&amp;$J1103+7))</f>
        <v/>
      </c>
      <c r="D1103">
        <f>IF($J1103="","",SUMIFS('Hours Log'!$D:$D,'Hours Log'!$A:$A,"&gt;="&amp;$J1103,'Hours Log'!$A:$A,"&lt;"&amp;$J1103+7))</f>
        <v/>
      </c>
      <c r="E1103">
        <f>IF($J1103="","",IFERROR(C1103/(B1103*40),0))</f>
        <v/>
      </c>
      <c r="F1103">
        <f>IF($J1103="","",0)</f>
        <v/>
      </c>
      <c r="G1103">
        <f>IF($J1103="","",SUMIFS('Hours Log'!$E:$E,'Hours Log'!$A:$A,"&gt;="&amp;$J1103,'Hours Log'!$A:$A,"&lt;"&amp;$J1103+7))</f>
        <v/>
      </c>
      <c r="J1103">
        <f>IF(COUNT('Hours Log'!$A$4:$A$5000)=0,"",IF(MIN('Hours Log'!$A$4:$A$5000)+7*(ROW()-10)&gt;MAX('Hours Log'!$A$4:$A$5000),"",MIN('Hours Log'!$A$4:$A$5000)+7*(ROW()-10)))</f>
        <v/>
      </c>
    </row>
    <row r="1104">
      <c r="A1104">
        <f>IF($J1104="","",YEAR($J1104-WEEKDAY($J1104,2)+4)&amp;"-W"&amp;TEXT(WEEKNUM($J1104,21),"00"))</f>
        <v/>
      </c>
      <c r="B1104" s="41">
        <f>IF($J1104="","",COUNTIFS(Roster!$D$4:$D$500,"Active",Roster!$C$4:$C$500,"&lt;="&amp;$J1104))</f>
        <v/>
      </c>
      <c r="C1104">
        <f>IF($J1104="","",SUMIFS('Hours Log'!$C:$C,'Hours Log'!$A:$A,"&gt;="&amp;$J1104,'Hours Log'!$A:$A,"&lt;"&amp;$J1104+7)+SUMIFS('Hours Log'!$D:$D,'Hours Log'!$A:$A,"&gt;="&amp;$J1104,'Hours Log'!$A:$A,"&lt;"&amp;$J1104+7))</f>
        <v/>
      </c>
      <c r="D1104">
        <f>IF($J1104="","",SUMIFS('Hours Log'!$D:$D,'Hours Log'!$A:$A,"&gt;="&amp;$J1104,'Hours Log'!$A:$A,"&lt;"&amp;$J1104+7))</f>
        <v/>
      </c>
      <c r="E1104">
        <f>IF($J1104="","",IFERROR(C1104/(B1104*40),0))</f>
        <v/>
      </c>
      <c r="F1104">
        <f>IF($J1104="","",0)</f>
        <v/>
      </c>
      <c r="G1104">
        <f>IF($J1104="","",SUMIFS('Hours Log'!$E:$E,'Hours Log'!$A:$A,"&gt;="&amp;$J1104,'Hours Log'!$A:$A,"&lt;"&amp;$J1104+7))</f>
        <v/>
      </c>
      <c r="J1104">
        <f>IF(COUNT('Hours Log'!$A$4:$A$5000)=0,"",IF(MIN('Hours Log'!$A$4:$A$5000)+7*(ROW()-10)&gt;MAX('Hours Log'!$A$4:$A$5000),"",MIN('Hours Log'!$A$4:$A$5000)+7*(ROW()-10)))</f>
        <v/>
      </c>
    </row>
    <row r="1105">
      <c r="A1105">
        <f>IF($J1105="","",YEAR($J1105-WEEKDAY($J1105,2)+4)&amp;"-W"&amp;TEXT(WEEKNUM($J1105,21),"00"))</f>
        <v/>
      </c>
      <c r="B1105" s="41">
        <f>IF($J1105="","",COUNTIFS(Roster!$D$4:$D$500,"Active",Roster!$C$4:$C$500,"&lt;="&amp;$J1105))</f>
        <v/>
      </c>
      <c r="C1105">
        <f>IF($J1105="","",SUMIFS('Hours Log'!$C:$C,'Hours Log'!$A:$A,"&gt;="&amp;$J1105,'Hours Log'!$A:$A,"&lt;"&amp;$J1105+7)+SUMIFS('Hours Log'!$D:$D,'Hours Log'!$A:$A,"&gt;="&amp;$J1105,'Hours Log'!$A:$A,"&lt;"&amp;$J1105+7))</f>
        <v/>
      </c>
      <c r="D1105">
        <f>IF($J1105="","",SUMIFS('Hours Log'!$D:$D,'Hours Log'!$A:$A,"&gt;="&amp;$J1105,'Hours Log'!$A:$A,"&lt;"&amp;$J1105+7))</f>
        <v/>
      </c>
      <c r="E1105">
        <f>IF($J1105="","",IFERROR(C1105/(B1105*40),0))</f>
        <v/>
      </c>
      <c r="F1105">
        <f>IF($J1105="","",0)</f>
        <v/>
      </c>
      <c r="G1105">
        <f>IF($J1105="","",SUMIFS('Hours Log'!$E:$E,'Hours Log'!$A:$A,"&gt;="&amp;$J1105,'Hours Log'!$A:$A,"&lt;"&amp;$J1105+7))</f>
        <v/>
      </c>
      <c r="J1105">
        <f>IF(COUNT('Hours Log'!$A$4:$A$5000)=0,"",IF(MIN('Hours Log'!$A$4:$A$5000)+7*(ROW()-10)&gt;MAX('Hours Log'!$A$4:$A$5000),"",MIN('Hours Log'!$A$4:$A$5000)+7*(ROW()-10)))</f>
        <v/>
      </c>
    </row>
    <row r="1106">
      <c r="A1106">
        <f>IF($J1106="","",YEAR($J1106-WEEKDAY($J1106,2)+4)&amp;"-W"&amp;TEXT(WEEKNUM($J1106,21),"00"))</f>
        <v/>
      </c>
      <c r="B1106" s="41">
        <f>IF($J1106="","",COUNTIFS(Roster!$D$4:$D$500,"Active",Roster!$C$4:$C$500,"&lt;="&amp;$J1106))</f>
        <v/>
      </c>
      <c r="C1106">
        <f>IF($J1106="","",SUMIFS('Hours Log'!$C:$C,'Hours Log'!$A:$A,"&gt;="&amp;$J1106,'Hours Log'!$A:$A,"&lt;"&amp;$J1106+7)+SUMIFS('Hours Log'!$D:$D,'Hours Log'!$A:$A,"&gt;="&amp;$J1106,'Hours Log'!$A:$A,"&lt;"&amp;$J1106+7))</f>
        <v/>
      </c>
      <c r="D1106">
        <f>IF($J1106="","",SUMIFS('Hours Log'!$D:$D,'Hours Log'!$A:$A,"&gt;="&amp;$J1106,'Hours Log'!$A:$A,"&lt;"&amp;$J1106+7))</f>
        <v/>
      </c>
      <c r="E1106">
        <f>IF($J1106="","",IFERROR(C1106/(B1106*40),0))</f>
        <v/>
      </c>
      <c r="F1106">
        <f>IF($J1106="","",0)</f>
        <v/>
      </c>
      <c r="G1106">
        <f>IF($J1106="","",SUMIFS('Hours Log'!$E:$E,'Hours Log'!$A:$A,"&gt;="&amp;$J1106,'Hours Log'!$A:$A,"&lt;"&amp;$J1106+7))</f>
        <v/>
      </c>
      <c r="J1106">
        <f>IF(COUNT('Hours Log'!$A$4:$A$5000)=0,"",IF(MIN('Hours Log'!$A$4:$A$5000)+7*(ROW()-10)&gt;MAX('Hours Log'!$A$4:$A$5000),"",MIN('Hours Log'!$A$4:$A$5000)+7*(ROW()-10)))</f>
        <v/>
      </c>
    </row>
    <row r="1107">
      <c r="A1107">
        <f>IF($J1107="","",YEAR($J1107-WEEKDAY($J1107,2)+4)&amp;"-W"&amp;TEXT(WEEKNUM($J1107,21),"00"))</f>
        <v/>
      </c>
      <c r="B1107" s="41">
        <f>IF($J1107="","",COUNTIFS(Roster!$D$4:$D$500,"Active",Roster!$C$4:$C$500,"&lt;="&amp;$J1107))</f>
        <v/>
      </c>
      <c r="C1107">
        <f>IF($J1107="","",SUMIFS('Hours Log'!$C:$C,'Hours Log'!$A:$A,"&gt;="&amp;$J1107,'Hours Log'!$A:$A,"&lt;"&amp;$J1107+7)+SUMIFS('Hours Log'!$D:$D,'Hours Log'!$A:$A,"&gt;="&amp;$J1107,'Hours Log'!$A:$A,"&lt;"&amp;$J1107+7))</f>
        <v/>
      </c>
      <c r="D1107">
        <f>IF($J1107="","",SUMIFS('Hours Log'!$D:$D,'Hours Log'!$A:$A,"&gt;="&amp;$J1107,'Hours Log'!$A:$A,"&lt;"&amp;$J1107+7))</f>
        <v/>
      </c>
      <c r="E1107">
        <f>IF($J1107="","",IFERROR(C1107/(B1107*40),0))</f>
        <v/>
      </c>
      <c r="F1107">
        <f>IF($J1107="","",0)</f>
        <v/>
      </c>
      <c r="G1107">
        <f>IF($J1107="","",SUMIFS('Hours Log'!$E:$E,'Hours Log'!$A:$A,"&gt;="&amp;$J1107,'Hours Log'!$A:$A,"&lt;"&amp;$J1107+7))</f>
        <v/>
      </c>
      <c r="J1107">
        <f>IF(COUNT('Hours Log'!$A$4:$A$5000)=0,"",IF(MIN('Hours Log'!$A$4:$A$5000)+7*(ROW()-10)&gt;MAX('Hours Log'!$A$4:$A$5000),"",MIN('Hours Log'!$A$4:$A$5000)+7*(ROW()-10)))</f>
        <v/>
      </c>
    </row>
    <row r="1108">
      <c r="A1108">
        <f>IF($J1108="","",YEAR($J1108-WEEKDAY($J1108,2)+4)&amp;"-W"&amp;TEXT(WEEKNUM($J1108,21),"00"))</f>
        <v/>
      </c>
      <c r="B1108" s="41">
        <f>IF($J1108="","",COUNTIFS(Roster!$D$4:$D$500,"Active",Roster!$C$4:$C$500,"&lt;="&amp;$J1108))</f>
        <v/>
      </c>
      <c r="C1108">
        <f>IF($J1108="","",SUMIFS('Hours Log'!$C:$C,'Hours Log'!$A:$A,"&gt;="&amp;$J1108,'Hours Log'!$A:$A,"&lt;"&amp;$J1108+7)+SUMIFS('Hours Log'!$D:$D,'Hours Log'!$A:$A,"&gt;="&amp;$J1108,'Hours Log'!$A:$A,"&lt;"&amp;$J1108+7))</f>
        <v/>
      </c>
      <c r="D1108">
        <f>IF($J1108="","",SUMIFS('Hours Log'!$D:$D,'Hours Log'!$A:$A,"&gt;="&amp;$J1108,'Hours Log'!$A:$A,"&lt;"&amp;$J1108+7))</f>
        <v/>
      </c>
      <c r="E1108">
        <f>IF($J1108="","",IFERROR(C1108/(B1108*40),0))</f>
        <v/>
      </c>
      <c r="F1108">
        <f>IF($J1108="","",0)</f>
        <v/>
      </c>
      <c r="G1108">
        <f>IF($J1108="","",SUMIFS('Hours Log'!$E:$E,'Hours Log'!$A:$A,"&gt;="&amp;$J1108,'Hours Log'!$A:$A,"&lt;"&amp;$J1108+7))</f>
        <v/>
      </c>
      <c r="J1108">
        <f>IF(COUNT('Hours Log'!$A$4:$A$5000)=0,"",IF(MIN('Hours Log'!$A$4:$A$5000)+7*(ROW()-10)&gt;MAX('Hours Log'!$A$4:$A$5000),"",MIN('Hours Log'!$A$4:$A$5000)+7*(ROW()-10)))</f>
        <v/>
      </c>
    </row>
    <row r="1109">
      <c r="A1109">
        <f>IF($J1109="","",YEAR($J1109-WEEKDAY($J1109,2)+4)&amp;"-W"&amp;TEXT(WEEKNUM($J1109,21),"00"))</f>
        <v/>
      </c>
      <c r="B1109" s="41">
        <f>IF($J1109="","",COUNTIFS(Roster!$D$4:$D$500,"Active",Roster!$C$4:$C$500,"&lt;="&amp;$J1109))</f>
        <v/>
      </c>
      <c r="C1109">
        <f>IF($J1109="","",SUMIFS('Hours Log'!$C:$C,'Hours Log'!$A:$A,"&gt;="&amp;$J1109,'Hours Log'!$A:$A,"&lt;"&amp;$J1109+7)+SUMIFS('Hours Log'!$D:$D,'Hours Log'!$A:$A,"&gt;="&amp;$J1109,'Hours Log'!$A:$A,"&lt;"&amp;$J1109+7))</f>
        <v/>
      </c>
      <c r="D1109">
        <f>IF($J1109="","",SUMIFS('Hours Log'!$D:$D,'Hours Log'!$A:$A,"&gt;="&amp;$J1109,'Hours Log'!$A:$A,"&lt;"&amp;$J1109+7))</f>
        <v/>
      </c>
      <c r="E1109">
        <f>IF($J1109="","",IFERROR(C1109/(B1109*40),0))</f>
        <v/>
      </c>
      <c r="F1109">
        <f>IF($J1109="","",0)</f>
        <v/>
      </c>
      <c r="G1109">
        <f>IF($J1109="","",SUMIFS('Hours Log'!$E:$E,'Hours Log'!$A:$A,"&gt;="&amp;$J1109,'Hours Log'!$A:$A,"&lt;"&amp;$J1109+7))</f>
        <v/>
      </c>
      <c r="J1109">
        <f>IF(COUNT('Hours Log'!$A$4:$A$5000)=0,"",IF(MIN('Hours Log'!$A$4:$A$5000)+7*(ROW()-10)&gt;MAX('Hours Log'!$A$4:$A$5000),"",MIN('Hours Log'!$A$4:$A$5000)+7*(ROW()-10)))</f>
        <v/>
      </c>
    </row>
    <row r="1110">
      <c r="A1110">
        <f>IF($J1110="","",YEAR($J1110-WEEKDAY($J1110,2)+4)&amp;"-W"&amp;TEXT(WEEKNUM($J1110,21),"00"))</f>
        <v/>
      </c>
      <c r="B1110" s="41">
        <f>IF($J1110="","",COUNTIFS(Roster!$D$4:$D$500,"Active",Roster!$C$4:$C$500,"&lt;="&amp;$J1110))</f>
        <v/>
      </c>
      <c r="C1110">
        <f>IF($J1110="","",SUMIFS('Hours Log'!$C:$C,'Hours Log'!$A:$A,"&gt;="&amp;$J1110,'Hours Log'!$A:$A,"&lt;"&amp;$J1110+7)+SUMIFS('Hours Log'!$D:$D,'Hours Log'!$A:$A,"&gt;="&amp;$J1110,'Hours Log'!$A:$A,"&lt;"&amp;$J1110+7))</f>
        <v/>
      </c>
      <c r="D1110">
        <f>IF($J1110="","",SUMIFS('Hours Log'!$D:$D,'Hours Log'!$A:$A,"&gt;="&amp;$J1110,'Hours Log'!$A:$A,"&lt;"&amp;$J1110+7))</f>
        <v/>
      </c>
      <c r="E1110">
        <f>IF($J1110="","",IFERROR(C1110/(B1110*40),0))</f>
        <v/>
      </c>
      <c r="F1110">
        <f>IF($J1110="","",0)</f>
        <v/>
      </c>
      <c r="G1110">
        <f>IF($J1110="","",SUMIFS('Hours Log'!$E:$E,'Hours Log'!$A:$A,"&gt;="&amp;$J1110,'Hours Log'!$A:$A,"&lt;"&amp;$J1110+7))</f>
        <v/>
      </c>
      <c r="J1110">
        <f>IF(COUNT('Hours Log'!$A$4:$A$5000)=0,"",IF(MIN('Hours Log'!$A$4:$A$5000)+7*(ROW()-10)&gt;MAX('Hours Log'!$A$4:$A$5000),"",MIN('Hours Log'!$A$4:$A$5000)+7*(ROW()-10)))</f>
        <v/>
      </c>
    </row>
    <row r="1111">
      <c r="A1111">
        <f>IF($J1111="","",YEAR($J1111-WEEKDAY($J1111,2)+4)&amp;"-W"&amp;TEXT(WEEKNUM($J1111,21),"00"))</f>
        <v/>
      </c>
      <c r="B1111" s="41">
        <f>IF($J1111="","",COUNTIFS(Roster!$D$4:$D$500,"Active",Roster!$C$4:$C$500,"&lt;="&amp;$J1111))</f>
        <v/>
      </c>
      <c r="C1111">
        <f>IF($J1111="","",SUMIFS('Hours Log'!$C:$C,'Hours Log'!$A:$A,"&gt;="&amp;$J1111,'Hours Log'!$A:$A,"&lt;"&amp;$J1111+7)+SUMIFS('Hours Log'!$D:$D,'Hours Log'!$A:$A,"&gt;="&amp;$J1111,'Hours Log'!$A:$A,"&lt;"&amp;$J1111+7))</f>
        <v/>
      </c>
      <c r="D1111">
        <f>IF($J1111="","",SUMIFS('Hours Log'!$D:$D,'Hours Log'!$A:$A,"&gt;="&amp;$J1111,'Hours Log'!$A:$A,"&lt;"&amp;$J1111+7))</f>
        <v/>
      </c>
      <c r="E1111">
        <f>IF($J1111="","",IFERROR(C1111/(B1111*40),0))</f>
        <v/>
      </c>
      <c r="F1111">
        <f>IF($J1111="","",0)</f>
        <v/>
      </c>
      <c r="G1111">
        <f>IF($J1111="","",SUMIFS('Hours Log'!$E:$E,'Hours Log'!$A:$A,"&gt;="&amp;$J1111,'Hours Log'!$A:$A,"&lt;"&amp;$J1111+7))</f>
        <v/>
      </c>
      <c r="J1111">
        <f>IF(COUNT('Hours Log'!$A$4:$A$5000)=0,"",IF(MIN('Hours Log'!$A$4:$A$5000)+7*(ROW()-10)&gt;MAX('Hours Log'!$A$4:$A$5000),"",MIN('Hours Log'!$A$4:$A$5000)+7*(ROW()-10)))</f>
        <v/>
      </c>
    </row>
    <row r="1112">
      <c r="A1112">
        <f>IF($J1112="","",YEAR($J1112-WEEKDAY($J1112,2)+4)&amp;"-W"&amp;TEXT(WEEKNUM($J1112,21),"00"))</f>
        <v/>
      </c>
      <c r="B1112" s="41">
        <f>IF($J1112="","",COUNTIFS(Roster!$D$4:$D$500,"Active",Roster!$C$4:$C$500,"&lt;="&amp;$J1112))</f>
        <v/>
      </c>
      <c r="C1112">
        <f>IF($J1112="","",SUMIFS('Hours Log'!$C:$C,'Hours Log'!$A:$A,"&gt;="&amp;$J1112,'Hours Log'!$A:$A,"&lt;"&amp;$J1112+7)+SUMIFS('Hours Log'!$D:$D,'Hours Log'!$A:$A,"&gt;="&amp;$J1112,'Hours Log'!$A:$A,"&lt;"&amp;$J1112+7))</f>
        <v/>
      </c>
      <c r="D1112">
        <f>IF($J1112="","",SUMIFS('Hours Log'!$D:$D,'Hours Log'!$A:$A,"&gt;="&amp;$J1112,'Hours Log'!$A:$A,"&lt;"&amp;$J1112+7))</f>
        <v/>
      </c>
      <c r="E1112">
        <f>IF($J1112="","",IFERROR(C1112/(B1112*40),0))</f>
        <v/>
      </c>
      <c r="F1112">
        <f>IF($J1112="","",0)</f>
        <v/>
      </c>
      <c r="G1112">
        <f>IF($J1112="","",SUMIFS('Hours Log'!$E:$E,'Hours Log'!$A:$A,"&gt;="&amp;$J1112,'Hours Log'!$A:$A,"&lt;"&amp;$J1112+7))</f>
        <v/>
      </c>
      <c r="J1112">
        <f>IF(COUNT('Hours Log'!$A$4:$A$5000)=0,"",IF(MIN('Hours Log'!$A$4:$A$5000)+7*(ROW()-10)&gt;MAX('Hours Log'!$A$4:$A$5000),"",MIN('Hours Log'!$A$4:$A$5000)+7*(ROW()-10)))</f>
        <v/>
      </c>
    </row>
    <row r="1113">
      <c r="A1113">
        <f>IF($J1113="","",YEAR($J1113-WEEKDAY($J1113,2)+4)&amp;"-W"&amp;TEXT(WEEKNUM($J1113,21),"00"))</f>
        <v/>
      </c>
      <c r="B1113" s="41">
        <f>IF($J1113="","",COUNTIFS(Roster!$D$4:$D$500,"Active",Roster!$C$4:$C$500,"&lt;="&amp;$J1113))</f>
        <v/>
      </c>
      <c r="C1113">
        <f>IF($J1113="","",SUMIFS('Hours Log'!$C:$C,'Hours Log'!$A:$A,"&gt;="&amp;$J1113,'Hours Log'!$A:$A,"&lt;"&amp;$J1113+7)+SUMIFS('Hours Log'!$D:$D,'Hours Log'!$A:$A,"&gt;="&amp;$J1113,'Hours Log'!$A:$A,"&lt;"&amp;$J1113+7))</f>
        <v/>
      </c>
      <c r="D1113">
        <f>IF($J1113="","",SUMIFS('Hours Log'!$D:$D,'Hours Log'!$A:$A,"&gt;="&amp;$J1113,'Hours Log'!$A:$A,"&lt;"&amp;$J1113+7))</f>
        <v/>
      </c>
      <c r="E1113">
        <f>IF($J1113="","",IFERROR(C1113/(B1113*40),0))</f>
        <v/>
      </c>
      <c r="F1113">
        <f>IF($J1113="","",0)</f>
        <v/>
      </c>
      <c r="G1113">
        <f>IF($J1113="","",SUMIFS('Hours Log'!$E:$E,'Hours Log'!$A:$A,"&gt;="&amp;$J1113,'Hours Log'!$A:$A,"&lt;"&amp;$J1113+7))</f>
        <v/>
      </c>
      <c r="J1113">
        <f>IF(COUNT('Hours Log'!$A$4:$A$5000)=0,"",IF(MIN('Hours Log'!$A$4:$A$5000)+7*(ROW()-10)&gt;MAX('Hours Log'!$A$4:$A$5000),"",MIN('Hours Log'!$A$4:$A$5000)+7*(ROW()-10)))</f>
        <v/>
      </c>
    </row>
    <row r="1114">
      <c r="A1114">
        <f>IF($J1114="","",YEAR($J1114-WEEKDAY($J1114,2)+4)&amp;"-W"&amp;TEXT(WEEKNUM($J1114,21),"00"))</f>
        <v/>
      </c>
      <c r="B1114" s="41">
        <f>IF($J1114="","",COUNTIFS(Roster!$D$4:$D$500,"Active",Roster!$C$4:$C$500,"&lt;="&amp;$J1114))</f>
        <v/>
      </c>
      <c r="C1114">
        <f>IF($J1114="","",SUMIFS('Hours Log'!$C:$C,'Hours Log'!$A:$A,"&gt;="&amp;$J1114,'Hours Log'!$A:$A,"&lt;"&amp;$J1114+7)+SUMIFS('Hours Log'!$D:$D,'Hours Log'!$A:$A,"&gt;="&amp;$J1114,'Hours Log'!$A:$A,"&lt;"&amp;$J1114+7))</f>
        <v/>
      </c>
      <c r="D1114">
        <f>IF($J1114="","",SUMIFS('Hours Log'!$D:$D,'Hours Log'!$A:$A,"&gt;="&amp;$J1114,'Hours Log'!$A:$A,"&lt;"&amp;$J1114+7))</f>
        <v/>
      </c>
      <c r="E1114">
        <f>IF($J1114="","",IFERROR(C1114/(B1114*40),0))</f>
        <v/>
      </c>
      <c r="F1114">
        <f>IF($J1114="","",0)</f>
        <v/>
      </c>
      <c r="G1114">
        <f>IF($J1114="","",SUMIFS('Hours Log'!$E:$E,'Hours Log'!$A:$A,"&gt;="&amp;$J1114,'Hours Log'!$A:$A,"&lt;"&amp;$J1114+7))</f>
        <v/>
      </c>
      <c r="J1114">
        <f>IF(COUNT('Hours Log'!$A$4:$A$5000)=0,"",IF(MIN('Hours Log'!$A$4:$A$5000)+7*(ROW()-10)&gt;MAX('Hours Log'!$A$4:$A$5000),"",MIN('Hours Log'!$A$4:$A$5000)+7*(ROW()-10)))</f>
        <v/>
      </c>
    </row>
    <row r="1115">
      <c r="A1115">
        <f>IF($J1115="","",YEAR($J1115-WEEKDAY($J1115,2)+4)&amp;"-W"&amp;TEXT(WEEKNUM($J1115,21),"00"))</f>
        <v/>
      </c>
      <c r="B1115" s="41">
        <f>IF($J1115="","",COUNTIFS(Roster!$D$4:$D$500,"Active",Roster!$C$4:$C$500,"&lt;="&amp;$J1115))</f>
        <v/>
      </c>
      <c r="C1115">
        <f>IF($J1115="","",SUMIFS('Hours Log'!$C:$C,'Hours Log'!$A:$A,"&gt;="&amp;$J1115,'Hours Log'!$A:$A,"&lt;"&amp;$J1115+7)+SUMIFS('Hours Log'!$D:$D,'Hours Log'!$A:$A,"&gt;="&amp;$J1115,'Hours Log'!$A:$A,"&lt;"&amp;$J1115+7))</f>
        <v/>
      </c>
      <c r="D1115">
        <f>IF($J1115="","",SUMIFS('Hours Log'!$D:$D,'Hours Log'!$A:$A,"&gt;="&amp;$J1115,'Hours Log'!$A:$A,"&lt;"&amp;$J1115+7))</f>
        <v/>
      </c>
      <c r="E1115">
        <f>IF($J1115="","",IFERROR(C1115/(B1115*40),0))</f>
        <v/>
      </c>
      <c r="F1115">
        <f>IF($J1115="","",0)</f>
        <v/>
      </c>
      <c r="G1115">
        <f>IF($J1115="","",SUMIFS('Hours Log'!$E:$E,'Hours Log'!$A:$A,"&gt;="&amp;$J1115,'Hours Log'!$A:$A,"&lt;"&amp;$J1115+7))</f>
        <v/>
      </c>
      <c r="J1115">
        <f>IF(COUNT('Hours Log'!$A$4:$A$5000)=0,"",IF(MIN('Hours Log'!$A$4:$A$5000)+7*(ROW()-10)&gt;MAX('Hours Log'!$A$4:$A$5000),"",MIN('Hours Log'!$A$4:$A$5000)+7*(ROW()-10)))</f>
        <v/>
      </c>
    </row>
    <row r="1116">
      <c r="A1116">
        <f>IF($J1116="","",YEAR($J1116-WEEKDAY($J1116,2)+4)&amp;"-W"&amp;TEXT(WEEKNUM($J1116,21),"00"))</f>
        <v/>
      </c>
      <c r="B1116" s="41">
        <f>IF($J1116="","",COUNTIFS(Roster!$D$4:$D$500,"Active",Roster!$C$4:$C$500,"&lt;="&amp;$J1116))</f>
        <v/>
      </c>
      <c r="C1116">
        <f>IF($J1116="","",SUMIFS('Hours Log'!$C:$C,'Hours Log'!$A:$A,"&gt;="&amp;$J1116,'Hours Log'!$A:$A,"&lt;"&amp;$J1116+7)+SUMIFS('Hours Log'!$D:$D,'Hours Log'!$A:$A,"&gt;="&amp;$J1116,'Hours Log'!$A:$A,"&lt;"&amp;$J1116+7))</f>
        <v/>
      </c>
      <c r="D1116">
        <f>IF($J1116="","",SUMIFS('Hours Log'!$D:$D,'Hours Log'!$A:$A,"&gt;="&amp;$J1116,'Hours Log'!$A:$A,"&lt;"&amp;$J1116+7))</f>
        <v/>
      </c>
      <c r="E1116">
        <f>IF($J1116="","",IFERROR(C1116/(B1116*40),0))</f>
        <v/>
      </c>
      <c r="F1116">
        <f>IF($J1116="","",0)</f>
        <v/>
      </c>
      <c r="G1116">
        <f>IF($J1116="","",SUMIFS('Hours Log'!$E:$E,'Hours Log'!$A:$A,"&gt;="&amp;$J1116,'Hours Log'!$A:$A,"&lt;"&amp;$J1116+7))</f>
        <v/>
      </c>
      <c r="J1116">
        <f>IF(COUNT('Hours Log'!$A$4:$A$5000)=0,"",IF(MIN('Hours Log'!$A$4:$A$5000)+7*(ROW()-10)&gt;MAX('Hours Log'!$A$4:$A$5000),"",MIN('Hours Log'!$A$4:$A$5000)+7*(ROW()-10)))</f>
        <v/>
      </c>
    </row>
    <row r="1117">
      <c r="A1117">
        <f>IF($J1117="","",YEAR($J1117-WEEKDAY($J1117,2)+4)&amp;"-W"&amp;TEXT(WEEKNUM($J1117,21),"00"))</f>
        <v/>
      </c>
      <c r="B1117" s="41">
        <f>IF($J1117="","",COUNTIFS(Roster!$D$4:$D$500,"Active",Roster!$C$4:$C$500,"&lt;="&amp;$J1117))</f>
        <v/>
      </c>
      <c r="C1117">
        <f>IF($J1117="","",SUMIFS('Hours Log'!$C:$C,'Hours Log'!$A:$A,"&gt;="&amp;$J1117,'Hours Log'!$A:$A,"&lt;"&amp;$J1117+7)+SUMIFS('Hours Log'!$D:$D,'Hours Log'!$A:$A,"&gt;="&amp;$J1117,'Hours Log'!$A:$A,"&lt;"&amp;$J1117+7))</f>
        <v/>
      </c>
      <c r="D1117">
        <f>IF($J1117="","",SUMIFS('Hours Log'!$D:$D,'Hours Log'!$A:$A,"&gt;="&amp;$J1117,'Hours Log'!$A:$A,"&lt;"&amp;$J1117+7))</f>
        <v/>
      </c>
      <c r="E1117">
        <f>IF($J1117="","",IFERROR(C1117/(B1117*40),0))</f>
        <v/>
      </c>
      <c r="F1117">
        <f>IF($J1117="","",0)</f>
        <v/>
      </c>
      <c r="G1117">
        <f>IF($J1117="","",SUMIFS('Hours Log'!$E:$E,'Hours Log'!$A:$A,"&gt;="&amp;$J1117,'Hours Log'!$A:$A,"&lt;"&amp;$J1117+7))</f>
        <v/>
      </c>
      <c r="J1117">
        <f>IF(COUNT('Hours Log'!$A$4:$A$5000)=0,"",IF(MIN('Hours Log'!$A$4:$A$5000)+7*(ROW()-10)&gt;MAX('Hours Log'!$A$4:$A$5000),"",MIN('Hours Log'!$A$4:$A$5000)+7*(ROW()-10)))</f>
        <v/>
      </c>
    </row>
    <row r="1118">
      <c r="A1118">
        <f>IF($J1118="","",YEAR($J1118-WEEKDAY($J1118,2)+4)&amp;"-W"&amp;TEXT(WEEKNUM($J1118,21),"00"))</f>
        <v/>
      </c>
      <c r="B1118" s="41">
        <f>IF($J1118="","",COUNTIFS(Roster!$D$4:$D$500,"Active",Roster!$C$4:$C$500,"&lt;="&amp;$J1118))</f>
        <v/>
      </c>
      <c r="C1118">
        <f>IF($J1118="","",SUMIFS('Hours Log'!$C:$C,'Hours Log'!$A:$A,"&gt;="&amp;$J1118,'Hours Log'!$A:$A,"&lt;"&amp;$J1118+7)+SUMIFS('Hours Log'!$D:$D,'Hours Log'!$A:$A,"&gt;="&amp;$J1118,'Hours Log'!$A:$A,"&lt;"&amp;$J1118+7))</f>
        <v/>
      </c>
      <c r="D1118">
        <f>IF($J1118="","",SUMIFS('Hours Log'!$D:$D,'Hours Log'!$A:$A,"&gt;="&amp;$J1118,'Hours Log'!$A:$A,"&lt;"&amp;$J1118+7))</f>
        <v/>
      </c>
      <c r="E1118">
        <f>IF($J1118="","",IFERROR(C1118/(B1118*40),0))</f>
        <v/>
      </c>
      <c r="F1118">
        <f>IF($J1118="","",0)</f>
        <v/>
      </c>
      <c r="G1118">
        <f>IF($J1118="","",SUMIFS('Hours Log'!$E:$E,'Hours Log'!$A:$A,"&gt;="&amp;$J1118,'Hours Log'!$A:$A,"&lt;"&amp;$J1118+7))</f>
        <v/>
      </c>
      <c r="J1118">
        <f>IF(COUNT('Hours Log'!$A$4:$A$5000)=0,"",IF(MIN('Hours Log'!$A$4:$A$5000)+7*(ROW()-10)&gt;MAX('Hours Log'!$A$4:$A$5000),"",MIN('Hours Log'!$A$4:$A$5000)+7*(ROW()-10)))</f>
        <v/>
      </c>
    </row>
    <row r="1119">
      <c r="A1119">
        <f>IF($J1119="","",YEAR($J1119-WEEKDAY($J1119,2)+4)&amp;"-W"&amp;TEXT(WEEKNUM($J1119,21),"00"))</f>
        <v/>
      </c>
      <c r="B1119" s="41">
        <f>IF($J1119="","",COUNTIFS(Roster!$D$4:$D$500,"Active",Roster!$C$4:$C$500,"&lt;="&amp;$J1119))</f>
        <v/>
      </c>
      <c r="C1119">
        <f>IF($J1119="","",SUMIFS('Hours Log'!$C:$C,'Hours Log'!$A:$A,"&gt;="&amp;$J1119,'Hours Log'!$A:$A,"&lt;"&amp;$J1119+7)+SUMIFS('Hours Log'!$D:$D,'Hours Log'!$A:$A,"&gt;="&amp;$J1119,'Hours Log'!$A:$A,"&lt;"&amp;$J1119+7))</f>
        <v/>
      </c>
      <c r="D1119">
        <f>IF($J1119="","",SUMIFS('Hours Log'!$D:$D,'Hours Log'!$A:$A,"&gt;="&amp;$J1119,'Hours Log'!$A:$A,"&lt;"&amp;$J1119+7))</f>
        <v/>
      </c>
      <c r="E1119">
        <f>IF($J1119="","",IFERROR(C1119/(B1119*40),0))</f>
        <v/>
      </c>
      <c r="F1119">
        <f>IF($J1119="","",0)</f>
        <v/>
      </c>
      <c r="G1119">
        <f>IF($J1119="","",SUMIFS('Hours Log'!$E:$E,'Hours Log'!$A:$A,"&gt;="&amp;$J1119,'Hours Log'!$A:$A,"&lt;"&amp;$J1119+7))</f>
        <v/>
      </c>
      <c r="J1119">
        <f>IF(COUNT('Hours Log'!$A$4:$A$5000)=0,"",IF(MIN('Hours Log'!$A$4:$A$5000)+7*(ROW()-10)&gt;MAX('Hours Log'!$A$4:$A$5000),"",MIN('Hours Log'!$A$4:$A$5000)+7*(ROW()-10)))</f>
        <v/>
      </c>
    </row>
    <row r="1120">
      <c r="A1120">
        <f>IF($J1120="","",YEAR($J1120-WEEKDAY($J1120,2)+4)&amp;"-W"&amp;TEXT(WEEKNUM($J1120,21),"00"))</f>
        <v/>
      </c>
      <c r="B1120" s="41">
        <f>IF($J1120="","",COUNTIFS(Roster!$D$4:$D$500,"Active",Roster!$C$4:$C$500,"&lt;="&amp;$J1120))</f>
        <v/>
      </c>
      <c r="C1120">
        <f>IF($J1120="","",SUMIFS('Hours Log'!$C:$C,'Hours Log'!$A:$A,"&gt;="&amp;$J1120,'Hours Log'!$A:$A,"&lt;"&amp;$J1120+7)+SUMIFS('Hours Log'!$D:$D,'Hours Log'!$A:$A,"&gt;="&amp;$J1120,'Hours Log'!$A:$A,"&lt;"&amp;$J1120+7))</f>
        <v/>
      </c>
      <c r="D1120">
        <f>IF($J1120="","",SUMIFS('Hours Log'!$D:$D,'Hours Log'!$A:$A,"&gt;="&amp;$J1120,'Hours Log'!$A:$A,"&lt;"&amp;$J1120+7))</f>
        <v/>
      </c>
      <c r="E1120">
        <f>IF($J1120="","",IFERROR(C1120/(B1120*40),0))</f>
        <v/>
      </c>
      <c r="F1120">
        <f>IF($J1120="","",0)</f>
        <v/>
      </c>
      <c r="G1120">
        <f>IF($J1120="","",SUMIFS('Hours Log'!$E:$E,'Hours Log'!$A:$A,"&gt;="&amp;$J1120,'Hours Log'!$A:$A,"&lt;"&amp;$J1120+7))</f>
        <v/>
      </c>
      <c r="J1120">
        <f>IF(COUNT('Hours Log'!$A$4:$A$5000)=0,"",IF(MIN('Hours Log'!$A$4:$A$5000)+7*(ROW()-10)&gt;MAX('Hours Log'!$A$4:$A$5000),"",MIN('Hours Log'!$A$4:$A$5000)+7*(ROW()-10)))</f>
        <v/>
      </c>
    </row>
    <row r="1121">
      <c r="A1121">
        <f>IF($J1121="","",YEAR($J1121-WEEKDAY($J1121,2)+4)&amp;"-W"&amp;TEXT(WEEKNUM($J1121,21),"00"))</f>
        <v/>
      </c>
      <c r="B1121" s="41">
        <f>IF($J1121="","",COUNTIFS(Roster!$D$4:$D$500,"Active",Roster!$C$4:$C$500,"&lt;="&amp;$J1121))</f>
        <v/>
      </c>
      <c r="C1121">
        <f>IF($J1121="","",SUMIFS('Hours Log'!$C:$C,'Hours Log'!$A:$A,"&gt;="&amp;$J1121,'Hours Log'!$A:$A,"&lt;"&amp;$J1121+7)+SUMIFS('Hours Log'!$D:$D,'Hours Log'!$A:$A,"&gt;="&amp;$J1121,'Hours Log'!$A:$A,"&lt;"&amp;$J1121+7))</f>
        <v/>
      </c>
      <c r="D1121">
        <f>IF($J1121="","",SUMIFS('Hours Log'!$D:$D,'Hours Log'!$A:$A,"&gt;="&amp;$J1121,'Hours Log'!$A:$A,"&lt;"&amp;$J1121+7))</f>
        <v/>
      </c>
      <c r="E1121">
        <f>IF($J1121="","",IFERROR(C1121/(B1121*40),0))</f>
        <v/>
      </c>
      <c r="F1121">
        <f>IF($J1121="","",0)</f>
        <v/>
      </c>
      <c r="G1121">
        <f>IF($J1121="","",SUMIFS('Hours Log'!$E:$E,'Hours Log'!$A:$A,"&gt;="&amp;$J1121,'Hours Log'!$A:$A,"&lt;"&amp;$J1121+7))</f>
        <v/>
      </c>
      <c r="J1121">
        <f>IF(COUNT('Hours Log'!$A$4:$A$5000)=0,"",IF(MIN('Hours Log'!$A$4:$A$5000)+7*(ROW()-10)&gt;MAX('Hours Log'!$A$4:$A$5000),"",MIN('Hours Log'!$A$4:$A$5000)+7*(ROW()-10)))</f>
        <v/>
      </c>
    </row>
    <row r="1122">
      <c r="A1122">
        <f>IF($J1122="","",YEAR($J1122-WEEKDAY($J1122,2)+4)&amp;"-W"&amp;TEXT(WEEKNUM($J1122,21),"00"))</f>
        <v/>
      </c>
      <c r="B1122" s="41">
        <f>IF($J1122="","",COUNTIFS(Roster!$D$4:$D$500,"Active",Roster!$C$4:$C$500,"&lt;="&amp;$J1122))</f>
        <v/>
      </c>
      <c r="C1122">
        <f>IF($J1122="","",SUMIFS('Hours Log'!$C:$C,'Hours Log'!$A:$A,"&gt;="&amp;$J1122,'Hours Log'!$A:$A,"&lt;"&amp;$J1122+7)+SUMIFS('Hours Log'!$D:$D,'Hours Log'!$A:$A,"&gt;="&amp;$J1122,'Hours Log'!$A:$A,"&lt;"&amp;$J1122+7))</f>
        <v/>
      </c>
      <c r="D1122">
        <f>IF($J1122="","",SUMIFS('Hours Log'!$D:$D,'Hours Log'!$A:$A,"&gt;="&amp;$J1122,'Hours Log'!$A:$A,"&lt;"&amp;$J1122+7))</f>
        <v/>
      </c>
      <c r="E1122">
        <f>IF($J1122="","",IFERROR(C1122/(B1122*40),0))</f>
        <v/>
      </c>
      <c r="F1122">
        <f>IF($J1122="","",0)</f>
        <v/>
      </c>
      <c r="G1122">
        <f>IF($J1122="","",SUMIFS('Hours Log'!$E:$E,'Hours Log'!$A:$A,"&gt;="&amp;$J1122,'Hours Log'!$A:$A,"&lt;"&amp;$J1122+7))</f>
        <v/>
      </c>
      <c r="J1122">
        <f>IF(COUNT('Hours Log'!$A$4:$A$5000)=0,"",IF(MIN('Hours Log'!$A$4:$A$5000)+7*(ROW()-10)&gt;MAX('Hours Log'!$A$4:$A$5000),"",MIN('Hours Log'!$A$4:$A$5000)+7*(ROW()-10)))</f>
        <v/>
      </c>
    </row>
    <row r="1123">
      <c r="A1123">
        <f>IF($J1123="","",YEAR($J1123-WEEKDAY($J1123,2)+4)&amp;"-W"&amp;TEXT(WEEKNUM($J1123,21),"00"))</f>
        <v/>
      </c>
      <c r="B1123" s="41">
        <f>IF($J1123="","",COUNTIFS(Roster!$D$4:$D$500,"Active",Roster!$C$4:$C$500,"&lt;="&amp;$J1123))</f>
        <v/>
      </c>
      <c r="C1123">
        <f>IF($J1123="","",SUMIFS('Hours Log'!$C:$C,'Hours Log'!$A:$A,"&gt;="&amp;$J1123,'Hours Log'!$A:$A,"&lt;"&amp;$J1123+7)+SUMIFS('Hours Log'!$D:$D,'Hours Log'!$A:$A,"&gt;="&amp;$J1123,'Hours Log'!$A:$A,"&lt;"&amp;$J1123+7))</f>
        <v/>
      </c>
      <c r="D1123">
        <f>IF($J1123="","",SUMIFS('Hours Log'!$D:$D,'Hours Log'!$A:$A,"&gt;="&amp;$J1123,'Hours Log'!$A:$A,"&lt;"&amp;$J1123+7))</f>
        <v/>
      </c>
      <c r="E1123">
        <f>IF($J1123="","",IFERROR(C1123/(B1123*40),0))</f>
        <v/>
      </c>
      <c r="F1123">
        <f>IF($J1123="","",0)</f>
        <v/>
      </c>
      <c r="G1123">
        <f>IF($J1123="","",SUMIFS('Hours Log'!$E:$E,'Hours Log'!$A:$A,"&gt;="&amp;$J1123,'Hours Log'!$A:$A,"&lt;"&amp;$J1123+7))</f>
        <v/>
      </c>
      <c r="J1123">
        <f>IF(COUNT('Hours Log'!$A$4:$A$5000)=0,"",IF(MIN('Hours Log'!$A$4:$A$5000)+7*(ROW()-10)&gt;MAX('Hours Log'!$A$4:$A$5000),"",MIN('Hours Log'!$A$4:$A$5000)+7*(ROW()-10)))</f>
        <v/>
      </c>
    </row>
    <row r="1124">
      <c r="A1124">
        <f>IF($J1124="","",YEAR($J1124-WEEKDAY($J1124,2)+4)&amp;"-W"&amp;TEXT(WEEKNUM($J1124,21),"00"))</f>
        <v/>
      </c>
      <c r="B1124" s="41">
        <f>IF($J1124="","",COUNTIFS(Roster!$D$4:$D$500,"Active",Roster!$C$4:$C$500,"&lt;="&amp;$J1124))</f>
        <v/>
      </c>
      <c r="C1124">
        <f>IF($J1124="","",SUMIFS('Hours Log'!$C:$C,'Hours Log'!$A:$A,"&gt;="&amp;$J1124,'Hours Log'!$A:$A,"&lt;"&amp;$J1124+7)+SUMIFS('Hours Log'!$D:$D,'Hours Log'!$A:$A,"&gt;="&amp;$J1124,'Hours Log'!$A:$A,"&lt;"&amp;$J1124+7))</f>
        <v/>
      </c>
      <c r="D1124">
        <f>IF($J1124="","",SUMIFS('Hours Log'!$D:$D,'Hours Log'!$A:$A,"&gt;="&amp;$J1124,'Hours Log'!$A:$A,"&lt;"&amp;$J1124+7))</f>
        <v/>
      </c>
      <c r="E1124">
        <f>IF($J1124="","",IFERROR(C1124/(B1124*40),0))</f>
        <v/>
      </c>
      <c r="F1124">
        <f>IF($J1124="","",0)</f>
        <v/>
      </c>
      <c r="G1124">
        <f>IF($J1124="","",SUMIFS('Hours Log'!$E:$E,'Hours Log'!$A:$A,"&gt;="&amp;$J1124,'Hours Log'!$A:$A,"&lt;"&amp;$J1124+7))</f>
        <v/>
      </c>
      <c r="J1124">
        <f>IF(COUNT('Hours Log'!$A$4:$A$5000)=0,"",IF(MIN('Hours Log'!$A$4:$A$5000)+7*(ROW()-10)&gt;MAX('Hours Log'!$A$4:$A$5000),"",MIN('Hours Log'!$A$4:$A$5000)+7*(ROW()-10)))</f>
        <v/>
      </c>
    </row>
    <row r="1125">
      <c r="A1125">
        <f>IF($J1125="","",YEAR($J1125-WEEKDAY($J1125,2)+4)&amp;"-W"&amp;TEXT(WEEKNUM($J1125,21),"00"))</f>
        <v/>
      </c>
      <c r="B1125" s="41">
        <f>IF($J1125="","",COUNTIFS(Roster!$D$4:$D$500,"Active",Roster!$C$4:$C$500,"&lt;="&amp;$J1125))</f>
        <v/>
      </c>
      <c r="C1125">
        <f>IF($J1125="","",SUMIFS('Hours Log'!$C:$C,'Hours Log'!$A:$A,"&gt;="&amp;$J1125,'Hours Log'!$A:$A,"&lt;"&amp;$J1125+7)+SUMIFS('Hours Log'!$D:$D,'Hours Log'!$A:$A,"&gt;="&amp;$J1125,'Hours Log'!$A:$A,"&lt;"&amp;$J1125+7))</f>
        <v/>
      </c>
      <c r="D1125">
        <f>IF($J1125="","",SUMIFS('Hours Log'!$D:$D,'Hours Log'!$A:$A,"&gt;="&amp;$J1125,'Hours Log'!$A:$A,"&lt;"&amp;$J1125+7))</f>
        <v/>
      </c>
      <c r="E1125">
        <f>IF($J1125="","",IFERROR(C1125/(B1125*40),0))</f>
        <v/>
      </c>
      <c r="F1125">
        <f>IF($J1125="","",0)</f>
        <v/>
      </c>
      <c r="G1125">
        <f>IF($J1125="","",SUMIFS('Hours Log'!$E:$E,'Hours Log'!$A:$A,"&gt;="&amp;$J1125,'Hours Log'!$A:$A,"&lt;"&amp;$J1125+7))</f>
        <v/>
      </c>
      <c r="J1125">
        <f>IF(COUNT('Hours Log'!$A$4:$A$5000)=0,"",IF(MIN('Hours Log'!$A$4:$A$5000)+7*(ROW()-10)&gt;MAX('Hours Log'!$A$4:$A$5000),"",MIN('Hours Log'!$A$4:$A$5000)+7*(ROW()-10)))</f>
        <v/>
      </c>
    </row>
    <row r="1126">
      <c r="A1126">
        <f>IF($J1126="","",YEAR($J1126-WEEKDAY($J1126,2)+4)&amp;"-W"&amp;TEXT(WEEKNUM($J1126,21),"00"))</f>
        <v/>
      </c>
      <c r="B1126" s="41">
        <f>IF($J1126="","",COUNTIFS(Roster!$D$4:$D$500,"Active",Roster!$C$4:$C$500,"&lt;="&amp;$J1126))</f>
        <v/>
      </c>
      <c r="C1126">
        <f>IF($J1126="","",SUMIFS('Hours Log'!$C:$C,'Hours Log'!$A:$A,"&gt;="&amp;$J1126,'Hours Log'!$A:$A,"&lt;"&amp;$J1126+7)+SUMIFS('Hours Log'!$D:$D,'Hours Log'!$A:$A,"&gt;="&amp;$J1126,'Hours Log'!$A:$A,"&lt;"&amp;$J1126+7))</f>
        <v/>
      </c>
      <c r="D1126">
        <f>IF($J1126="","",SUMIFS('Hours Log'!$D:$D,'Hours Log'!$A:$A,"&gt;="&amp;$J1126,'Hours Log'!$A:$A,"&lt;"&amp;$J1126+7))</f>
        <v/>
      </c>
      <c r="E1126">
        <f>IF($J1126="","",IFERROR(C1126/(B1126*40),0))</f>
        <v/>
      </c>
      <c r="F1126">
        <f>IF($J1126="","",0)</f>
        <v/>
      </c>
      <c r="G1126">
        <f>IF($J1126="","",SUMIFS('Hours Log'!$E:$E,'Hours Log'!$A:$A,"&gt;="&amp;$J1126,'Hours Log'!$A:$A,"&lt;"&amp;$J1126+7))</f>
        <v/>
      </c>
      <c r="J1126">
        <f>IF(COUNT('Hours Log'!$A$4:$A$5000)=0,"",IF(MIN('Hours Log'!$A$4:$A$5000)+7*(ROW()-10)&gt;MAX('Hours Log'!$A$4:$A$5000),"",MIN('Hours Log'!$A$4:$A$5000)+7*(ROW()-10)))</f>
        <v/>
      </c>
    </row>
    <row r="1127">
      <c r="A1127">
        <f>IF($J1127="","",YEAR($J1127-WEEKDAY($J1127,2)+4)&amp;"-W"&amp;TEXT(WEEKNUM($J1127,21),"00"))</f>
        <v/>
      </c>
      <c r="B1127" s="41">
        <f>IF($J1127="","",COUNTIFS(Roster!$D$4:$D$500,"Active",Roster!$C$4:$C$500,"&lt;="&amp;$J1127))</f>
        <v/>
      </c>
      <c r="C1127">
        <f>IF($J1127="","",SUMIFS('Hours Log'!$C:$C,'Hours Log'!$A:$A,"&gt;="&amp;$J1127,'Hours Log'!$A:$A,"&lt;"&amp;$J1127+7)+SUMIFS('Hours Log'!$D:$D,'Hours Log'!$A:$A,"&gt;="&amp;$J1127,'Hours Log'!$A:$A,"&lt;"&amp;$J1127+7))</f>
        <v/>
      </c>
      <c r="D1127">
        <f>IF($J1127="","",SUMIFS('Hours Log'!$D:$D,'Hours Log'!$A:$A,"&gt;="&amp;$J1127,'Hours Log'!$A:$A,"&lt;"&amp;$J1127+7))</f>
        <v/>
      </c>
      <c r="E1127">
        <f>IF($J1127="","",IFERROR(C1127/(B1127*40),0))</f>
        <v/>
      </c>
      <c r="F1127">
        <f>IF($J1127="","",0)</f>
        <v/>
      </c>
      <c r="G1127">
        <f>IF($J1127="","",SUMIFS('Hours Log'!$E:$E,'Hours Log'!$A:$A,"&gt;="&amp;$J1127,'Hours Log'!$A:$A,"&lt;"&amp;$J1127+7))</f>
        <v/>
      </c>
      <c r="J1127">
        <f>IF(COUNT('Hours Log'!$A$4:$A$5000)=0,"",IF(MIN('Hours Log'!$A$4:$A$5000)+7*(ROW()-10)&gt;MAX('Hours Log'!$A$4:$A$5000),"",MIN('Hours Log'!$A$4:$A$5000)+7*(ROW()-10)))</f>
        <v/>
      </c>
    </row>
    <row r="1128">
      <c r="A1128">
        <f>IF($J1128="","",YEAR($J1128-WEEKDAY($J1128,2)+4)&amp;"-W"&amp;TEXT(WEEKNUM($J1128,21),"00"))</f>
        <v/>
      </c>
      <c r="B1128" s="41">
        <f>IF($J1128="","",COUNTIFS(Roster!$D$4:$D$500,"Active",Roster!$C$4:$C$500,"&lt;="&amp;$J1128))</f>
        <v/>
      </c>
      <c r="C1128">
        <f>IF($J1128="","",SUMIFS('Hours Log'!$C:$C,'Hours Log'!$A:$A,"&gt;="&amp;$J1128,'Hours Log'!$A:$A,"&lt;"&amp;$J1128+7)+SUMIFS('Hours Log'!$D:$D,'Hours Log'!$A:$A,"&gt;="&amp;$J1128,'Hours Log'!$A:$A,"&lt;"&amp;$J1128+7))</f>
        <v/>
      </c>
      <c r="D1128">
        <f>IF($J1128="","",SUMIFS('Hours Log'!$D:$D,'Hours Log'!$A:$A,"&gt;="&amp;$J1128,'Hours Log'!$A:$A,"&lt;"&amp;$J1128+7))</f>
        <v/>
      </c>
      <c r="E1128">
        <f>IF($J1128="","",IFERROR(C1128/(B1128*40),0))</f>
        <v/>
      </c>
      <c r="F1128">
        <f>IF($J1128="","",0)</f>
        <v/>
      </c>
      <c r="G1128">
        <f>IF($J1128="","",SUMIFS('Hours Log'!$E:$E,'Hours Log'!$A:$A,"&gt;="&amp;$J1128,'Hours Log'!$A:$A,"&lt;"&amp;$J1128+7))</f>
        <v/>
      </c>
      <c r="J1128">
        <f>IF(COUNT('Hours Log'!$A$4:$A$5000)=0,"",IF(MIN('Hours Log'!$A$4:$A$5000)+7*(ROW()-10)&gt;MAX('Hours Log'!$A$4:$A$5000),"",MIN('Hours Log'!$A$4:$A$5000)+7*(ROW()-10)))</f>
        <v/>
      </c>
    </row>
    <row r="1129">
      <c r="A1129">
        <f>IF($J1129="","",YEAR($J1129-WEEKDAY($J1129,2)+4)&amp;"-W"&amp;TEXT(WEEKNUM($J1129,21),"00"))</f>
        <v/>
      </c>
      <c r="B1129" s="41">
        <f>IF($J1129="","",COUNTIFS(Roster!$D$4:$D$500,"Active",Roster!$C$4:$C$500,"&lt;="&amp;$J1129))</f>
        <v/>
      </c>
      <c r="C1129">
        <f>IF($J1129="","",SUMIFS('Hours Log'!$C:$C,'Hours Log'!$A:$A,"&gt;="&amp;$J1129,'Hours Log'!$A:$A,"&lt;"&amp;$J1129+7)+SUMIFS('Hours Log'!$D:$D,'Hours Log'!$A:$A,"&gt;="&amp;$J1129,'Hours Log'!$A:$A,"&lt;"&amp;$J1129+7))</f>
        <v/>
      </c>
      <c r="D1129">
        <f>IF($J1129="","",SUMIFS('Hours Log'!$D:$D,'Hours Log'!$A:$A,"&gt;="&amp;$J1129,'Hours Log'!$A:$A,"&lt;"&amp;$J1129+7))</f>
        <v/>
      </c>
      <c r="E1129">
        <f>IF($J1129="","",IFERROR(C1129/(B1129*40),0))</f>
        <v/>
      </c>
      <c r="F1129">
        <f>IF($J1129="","",0)</f>
        <v/>
      </c>
      <c r="G1129">
        <f>IF($J1129="","",SUMIFS('Hours Log'!$E:$E,'Hours Log'!$A:$A,"&gt;="&amp;$J1129,'Hours Log'!$A:$A,"&lt;"&amp;$J1129+7))</f>
        <v/>
      </c>
      <c r="J1129">
        <f>IF(COUNT('Hours Log'!$A$4:$A$5000)=0,"",IF(MIN('Hours Log'!$A$4:$A$5000)+7*(ROW()-10)&gt;MAX('Hours Log'!$A$4:$A$5000),"",MIN('Hours Log'!$A$4:$A$5000)+7*(ROW()-10)))</f>
        <v/>
      </c>
    </row>
    <row r="1130">
      <c r="A1130">
        <f>IF($J1130="","",YEAR($J1130-WEEKDAY($J1130,2)+4)&amp;"-W"&amp;TEXT(WEEKNUM($J1130,21),"00"))</f>
        <v/>
      </c>
      <c r="B1130" s="41">
        <f>IF($J1130="","",COUNTIFS(Roster!$D$4:$D$500,"Active",Roster!$C$4:$C$500,"&lt;="&amp;$J1130))</f>
        <v/>
      </c>
      <c r="C1130">
        <f>IF($J1130="","",SUMIFS('Hours Log'!$C:$C,'Hours Log'!$A:$A,"&gt;="&amp;$J1130,'Hours Log'!$A:$A,"&lt;"&amp;$J1130+7)+SUMIFS('Hours Log'!$D:$D,'Hours Log'!$A:$A,"&gt;="&amp;$J1130,'Hours Log'!$A:$A,"&lt;"&amp;$J1130+7))</f>
        <v/>
      </c>
      <c r="D1130">
        <f>IF($J1130="","",SUMIFS('Hours Log'!$D:$D,'Hours Log'!$A:$A,"&gt;="&amp;$J1130,'Hours Log'!$A:$A,"&lt;"&amp;$J1130+7))</f>
        <v/>
      </c>
      <c r="E1130">
        <f>IF($J1130="","",IFERROR(C1130/(B1130*40),0))</f>
        <v/>
      </c>
      <c r="F1130">
        <f>IF($J1130="","",0)</f>
        <v/>
      </c>
      <c r="G1130">
        <f>IF($J1130="","",SUMIFS('Hours Log'!$E:$E,'Hours Log'!$A:$A,"&gt;="&amp;$J1130,'Hours Log'!$A:$A,"&lt;"&amp;$J1130+7))</f>
        <v/>
      </c>
      <c r="J1130">
        <f>IF(COUNT('Hours Log'!$A$4:$A$5000)=0,"",IF(MIN('Hours Log'!$A$4:$A$5000)+7*(ROW()-10)&gt;MAX('Hours Log'!$A$4:$A$5000),"",MIN('Hours Log'!$A$4:$A$5000)+7*(ROW()-10)))</f>
        <v/>
      </c>
    </row>
    <row r="1131">
      <c r="A1131">
        <f>IF($J1131="","",YEAR($J1131-WEEKDAY($J1131,2)+4)&amp;"-W"&amp;TEXT(WEEKNUM($J1131,21),"00"))</f>
        <v/>
      </c>
      <c r="B1131" s="41">
        <f>IF($J1131="","",COUNTIFS(Roster!$D$4:$D$500,"Active",Roster!$C$4:$C$500,"&lt;="&amp;$J1131))</f>
        <v/>
      </c>
      <c r="C1131">
        <f>IF($J1131="","",SUMIFS('Hours Log'!$C:$C,'Hours Log'!$A:$A,"&gt;="&amp;$J1131,'Hours Log'!$A:$A,"&lt;"&amp;$J1131+7)+SUMIFS('Hours Log'!$D:$D,'Hours Log'!$A:$A,"&gt;="&amp;$J1131,'Hours Log'!$A:$A,"&lt;"&amp;$J1131+7))</f>
        <v/>
      </c>
      <c r="D1131">
        <f>IF($J1131="","",SUMIFS('Hours Log'!$D:$D,'Hours Log'!$A:$A,"&gt;="&amp;$J1131,'Hours Log'!$A:$A,"&lt;"&amp;$J1131+7))</f>
        <v/>
      </c>
      <c r="E1131">
        <f>IF($J1131="","",IFERROR(C1131/(B1131*40),0))</f>
        <v/>
      </c>
      <c r="F1131">
        <f>IF($J1131="","",0)</f>
        <v/>
      </c>
      <c r="G1131">
        <f>IF($J1131="","",SUMIFS('Hours Log'!$E:$E,'Hours Log'!$A:$A,"&gt;="&amp;$J1131,'Hours Log'!$A:$A,"&lt;"&amp;$J1131+7))</f>
        <v/>
      </c>
      <c r="J1131">
        <f>IF(COUNT('Hours Log'!$A$4:$A$5000)=0,"",IF(MIN('Hours Log'!$A$4:$A$5000)+7*(ROW()-10)&gt;MAX('Hours Log'!$A$4:$A$5000),"",MIN('Hours Log'!$A$4:$A$5000)+7*(ROW()-10)))</f>
        <v/>
      </c>
    </row>
    <row r="1132">
      <c r="A1132">
        <f>IF($J1132="","",YEAR($J1132-WEEKDAY($J1132,2)+4)&amp;"-W"&amp;TEXT(WEEKNUM($J1132,21),"00"))</f>
        <v/>
      </c>
      <c r="B1132" s="41">
        <f>IF($J1132="","",COUNTIFS(Roster!$D$4:$D$500,"Active",Roster!$C$4:$C$500,"&lt;="&amp;$J1132))</f>
        <v/>
      </c>
      <c r="C1132">
        <f>IF($J1132="","",SUMIFS('Hours Log'!$C:$C,'Hours Log'!$A:$A,"&gt;="&amp;$J1132,'Hours Log'!$A:$A,"&lt;"&amp;$J1132+7)+SUMIFS('Hours Log'!$D:$D,'Hours Log'!$A:$A,"&gt;="&amp;$J1132,'Hours Log'!$A:$A,"&lt;"&amp;$J1132+7))</f>
        <v/>
      </c>
      <c r="D1132">
        <f>IF($J1132="","",SUMIFS('Hours Log'!$D:$D,'Hours Log'!$A:$A,"&gt;="&amp;$J1132,'Hours Log'!$A:$A,"&lt;"&amp;$J1132+7))</f>
        <v/>
      </c>
      <c r="E1132">
        <f>IF($J1132="","",IFERROR(C1132/(B1132*40),0))</f>
        <v/>
      </c>
      <c r="F1132">
        <f>IF($J1132="","",0)</f>
        <v/>
      </c>
      <c r="G1132">
        <f>IF($J1132="","",SUMIFS('Hours Log'!$E:$E,'Hours Log'!$A:$A,"&gt;="&amp;$J1132,'Hours Log'!$A:$A,"&lt;"&amp;$J1132+7))</f>
        <v/>
      </c>
      <c r="J1132">
        <f>IF(COUNT('Hours Log'!$A$4:$A$5000)=0,"",IF(MIN('Hours Log'!$A$4:$A$5000)+7*(ROW()-10)&gt;MAX('Hours Log'!$A$4:$A$5000),"",MIN('Hours Log'!$A$4:$A$5000)+7*(ROW()-10)))</f>
        <v/>
      </c>
    </row>
    <row r="1133">
      <c r="A1133">
        <f>IF($J1133="","",YEAR($J1133-WEEKDAY($J1133,2)+4)&amp;"-W"&amp;TEXT(WEEKNUM($J1133,21),"00"))</f>
        <v/>
      </c>
      <c r="B1133" s="41">
        <f>IF($J1133="","",COUNTIFS(Roster!$D$4:$D$500,"Active",Roster!$C$4:$C$500,"&lt;="&amp;$J1133))</f>
        <v/>
      </c>
      <c r="C1133">
        <f>IF($J1133="","",SUMIFS('Hours Log'!$C:$C,'Hours Log'!$A:$A,"&gt;="&amp;$J1133,'Hours Log'!$A:$A,"&lt;"&amp;$J1133+7)+SUMIFS('Hours Log'!$D:$D,'Hours Log'!$A:$A,"&gt;="&amp;$J1133,'Hours Log'!$A:$A,"&lt;"&amp;$J1133+7))</f>
        <v/>
      </c>
      <c r="D1133">
        <f>IF($J1133="","",SUMIFS('Hours Log'!$D:$D,'Hours Log'!$A:$A,"&gt;="&amp;$J1133,'Hours Log'!$A:$A,"&lt;"&amp;$J1133+7))</f>
        <v/>
      </c>
      <c r="E1133">
        <f>IF($J1133="","",IFERROR(C1133/(B1133*40),0))</f>
        <v/>
      </c>
      <c r="F1133">
        <f>IF($J1133="","",0)</f>
        <v/>
      </c>
      <c r="G1133">
        <f>IF($J1133="","",SUMIFS('Hours Log'!$E:$E,'Hours Log'!$A:$A,"&gt;="&amp;$J1133,'Hours Log'!$A:$A,"&lt;"&amp;$J1133+7))</f>
        <v/>
      </c>
      <c r="J1133">
        <f>IF(COUNT('Hours Log'!$A$4:$A$5000)=0,"",IF(MIN('Hours Log'!$A$4:$A$5000)+7*(ROW()-10)&gt;MAX('Hours Log'!$A$4:$A$5000),"",MIN('Hours Log'!$A$4:$A$5000)+7*(ROW()-10)))</f>
        <v/>
      </c>
    </row>
    <row r="1134">
      <c r="A1134">
        <f>IF($J1134="","",YEAR($J1134-WEEKDAY($J1134,2)+4)&amp;"-W"&amp;TEXT(WEEKNUM($J1134,21),"00"))</f>
        <v/>
      </c>
      <c r="B1134" s="41">
        <f>IF($J1134="","",COUNTIFS(Roster!$D$4:$D$500,"Active",Roster!$C$4:$C$500,"&lt;="&amp;$J1134))</f>
        <v/>
      </c>
      <c r="C1134">
        <f>IF($J1134="","",SUMIFS('Hours Log'!$C:$C,'Hours Log'!$A:$A,"&gt;="&amp;$J1134,'Hours Log'!$A:$A,"&lt;"&amp;$J1134+7)+SUMIFS('Hours Log'!$D:$D,'Hours Log'!$A:$A,"&gt;="&amp;$J1134,'Hours Log'!$A:$A,"&lt;"&amp;$J1134+7))</f>
        <v/>
      </c>
      <c r="D1134">
        <f>IF($J1134="","",SUMIFS('Hours Log'!$D:$D,'Hours Log'!$A:$A,"&gt;="&amp;$J1134,'Hours Log'!$A:$A,"&lt;"&amp;$J1134+7))</f>
        <v/>
      </c>
      <c r="E1134">
        <f>IF($J1134="","",IFERROR(C1134/(B1134*40),0))</f>
        <v/>
      </c>
      <c r="F1134">
        <f>IF($J1134="","",0)</f>
        <v/>
      </c>
      <c r="G1134">
        <f>IF($J1134="","",SUMIFS('Hours Log'!$E:$E,'Hours Log'!$A:$A,"&gt;="&amp;$J1134,'Hours Log'!$A:$A,"&lt;"&amp;$J1134+7))</f>
        <v/>
      </c>
      <c r="J1134">
        <f>IF(COUNT('Hours Log'!$A$4:$A$5000)=0,"",IF(MIN('Hours Log'!$A$4:$A$5000)+7*(ROW()-10)&gt;MAX('Hours Log'!$A$4:$A$5000),"",MIN('Hours Log'!$A$4:$A$5000)+7*(ROW()-10)))</f>
        <v/>
      </c>
    </row>
    <row r="1135">
      <c r="A1135">
        <f>IF($J1135="","",YEAR($J1135-WEEKDAY($J1135,2)+4)&amp;"-W"&amp;TEXT(WEEKNUM($J1135,21),"00"))</f>
        <v/>
      </c>
      <c r="B1135" s="41">
        <f>IF($J1135="","",COUNTIFS(Roster!$D$4:$D$500,"Active",Roster!$C$4:$C$500,"&lt;="&amp;$J1135))</f>
        <v/>
      </c>
      <c r="C1135">
        <f>IF($J1135="","",SUMIFS('Hours Log'!$C:$C,'Hours Log'!$A:$A,"&gt;="&amp;$J1135,'Hours Log'!$A:$A,"&lt;"&amp;$J1135+7)+SUMIFS('Hours Log'!$D:$D,'Hours Log'!$A:$A,"&gt;="&amp;$J1135,'Hours Log'!$A:$A,"&lt;"&amp;$J1135+7))</f>
        <v/>
      </c>
      <c r="D1135">
        <f>IF($J1135="","",SUMIFS('Hours Log'!$D:$D,'Hours Log'!$A:$A,"&gt;="&amp;$J1135,'Hours Log'!$A:$A,"&lt;"&amp;$J1135+7))</f>
        <v/>
      </c>
      <c r="E1135">
        <f>IF($J1135="","",IFERROR(C1135/(B1135*40),0))</f>
        <v/>
      </c>
      <c r="F1135">
        <f>IF($J1135="","",0)</f>
        <v/>
      </c>
      <c r="G1135">
        <f>IF($J1135="","",SUMIFS('Hours Log'!$E:$E,'Hours Log'!$A:$A,"&gt;="&amp;$J1135,'Hours Log'!$A:$A,"&lt;"&amp;$J1135+7))</f>
        <v/>
      </c>
      <c r="J1135">
        <f>IF(COUNT('Hours Log'!$A$4:$A$5000)=0,"",IF(MIN('Hours Log'!$A$4:$A$5000)+7*(ROW()-10)&gt;MAX('Hours Log'!$A$4:$A$5000),"",MIN('Hours Log'!$A$4:$A$5000)+7*(ROW()-10)))</f>
        <v/>
      </c>
    </row>
    <row r="1136">
      <c r="A1136">
        <f>IF($J1136="","",YEAR($J1136-WEEKDAY($J1136,2)+4)&amp;"-W"&amp;TEXT(WEEKNUM($J1136,21),"00"))</f>
        <v/>
      </c>
      <c r="B1136" s="41">
        <f>IF($J1136="","",COUNTIFS(Roster!$D$4:$D$500,"Active",Roster!$C$4:$C$500,"&lt;="&amp;$J1136))</f>
        <v/>
      </c>
      <c r="C1136">
        <f>IF($J1136="","",SUMIFS('Hours Log'!$C:$C,'Hours Log'!$A:$A,"&gt;="&amp;$J1136,'Hours Log'!$A:$A,"&lt;"&amp;$J1136+7)+SUMIFS('Hours Log'!$D:$D,'Hours Log'!$A:$A,"&gt;="&amp;$J1136,'Hours Log'!$A:$A,"&lt;"&amp;$J1136+7))</f>
        <v/>
      </c>
      <c r="D1136">
        <f>IF($J1136="","",SUMIFS('Hours Log'!$D:$D,'Hours Log'!$A:$A,"&gt;="&amp;$J1136,'Hours Log'!$A:$A,"&lt;"&amp;$J1136+7))</f>
        <v/>
      </c>
      <c r="E1136">
        <f>IF($J1136="","",IFERROR(C1136/(B1136*40),0))</f>
        <v/>
      </c>
      <c r="F1136">
        <f>IF($J1136="","",0)</f>
        <v/>
      </c>
      <c r="G1136">
        <f>IF($J1136="","",SUMIFS('Hours Log'!$E:$E,'Hours Log'!$A:$A,"&gt;="&amp;$J1136,'Hours Log'!$A:$A,"&lt;"&amp;$J1136+7))</f>
        <v/>
      </c>
      <c r="J1136">
        <f>IF(COUNT('Hours Log'!$A$4:$A$5000)=0,"",IF(MIN('Hours Log'!$A$4:$A$5000)+7*(ROW()-10)&gt;MAX('Hours Log'!$A$4:$A$5000),"",MIN('Hours Log'!$A$4:$A$5000)+7*(ROW()-10)))</f>
        <v/>
      </c>
    </row>
    <row r="1137">
      <c r="A1137">
        <f>IF($J1137="","",YEAR($J1137-WEEKDAY($J1137,2)+4)&amp;"-W"&amp;TEXT(WEEKNUM($J1137,21),"00"))</f>
        <v/>
      </c>
      <c r="B1137" s="41">
        <f>IF($J1137="","",COUNTIFS(Roster!$D$4:$D$500,"Active",Roster!$C$4:$C$500,"&lt;="&amp;$J1137))</f>
        <v/>
      </c>
      <c r="C1137">
        <f>IF($J1137="","",SUMIFS('Hours Log'!$C:$C,'Hours Log'!$A:$A,"&gt;="&amp;$J1137,'Hours Log'!$A:$A,"&lt;"&amp;$J1137+7)+SUMIFS('Hours Log'!$D:$D,'Hours Log'!$A:$A,"&gt;="&amp;$J1137,'Hours Log'!$A:$A,"&lt;"&amp;$J1137+7))</f>
        <v/>
      </c>
      <c r="D1137">
        <f>IF($J1137="","",SUMIFS('Hours Log'!$D:$D,'Hours Log'!$A:$A,"&gt;="&amp;$J1137,'Hours Log'!$A:$A,"&lt;"&amp;$J1137+7))</f>
        <v/>
      </c>
      <c r="E1137">
        <f>IF($J1137="","",IFERROR(C1137/(B1137*40),0))</f>
        <v/>
      </c>
      <c r="F1137">
        <f>IF($J1137="","",0)</f>
        <v/>
      </c>
      <c r="G1137">
        <f>IF($J1137="","",SUMIFS('Hours Log'!$E:$E,'Hours Log'!$A:$A,"&gt;="&amp;$J1137,'Hours Log'!$A:$A,"&lt;"&amp;$J1137+7))</f>
        <v/>
      </c>
      <c r="J1137">
        <f>IF(COUNT('Hours Log'!$A$4:$A$5000)=0,"",IF(MIN('Hours Log'!$A$4:$A$5000)+7*(ROW()-10)&gt;MAX('Hours Log'!$A$4:$A$5000),"",MIN('Hours Log'!$A$4:$A$5000)+7*(ROW()-10)))</f>
        <v/>
      </c>
    </row>
    <row r="1138">
      <c r="A1138">
        <f>IF($J1138="","",YEAR($J1138-WEEKDAY($J1138,2)+4)&amp;"-W"&amp;TEXT(WEEKNUM($J1138,21),"00"))</f>
        <v/>
      </c>
      <c r="B1138" s="41">
        <f>IF($J1138="","",COUNTIFS(Roster!$D$4:$D$500,"Active",Roster!$C$4:$C$500,"&lt;="&amp;$J1138))</f>
        <v/>
      </c>
      <c r="C1138">
        <f>IF($J1138="","",SUMIFS('Hours Log'!$C:$C,'Hours Log'!$A:$A,"&gt;="&amp;$J1138,'Hours Log'!$A:$A,"&lt;"&amp;$J1138+7)+SUMIFS('Hours Log'!$D:$D,'Hours Log'!$A:$A,"&gt;="&amp;$J1138,'Hours Log'!$A:$A,"&lt;"&amp;$J1138+7))</f>
        <v/>
      </c>
      <c r="D1138">
        <f>IF($J1138="","",SUMIFS('Hours Log'!$D:$D,'Hours Log'!$A:$A,"&gt;="&amp;$J1138,'Hours Log'!$A:$A,"&lt;"&amp;$J1138+7))</f>
        <v/>
      </c>
      <c r="E1138">
        <f>IF($J1138="","",IFERROR(C1138/(B1138*40),0))</f>
        <v/>
      </c>
      <c r="F1138">
        <f>IF($J1138="","",0)</f>
        <v/>
      </c>
      <c r="G1138">
        <f>IF($J1138="","",SUMIFS('Hours Log'!$E:$E,'Hours Log'!$A:$A,"&gt;="&amp;$J1138,'Hours Log'!$A:$A,"&lt;"&amp;$J1138+7))</f>
        <v/>
      </c>
      <c r="J1138">
        <f>IF(COUNT('Hours Log'!$A$4:$A$5000)=0,"",IF(MIN('Hours Log'!$A$4:$A$5000)+7*(ROW()-10)&gt;MAX('Hours Log'!$A$4:$A$5000),"",MIN('Hours Log'!$A$4:$A$5000)+7*(ROW()-10)))</f>
        <v/>
      </c>
    </row>
    <row r="1139">
      <c r="A1139">
        <f>IF($J1139="","",YEAR($J1139-WEEKDAY($J1139,2)+4)&amp;"-W"&amp;TEXT(WEEKNUM($J1139,21),"00"))</f>
        <v/>
      </c>
      <c r="B1139" s="41">
        <f>IF($J1139="","",COUNTIFS(Roster!$D$4:$D$500,"Active",Roster!$C$4:$C$500,"&lt;="&amp;$J1139))</f>
        <v/>
      </c>
      <c r="C1139">
        <f>IF($J1139="","",SUMIFS('Hours Log'!$C:$C,'Hours Log'!$A:$A,"&gt;="&amp;$J1139,'Hours Log'!$A:$A,"&lt;"&amp;$J1139+7)+SUMIFS('Hours Log'!$D:$D,'Hours Log'!$A:$A,"&gt;="&amp;$J1139,'Hours Log'!$A:$A,"&lt;"&amp;$J1139+7))</f>
        <v/>
      </c>
      <c r="D1139">
        <f>IF($J1139="","",SUMIFS('Hours Log'!$D:$D,'Hours Log'!$A:$A,"&gt;="&amp;$J1139,'Hours Log'!$A:$A,"&lt;"&amp;$J1139+7))</f>
        <v/>
      </c>
      <c r="E1139">
        <f>IF($J1139="","",IFERROR(C1139/(B1139*40),0))</f>
        <v/>
      </c>
      <c r="F1139">
        <f>IF($J1139="","",0)</f>
        <v/>
      </c>
      <c r="G1139">
        <f>IF($J1139="","",SUMIFS('Hours Log'!$E:$E,'Hours Log'!$A:$A,"&gt;="&amp;$J1139,'Hours Log'!$A:$A,"&lt;"&amp;$J1139+7))</f>
        <v/>
      </c>
      <c r="J1139">
        <f>IF(COUNT('Hours Log'!$A$4:$A$5000)=0,"",IF(MIN('Hours Log'!$A$4:$A$5000)+7*(ROW()-10)&gt;MAX('Hours Log'!$A$4:$A$5000),"",MIN('Hours Log'!$A$4:$A$5000)+7*(ROW()-10)))</f>
        <v/>
      </c>
    </row>
    <row r="1140">
      <c r="A1140">
        <f>IF($J1140="","",YEAR($J1140-WEEKDAY($J1140,2)+4)&amp;"-W"&amp;TEXT(WEEKNUM($J1140,21),"00"))</f>
        <v/>
      </c>
      <c r="B1140" s="41">
        <f>IF($J1140="","",COUNTIFS(Roster!$D$4:$D$500,"Active",Roster!$C$4:$C$500,"&lt;="&amp;$J1140))</f>
        <v/>
      </c>
      <c r="C1140">
        <f>IF($J1140="","",SUMIFS('Hours Log'!$C:$C,'Hours Log'!$A:$A,"&gt;="&amp;$J1140,'Hours Log'!$A:$A,"&lt;"&amp;$J1140+7)+SUMIFS('Hours Log'!$D:$D,'Hours Log'!$A:$A,"&gt;="&amp;$J1140,'Hours Log'!$A:$A,"&lt;"&amp;$J1140+7))</f>
        <v/>
      </c>
      <c r="D1140">
        <f>IF($J1140="","",SUMIFS('Hours Log'!$D:$D,'Hours Log'!$A:$A,"&gt;="&amp;$J1140,'Hours Log'!$A:$A,"&lt;"&amp;$J1140+7))</f>
        <v/>
      </c>
      <c r="E1140">
        <f>IF($J1140="","",IFERROR(C1140/(B1140*40),0))</f>
        <v/>
      </c>
      <c r="F1140">
        <f>IF($J1140="","",0)</f>
        <v/>
      </c>
      <c r="G1140">
        <f>IF($J1140="","",SUMIFS('Hours Log'!$E:$E,'Hours Log'!$A:$A,"&gt;="&amp;$J1140,'Hours Log'!$A:$A,"&lt;"&amp;$J1140+7))</f>
        <v/>
      </c>
      <c r="J1140">
        <f>IF(COUNT('Hours Log'!$A$4:$A$5000)=0,"",IF(MIN('Hours Log'!$A$4:$A$5000)+7*(ROW()-10)&gt;MAX('Hours Log'!$A$4:$A$5000),"",MIN('Hours Log'!$A$4:$A$5000)+7*(ROW()-10)))</f>
        <v/>
      </c>
    </row>
    <row r="1141">
      <c r="A1141">
        <f>IF($J1141="","",YEAR($J1141-WEEKDAY($J1141,2)+4)&amp;"-W"&amp;TEXT(WEEKNUM($J1141,21),"00"))</f>
        <v/>
      </c>
      <c r="B1141" s="41">
        <f>IF($J1141="","",COUNTIFS(Roster!$D$4:$D$500,"Active",Roster!$C$4:$C$500,"&lt;="&amp;$J1141))</f>
        <v/>
      </c>
      <c r="C1141">
        <f>IF($J1141="","",SUMIFS('Hours Log'!$C:$C,'Hours Log'!$A:$A,"&gt;="&amp;$J1141,'Hours Log'!$A:$A,"&lt;"&amp;$J1141+7)+SUMIFS('Hours Log'!$D:$D,'Hours Log'!$A:$A,"&gt;="&amp;$J1141,'Hours Log'!$A:$A,"&lt;"&amp;$J1141+7))</f>
        <v/>
      </c>
      <c r="D1141">
        <f>IF($J1141="","",SUMIFS('Hours Log'!$D:$D,'Hours Log'!$A:$A,"&gt;="&amp;$J1141,'Hours Log'!$A:$A,"&lt;"&amp;$J1141+7))</f>
        <v/>
      </c>
      <c r="E1141">
        <f>IF($J1141="","",IFERROR(C1141/(B1141*40),0))</f>
        <v/>
      </c>
      <c r="F1141">
        <f>IF($J1141="","",0)</f>
        <v/>
      </c>
      <c r="G1141">
        <f>IF($J1141="","",SUMIFS('Hours Log'!$E:$E,'Hours Log'!$A:$A,"&gt;="&amp;$J1141,'Hours Log'!$A:$A,"&lt;"&amp;$J1141+7))</f>
        <v/>
      </c>
      <c r="J1141">
        <f>IF(COUNT('Hours Log'!$A$4:$A$5000)=0,"",IF(MIN('Hours Log'!$A$4:$A$5000)+7*(ROW()-10)&gt;MAX('Hours Log'!$A$4:$A$5000),"",MIN('Hours Log'!$A$4:$A$5000)+7*(ROW()-10)))</f>
        <v/>
      </c>
    </row>
    <row r="1142">
      <c r="A1142">
        <f>IF($J1142="","",YEAR($J1142-WEEKDAY($J1142,2)+4)&amp;"-W"&amp;TEXT(WEEKNUM($J1142,21),"00"))</f>
        <v/>
      </c>
      <c r="B1142" s="41">
        <f>IF($J1142="","",COUNTIFS(Roster!$D$4:$D$500,"Active",Roster!$C$4:$C$500,"&lt;="&amp;$J1142))</f>
        <v/>
      </c>
      <c r="C1142">
        <f>IF($J1142="","",SUMIFS('Hours Log'!$C:$C,'Hours Log'!$A:$A,"&gt;="&amp;$J1142,'Hours Log'!$A:$A,"&lt;"&amp;$J1142+7)+SUMIFS('Hours Log'!$D:$D,'Hours Log'!$A:$A,"&gt;="&amp;$J1142,'Hours Log'!$A:$A,"&lt;"&amp;$J1142+7))</f>
        <v/>
      </c>
      <c r="D1142">
        <f>IF($J1142="","",SUMIFS('Hours Log'!$D:$D,'Hours Log'!$A:$A,"&gt;="&amp;$J1142,'Hours Log'!$A:$A,"&lt;"&amp;$J1142+7))</f>
        <v/>
      </c>
      <c r="E1142">
        <f>IF($J1142="","",IFERROR(C1142/(B1142*40),0))</f>
        <v/>
      </c>
      <c r="F1142">
        <f>IF($J1142="","",0)</f>
        <v/>
      </c>
      <c r="G1142">
        <f>IF($J1142="","",SUMIFS('Hours Log'!$E:$E,'Hours Log'!$A:$A,"&gt;="&amp;$J1142,'Hours Log'!$A:$A,"&lt;"&amp;$J1142+7))</f>
        <v/>
      </c>
      <c r="J1142">
        <f>IF(COUNT('Hours Log'!$A$4:$A$5000)=0,"",IF(MIN('Hours Log'!$A$4:$A$5000)+7*(ROW()-10)&gt;MAX('Hours Log'!$A$4:$A$5000),"",MIN('Hours Log'!$A$4:$A$5000)+7*(ROW()-10)))</f>
        <v/>
      </c>
    </row>
    <row r="1143">
      <c r="A1143">
        <f>IF($J1143="","",YEAR($J1143-WEEKDAY($J1143,2)+4)&amp;"-W"&amp;TEXT(WEEKNUM($J1143,21),"00"))</f>
        <v/>
      </c>
      <c r="B1143" s="41">
        <f>IF($J1143="","",COUNTIFS(Roster!$D$4:$D$500,"Active",Roster!$C$4:$C$500,"&lt;="&amp;$J1143))</f>
        <v/>
      </c>
      <c r="C1143">
        <f>IF($J1143="","",SUMIFS('Hours Log'!$C:$C,'Hours Log'!$A:$A,"&gt;="&amp;$J1143,'Hours Log'!$A:$A,"&lt;"&amp;$J1143+7)+SUMIFS('Hours Log'!$D:$D,'Hours Log'!$A:$A,"&gt;="&amp;$J1143,'Hours Log'!$A:$A,"&lt;"&amp;$J1143+7))</f>
        <v/>
      </c>
      <c r="D1143">
        <f>IF($J1143="","",SUMIFS('Hours Log'!$D:$D,'Hours Log'!$A:$A,"&gt;="&amp;$J1143,'Hours Log'!$A:$A,"&lt;"&amp;$J1143+7))</f>
        <v/>
      </c>
      <c r="E1143">
        <f>IF($J1143="","",IFERROR(C1143/(B1143*40),0))</f>
        <v/>
      </c>
      <c r="F1143">
        <f>IF($J1143="","",0)</f>
        <v/>
      </c>
      <c r="G1143">
        <f>IF($J1143="","",SUMIFS('Hours Log'!$E:$E,'Hours Log'!$A:$A,"&gt;="&amp;$J1143,'Hours Log'!$A:$A,"&lt;"&amp;$J1143+7))</f>
        <v/>
      </c>
      <c r="J1143">
        <f>IF(COUNT('Hours Log'!$A$4:$A$5000)=0,"",IF(MIN('Hours Log'!$A$4:$A$5000)+7*(ROW()-10)&gt;MAX('Hours Log'!$A$4:$A$5000),"",MIN('Hours Log'!$A$4:$A$5000)+7*(ROW()-10)))</f>
        <v/>
      </c>
    </row>
    <row r="1144">
      <c r="A1144">
        <f>IF($J1144="","",YEAR($J1144-WEEKDAY($J1144,2)+4)&amp;"-W"&amp;TEXT(WEEKNUM($J1144,21),"00"))</f>
        <v/>
      </c>
      <c r="B1144" s="41">
        <f>IF($J1144="","",COUNTIFS(Roster!$D$4:$D$500,"Active",Roster!$C$4:$C$500,"&lt;="&amp;$J1144))</f>
        <v/>
      </c>
      <c r="C1144">
        <f>IF($J1144="","",SUMIFS('Hours Log'!$C:$C,'Hours Log'!$A:$A,"&gt;="&amp;$J1144,'Hours Log'!$A:$A,"&lt;"&amp;$J1144+7)+SUMIFS('Hours Log'!$D:$D,'Hours Log'!$A:$A,"&gt;="&amp;$J1144,'Hours Log'!$A:$A,"&lt;"&amp;$J1144+7))</f>
        <v/>
      </c>
      <c r="D1144">
        <f>IF($J1144="","",SUMIFS('Hours Log'!$D:$D,'Hours Log'!$A:$A,"&gt;="&amp;$J1144,'Hours Log'!$A:$A,"&lt;"&amp;$J1144+7))</f>
        <v/>
      </c>
      <c r="E1144">
        <f>IF($J1144="","",IFERROR(C1144/(B1144*40),0))</f>
        <v/>
      </c>
      <c r="F1144">
        <f>IF($J1144="","",0)</f>
        <v/>
      </c>
      <c r="G1144">
        <f>IF($J1144="","",SUMIFS('Hours Log'!$E:$E,'Hours Log'!$A:$A,"&gt;="&amp;$J1144,'Hours Log'!$A:$A,"&lt;"&amp;$J1144+7))</f>
        <v/>
      </c>
      <c r="J1144">
        <f>IF(COUNT('Hours Log'!$A$4:$A$5000)=0,"",IF(MIN('Hours Log'!$A$4:$A$5000)+7*(ROW()-10)&gt;MAX('Hours Log'!$A$4:$A$5000),"",MIN('Hours Log'!$A$4:$A$5000)+7*(ROW()-10)))</f>
        <v/>
      </c>
    </row>
    <row r="1145">
      <c r="A1145">
        <f>IF($J1145="","",YEAR($J1145-WEEKDAY($J1145,2)+4)&amp;"-W"&amp;TEXT(WEEKNUM($J1145,21),"00"))</f>
        <v/>
      </c>
      <c r="B1145" s="41">
        <f>IF($J1145="","",COUNTIFS(Roster!$D$4:$D$500,"Active",Roster!$C$4:$C$500,"&lt;="&amp;$J1145))</f>
        <v/>
      </c>
      <c r="C1145">
        <f>IF($J1145="","",SUMIFS('Hours Log'!$C:$C,'Hours Log'!$A:$A,"&gt;="&amp;$J1145,'Hours Log'!$A:$A,"&lt;"&amp;$J1145+7)+SUMIFS('Hours Log'!$D:$D,'Hours Log'!$A:$A,"&gt;="&amp;$J1145,'Hours Log'!$A:$A,"&lt;"&amp;$J1145+7))</f>
        <v/>
      </c>
      <c r="D1145">
        <f>IF($J1145="","",SUMIFS('Hours Log'!$D:$D,'Hours Log'!$A:$A,"&gt;="&amp;$J1145,'Hours Log'!$A:$A,"&lt;"&amp;$J1145+7))</f>
        <v/>
      </c>
      <c r="E1145">
        <f>IF($J1145="","",IFERROR(C1145/(B1145*40),0))</f>
        <v/>
      </c>
      <c r="F1145">
        <f>IF($J1145="","",0)</f>
        <v/>
      </c>
      <c r="G1145">
        <f>IF($J1145="","",SUMIFS('Hours Log'!$E:$E,'Hours Log'!$A:$A,"&gt;="&amp;$J1145,'Hours Log'!$A:$A,"&lt;"&amp;$J1145+7))</f>
        <v/>
      </c>
      <c r="J1145">
        <f>IF(COUNT('Hours Log'!$A$4:$A$5000)=0,"",IF(MIN('Hours Log'!$A$4:$A$5000)+7*(ROW()-10)&gt;MAX('Hours Log'!$A$4:$A$5000),"",MIN('Hours Log'!$A$4:$A$5000)+7*(ROW()-10)))</f>
        <v/>
      </c>
    </row>
    <row r="1146">
      <c r="A1146">
        <f>IF($J1146="","",YEAR($J1146-WEEKDAY($J1146,2)+4)&amp;"-W"&amp;TEXT(WEEKNUM($J1146,21),"00"))</f>
        <v/>
      </c>
      <c r="B1146" s="41">
        <f>IF($J1146="","",COUNTIFS(Roster!$D$4:$D$500,"Active",Roster!$C$4:$C$500,"&lt;="&amp;$J1146))</f>
        <v/>
      </c>
      <c r="C1146">
        <f>IF($J1146="","",SUMIFS('Hours Log'!$C:$C,'Hours Log'!$A:$A,"&gt;="&amp;$J1146,'Hours Log'!$A:$A,"&lt;"&amp;$J1146+7)+SUMIFS('Hours Log'!$D:$D,'Hours Log'!$A:$A,"&gt;="&amp;$J1146,'Hours Log'!$A:$A,"&lt;"&amp;$J1146+7))</f>
        <v/>
      </c>
      <c r="D1146">
        <f>IF($J1146="","",SUMIFS('Hours Log'!$D:$D,'Hours Log'!$A:$A,"&gt;="&amp;$J1146,'Hours Log'!$A:$A,"&lt;"&amp;$J1146+7))</f>
        <v/>
      </c>
      <c r="E1146">
        <f>IF($J1146="","",IFERROR(C1146/(B1146*40),0))</f>
        <v/>
      </c>
      <c r="F1146">
        <f>IF($J1146="","",0)</f>
        <v/>
      </c>
      <c r="G1146">
        <f>IF($J1146="","",SUMIFS('Hours Log'!$E:$E,'Hours Log'!$A:$A,"&gt;="&amp;$J1146,'Hours Log'!$A:$A,"&lt;"&amp;$J1146+7))</f>
        <v/>
      </c>
      <c r="J1146">
        <f>IF(COUNT('Hours Log'!$A$4:$A$5000)=0,"",IF(MIN('Hours Log'!$A$4:$A$5000)+7*(ROW()-10)&gt;MAX('Hours Log'!$A$4:$A$5000),"",MIN('Hours Log'!$A$4:$A$5000)+7*(ROW()-10)))</f>
        <v/>
      </c>
    </row>
    <row r="1147">
      <c r="A1147">
        <f>IF($J1147="","",YEAR($J1147-WEEKDAY($J1147,2)+4)&amp;"-W"&amp;TEXT(WEEKNUM($J1147,21),"00"))</f>
        <v/>
      </c>
      <c r="B1147" s="41">
        <f>IF($J1147="","",COUNTIFS(Roster!$D$4:$D$500,"Active",Roster!$C$4:$C$500,"&lt;="&amp;$J1147))</f>
        <v/>
      </c>
      <c r="C1147">
        <f>IF($J1147="","",SUMIFS('Hours Log'!$C:$C,'Hours Log'!$A:$A,"&gt;="&amp;$J1147,'Hours Log'!$A:$A,"&lt;"&amp;$J1147+7)+SUMIFS('Hours Log'!$D:$D,'Hours Log'!$A:$A,"&gt;="&amp;$J1147,'Hours Log'!$A:$A,"&lt;"&amp;$J1147+7))</f>
        <v/>
      </c>
      <c r="D1147">
        <f>IF($J1147="","",SUMIFS('Hours Log'!$D:$D,'Hours Log'!$A:$A,"&gt;="&amp;$J1147,'Hours Log'!$A:$A,"&lt;"&amp;$J1147+7))</f>
        <v/>
      </c>
      <c r="E1147">
        <f>IF($J1147="","",IFERROR(C1147/(B1147*40),0))</f>
        <v/>
      </c>
      <c r="F1147">
        <f>IF($J1147="","",0)</f>
        <v/>
      </c>
      <c r="G1147">
        <f>IF($J1147="","",SUMIFS('Hours Log'!$E:$E,'Hours Log'!$A:$A,"&gt;="&amp;$J1147,'Hours Log'!$A:$A,"&lt;"&amp;$J1147+7))</f>
        <v/>
      </c>
      <c r="J1147">
        <f>IF(COUNT('Hours Log'!$A$4:$A$5000)=0,"",IF(MIN('Hours Log'!$A$4:$A$5000)+7*(ROW()-10)&gt;MAX('Hours Log'!$A$4:$A$5000),"",MIN('Hours Log'!$A$4:$A$5000)+7*(ROW()-10)))</f>
        <v/>
      </c>
    </row>
    <row r="1148">
      <c r="A1148">
        <f>IF($J1148="","",YEAR($J1148-WEEKDAY($J1148,2)+4)&amp;"-W"&amp;TEXT(WEEKNUM($J1148,21),"00"))</f>
        <v/>
      </c>
      <c r="B1148" s="41">
        <f>IF($J1148="","",COUNTIFS(Roster!$D$4:$D$500,"Active",Roster!$C$4:$C$500,"&lt;="&amp;$J1148))</f>
        <v/>
      </c>
      <c r="C1148">
        <f>IF($J1148="","",SUMIFS('Hours Log'!$C:$C,'Hours Log'!$A:$A,"&gt;="&amp;$J1148,'Hours Log'!$A:$A,"&lt;"&amp;$J1148+7)+SUMIFS('Hours Log'!$D:$D,'Hours Log'!$A:$A,"&gt;="&amp;$J1148,'Hours Log'!$A:$A,"&lt;"&amp;$J1148+7))</f>
        <v/>
      </c>
      <c r="D1148">
        <f>IF($J1148="","",SUMIFS('Hours Log'!$D:$D,'Hours Log'!$A:$A,"&gt;="&amp;$J1148,'Hours Log'!$A:$A,"&lt;"&amp;$J1148+7))</f>
        <v/>
      </c>
      <c r="E1148">
        <f>IF($J1148="","",IFERROR(C1148/(B1148*40),0))</f>
        <v/>
      </c>
      <c r="F1148">
        <f>IF($J1148="","",0)</f>
        <v/>
      </c>
      <c r="G1148">
        <f>IF($J1148="","",SUMIFS('Hours Log'!$E:$E,'Hours Log'!$A:$A,"&gt;="&amp;$J1148,'Hours Log'!$A:$A,"&lt;"&amp;$J1148+7))</f>
        <v/>
      </c>
      <c r="J1148">
        <f>IF(COUNT('Hours Log'!$A$4:$A$5000)=0,"",IF(MIN('Hours Log'!$A$4:$A$5000)+7*(ROW()-10)&gt;MAX('Hours Log'!$A$4:$A$5000),"",MIN('Hours Log'!$A$4:$A$5000)+7*(ROW()-10)))</f>
        <v/>
      </c>
    </row>
    <row r="1149">
      <c r="A1149">
        <f>IF($J1149="","",YEAR($J1149-WEEKDAY($J1149,2)+4)&amp;"-W"&amp;TEXT(WEEKNUM($J1149,21),"00"))</f>
        <v/>
      </c>
      <c r="B1149" s="41">
        <f>IF($J1149="","",COUNTIFS(Roster!$D$4:$D$500,"Active",Roster!$C$4:$C$500,"&lt;="&amp;$J1149))</f>
        <v/>
      </c>
      <c r="C1149">
        <f>IF($J1149="","",SUMIFS('Hours Log'!$C:$C,'Hours Log'!$A:$A,"&gt;="&amp;$J1149,'Hours Log'!$A:$A,"&lt;"&amp;$J1149+7)+SUMIFS('Hours Log'!$D:$D,'Hours Log'!$A:$A,"&gt;="&amp;$J1149,'Hours Log'!$A:$A,"&lt;"&amp;$J1149+7))</f>
        <v/>
      </c>
      <c r="D1149">
        <f>IF($J1149="","",SUMIFS('Hours Log'!$D:$D,'Hours Log'!$A:$A,"&gt;="&amp;$J1149,'Hours Log'!$A:$A,"&lt;"&amp;$J1149+7))</f>
        <v/>
      </c>
      <c r="E1149">
        <f>IF($J1149="","",IFERROR(C1149/(B1149*40),0))</f>
        <v/>
      </c>
      <c r="F1149">
        <f>IF($J1149="","",0)</f>
        <v/>
      </c>
      <c r="G1149">
        <f>IF($J1149="","",SUMIFS('Hours Log'!$E:$E,'Hours Log'!$A:$A,"&gt;="&amp;$J1149,'Hours Log'!$A:$A,"&lt;"&amp;$J1149+7))</f>
        <v/>
      </c>
      <c r="J1149">
        <f>IF(COUNT('Hours Log'!$A$4:$A$5000)=0,"",IF(MIN('Hours Log'!$A$4:$A$5000)+7*(ROW()-10)&gt;MAX('Hours Log'!$A$4:$A$5000),"",MIN('Hours Log'!$A$4:$A$5000)+7*(ROW()-10)))</f>
        <v/>
      </c>
    </row>
    <row r="1150">
      <c r="A1150">
        <f>IF($J1150="","",YEAR($J1150-WEEKDAY($J1150,2)+4)&amp;"-W"&amp;TEXT(WEEKNUM($J1150,21),"00"))</f>
        <v/>
      </c>
      <c r="B1150" s="41">
        <f>IF($J1150="","",COUNTIFS(Roster!$D$4:$D$500,"Active",Roster!$C$4:$C$500,"&lt;="&amp;$J1150))</f>
        <v/>
      </c>
      <c r="C1150">
        <f>IF($J1150="","",SUMIFS('Hours Log'!$C:$C,'Hours Log'!$A:$A,"&gt;="&amp;$J1150,'Hours Log'!$A:$A,"&lt;"&amp;$J1150+7)+SUMIFS('Hours Log'!$D:$D,'Hours Log'!$A:$A,"&gt;="&amp;$J1150,'Hours Log'!$A:$A,"&lt;"&amp;$J1150+7))</f>
        <v/>
      </c>
      <c r="D1150">
        <f>IF($J1150="","",SUMIFS('Hours Log'!$D:$D,'Hours Log'!$A:$A,"&gt;="&amp;$J1150,'Hours Log'!$A:$A,"&lt;"&amp;$J1150+7))</f>
        <v/>
      </c>
      <c r="E1150">
        <f>IF($J1150="","",IFERROR(C1150/(B1150*40),0))</f>
        <v/>
      </c>
      <c r="F1150">
        <f>IF($J1150="","",0)</f>
        <v/>
      </c>
      <c r="G1150">
        <f>IF($J1150="","",SUMIFS('Hours Log'!$E:$E,'Hours Log'!$A:$A,"&gt;="&amp;$J1150,'Hours Log'!$A:$A,"&lt;"&amp;$J1150+7))</f>
        <v/>
      </c>
      <c r="J1150">
        <f>IF(COUNT('Hours Log'!$A$4:$A$5000)=0,"",IF(MIN('Hours Log'!$A$4:$A$5000)+7*(ROW()-10)&gt;MAX('Hours Log'!$A$4:$A$5000),"",MIN('Hours Log'!$A$4:$A$5000)+7*(ROW()-10)))</f>
        <v/>
      </c>
    </row>
    <row r="1151">
      <c r="A1151">
        <f>IF($J1151="","",YEAR($J1151-WEEKDAY($J1151,2)+4)&amp;"-W"&amp;TEXT(WEEKNUM($J1151,21),"00"))</f>
        <v/>
      </c>
      <c r="B1151" s="41">
        <f>IF($J1151="","",COUNTIFS(Roster!$D$4:$D$500,"Active",Roster!$C$4:$C$500,"&lt;="&amp;$J1151))</f>
        <v/>
      </c>
      <c r="C1151">
        <f>IF($J1151="","",SUMIFS('Hours Log'!$C:$C,'Hours Log'!$A:$A,"&gt;="&amp;$J1151,'Hours Log'!$A:$A,"&lt;"&amp;$J1151+7)+SUMIFS('Hours Log'!$D:$D,'Hours Log'!$A:$A,"&gt;="&amp;$J1151,'Hours Log'!$A:$A,"&lt;"&amp;$J1151+7))</f>
        <v/>
      </c>
      <c r="D1151">
        <f>IF($J1151="","",SUMIFS('Hours Log'!$D:$D,'Hours Log'!$A:$A,"&gt;="&amp;$J1151,'Hours Log'!$A:$A,"&lt;"&amp;$J1151+7))</f>
        <v/>
      </c>
      <c r="E1151">
        <f>IF($J1151="","",IFERROR(C1151/(B1151*40),0))</f>
        <v/>
      </c>
      <c r="F1151">
        <f>IF($J1151="","",0)</f>
        <v/>
      </c>
      <c r="G1151">
        <f>IF($J1151="","",SUMIFS('Hours Log'!$E:$E,'Hours Log'!$A:$A,"&gt;="&amp;$J1151,'Hours Log'!$A:$A,"&lt;"&amp;$J1151+7))</f>
        <v/>
      </c>
      <c r="J1151">
        <f>IF(COUNT('Hours Log'!$A$4:$A$5000)=0,"",IF(MIN('Hours Log'!$A$4:$A$5000)+7*(ROW()-10)&gt;MAX('Hours Log'!$A$4:$A$5000),"",MIN('Hours Log'!$A$4:$A$5000)+7*(ROW()-10)))</f>
        <v/>
      </c>
    </row>
    <row r="1152">
      <c r="A1152">
        <f>IF($J1152="","",YEAR($J1152-WEEKDAY($J1152,2)+4)&amp;"-W"&amp;TEXT(WEEKNUM($J1152,21),"00"))</f>
        <v/>
      </c>
      <c r="B1152" s="41">
        <f>IF($J1152="","",COUNTIFS(Roster!$D$4:$D$500,"Active",Roster!$C$4:$C$500,"&lt;="&amp;$J1152))</f>
        <v/>
      </c>
      <c r="C1152">
        <f>IF($J1152="","",SUMIFS('Hours Log'!$C:$C,'Hours Log'!$A:$A,"&gt;="&amp;$J1152,'Hours Log'!$A:$A,"&lt;"&amp;$J1152+7)+SUMIFS('Hours Log'!$D:$D,'Hours Log'!$A:$A,"&gt;="&amp;$J1152,'Hours Log'!$A:$A,"&lt;"&amp;$J1152+7))</f>
        <v/>
      </c>
      <c r="D1152">
        <f>IF($J1152="","",SUMIFS('Hours Log'!$D:$D,'Hours Log'!$A:$A,"&gt;="&amp;$J1152,'Hours Log'!$A:$A,"&lt;"&amp;$J1152+7))</f>
        <v/>
      </c>
      <c r="E1152">
        <f>IF($J1152="","",IFERROR(C1152/(B1152*40),0))</f>
        <v/>
      </c>
      <c r="F1152">
        <f>IF($J1152="","",0)</f>
        <v/>
      </c>
      <c r="G1152">
        <f>IF($J1152="","",SUMIFS('Hours Log'!$E:$E,'Hours Log'!$A:$A,"&gt;="&amp;$J1152,'Hours Log'!$A:$A,"&lt;"&amp;$J1152+7))</f>
        <v/>
      </c>
      <c r="J1152">
        <f>IF(COUNT('Hours Log'!$A$4:$A$5000)=0,"",IF(MIN('Hours Log'!$A$4:$A$5000)+7*(ROW()-10)&gt;MAX('Hours Log'!$A$4:$A$5000),"",MIN('Hours Log'!$A$4:$A$5000)+7*(ROW()-10)))</f>
        <v/>
      </c>
    </row>
    <row r="1153">
      <c r="A1153">
        <f>IF($J1153="","",YEAR($J1153-WEEKDAY($J1153,2)+4)&amp;"-W"&amp;TEXT(WEEKNUM($J1153,21),"00"))</f>
        <v/>
      </c>
      <c r="B1153" s="41">
        <f>IF($J1153="","",COUNTIFS(Roster!$D$4:$D$500,"Active",Roster!$C$4:$C$500,"&lt;="&amp;$J1153))</f>
        <v/>
      </c>
      <c r="C1153">
        <f>IF($J1153="","",SUMIFS('Hours Log'!$C:$C,'Hours Log'!$A:$A,"&gt;="&amp;$J1153,'Hours Log'!$A:$A,"&lt;"&amp;$J1153+7)+SUMIFS('Hours Log'!$D:$D,'Hours Log'!$A:$A,"&gt;="&amp;$J1153,'Hours Log'!$A:$A,"&lt;"&amp;$J1153+7))</f>
        <v/>
      </c>
      <c r="D1153">
        <f>IF($J1153="","",SUMIFS('Hours Log'!$D:$D,'Hours Log'!$A:$A,"&gt;="&amp;$J1153,'Hours Log'!$A:$A,"&lt;"&amp;$J1153+7))</f>
        <v/>
      </c>
      <c r="E1153">
        <f>IF($J1153="","",IFERROR(C1153/(B1153*40),0))</f>
        <v/>
      </c>
      <c r="F1153">
        <f>IF($J1153="","",0)</f>
        <v/>
      </c>
      <c r="G1153">
        <f>IF($J1153="","",SUMIFS('Hours Log'!$E:$E,'Hours Log'!$A:$A,"&gt;="&amp;$J1153,'Hours Log'!$A:$A,"&lt;"&amp;$J1153+7))</f>
        <v/>
      </c>
      <c r="J1153">
        <f>IF(COUNT('Hours Log'!$A$4:$A$5000)=0,"",IF(MIN('Hours Log'!$A$4:$A$5000)+7*(ROW()-10)&gt;MAX('Hours Log'!$A$4:$A$5000),"",MIN('Hours Log'!$A$4:$A$5000)+7*(ROW()-10)))</f>
        <v/>
      </c>
    </row>
    <row r="1154">
      <c r="A1154">
        <f>IF($J1154="","",YEAR($J1154-WEEKDAY($J1154,2)+4)&amp;"-W"&amp;TEXT(WEEKNUM($J1154,21),"00"))</f>
        <v/>
      </c>
      <c r="B1154" s="41">
        <f>IF($J1154="","",COUNTIFS(Roster!$D$4:$D$500,"Active",Roster!$C$4:$C$500,"&lt;="&amp;$J1154))</f>
        <v/>
      </c>
      <c r="C1154">
        <f>IF($J1154="","",SUMIFS('Hours Log'!$C:$C,'Hours Log'!$A:$A,"&gt;="&amp;$J1154,'Hours Log'!$A:$A,"&lt;"&amp;$J1154+7)+SUMIFS('Hours Log'!$D:$D,'Hours Log'!$A:$A,"&gt;="&amp;$J1154,'Hours Log'!$A:$A,"&lt;"&amp;$J1154+7))</f>
        <v/>
      </c>
      <c r="D1154">
        <f>IF($J1154="","",SUMIFS('Hours Log'!$D:$D,'Hours Log'!$A:$A,"&gt;="&amp;$J1154,'Hours Log'!$A:$A,"&lt;"&amp;$J1154+7))</f>
        <v/>
      </c>
      <c r="E1154">
        <f>IF($J1154="","",IFERROR(C1154/(B1154*40),0))</f>
        <v/>
      </c>
      <c r="F1154">
        <f>IF($J1154="","",0)</f>
        <v/>
      </c>
      <c r="G1154">
        <f>IF($J1154="","",SUMIFS('Hours Log'!$E:$E,'Hours Log'!$A:$A,"&gt;="&amp;$J1154,'Hours Log'!$A:$A,"&lt;"&amp;$J1154+7))</f>
        <v/>
      </c>
      <c r="J1154">
        <f>IF(COUNT('Hours Log'!$A$4:$A$5000)=0,"",IF(MIN('Hours Log'!$A$4:$A$5000)+7*(ROW()-10)&gt;MAX('Hours Log'!$A$4:$A$5000),"",MIN('Hours Log'!$A$4:$A$5000)+7*(ROW()-10)))</f>
        <v/>
      </c>
    </row>
    <row r="1155">
      <c r="A1155">
        <f>IF($J1155="","",YEAR($J1155-WEEKDAY($J1155,2)+4)&amp;"-W"&amp;TEXT(WEEKNUM($J1155,21),"00"))</f>
        <v/>
      </c>
      <c r="B1155" s="41">
        <f>IF($J1155="","",COUNTIFS(Roster!$D$4:$D$500,"Active",Roster!$C$4:$C$500,"&lt;="&amp;$J1155))</f>
        <v/>
      </c>
      <c r="C1155">
        <f>IF($J1155="","",SUMIFS('Hours Log'!$C:$C,'Hours Log'!$A:$A,"&gt;="&amp;$J1155,'Hours Log'!$A:$A,"&lt;"&amp;$J1155+7)+SUMIFS('Hours Log'!$D:$D,'Hours Log'!$A:$A,"&gt;="&amp;$J1155,'Hours Log'!$A:$A,"&lt;"&amp;$J1155+7))</f>
        <v/>
      </c>
      <c r="D1155">
        <f>IF($J1155="","",SUMIFS('Hours Log'!$D:$D,'Hours Log'!$A:$A,"&gt;="&amp;$J1155,'Hours Log'!$A:$A,"&lt;"&amp;$J1155+7))</f>
        <v/>
      </c>
      <c r="E1155">
        <f>IF($J1155="","",IFERROR(C1155/(B1155*40),0))</f>
        <v/>
      </c>
      <c r="F1155">
        <f>IF($J1155="","",0)</f>
        <v/>
      </c>
      <c r="G1155">
        <f>IF($J1155="","",SUMIFS('Hours Log'!$E:$E,'Hours Log'!$A:$A,"&gt;="&amp;$J1155,'Hours Log'!$A:$A,"&lt;"&amp;$J1155+7))</f>
        <v/>
      </c>
      <c r="J1155">
        <f>IF(COUNT('Hours Log'!$A$4:$A$5000)=0,"",IF(MIN('Hours Log'!$A$4:$A$5000)+7*(ROW()-10)&gt;MAX('Hours Log'!$A$4:$A$5000),"",MIN('Hours Log'!$A$4:$A$5000)+7*(ROW()-10)))</f>
        <v/>
      </c>
    </row>
    <row r="1156">
      <c r="A1156">
        <f>IF($J1156="","",YEAR($J1156-WEEKDAY($J1156,2)+4)&amp;"-W"&amp;TEXT(WEEKNUM($J1156,21),"00"))</f>
        <v/>
      </c>
      <c r="B1156" s="41">
        <f>IF($J1156="","",COUNTIFS(Roster!$D$4:$D$500,"Active",Roster!$C$4:$C$500,"&lt;="&amp;$J1156))</f>
        <v/>
      </c>
      <c r="C1156">
        <f>IF($J1156="","",SUMIFS('Hours Log'!$C:$C,'Hours Log'!$A:$A,"&gt;="&amp;$J1156,'Hours Log'!$A:$A,"&lt;"&amp;$J1156+7)+SUMIFS('Hours Log'!$D:$D,'Hours Log'!$A:$A,"&gt;="&amp;$J1156,'Hours Log'!$A:$A,"&lt;"&amp;$J1156+7))</f>
        <v/>
      </c>
      <c r="D1156">
        <f>IF($J1156="","",SUMIFS('Hours Log'!$D:$D,'Hours Log'!$A:$A,"&gt;="&amp;$J1156,'Hours Log'!$A:$A,"&lt;"&amp;$J1156+7))</f>
        <v/>
      </c>
      <c r="E1156">
        <f>IF($J1156="","",IFERROR(C1156/(B1156*40),0))</f>
        <v/>
      </c>
      <c r="F1156">
        <f>IF($J1156="","",0)</f>
        <v/>
      </c>
      <c r="G1156">
        <f>IF($J1156="","",SUMIFS('Hours Log'!$E:$E,'Hours Log'!$A:$A,"&gt;="&amp;$J1156,'Hours Log'!$A:$A,"&lt;"&amp;$J1156+7))</f>
        <v/>
      </c>
      <c r="J1156">
        <f>IF(COUNT('Hours Log'!$A$4:$A$5000)=0,"",IF(MIN('Hours Log'!$A$4:$A$5000)+7*(ROW()-10)&gt;MAX('Hours Log'!$A$4:$A$5000),"",MIN('Hours Log'!$A$4:$A$5000)+7*(ROW()-10)))</f>
        <v/>
      </c>
    </row>
    <row r="1157">
      <c r="A1157">
        <f>IF($J1157="","",YEAR($J1157-WEEKDAY($J1157,2)+4)&amp;"-W"&amp;TEXT(WEEKNUM($J1157,21),"00"))</f>
        <v/>
      </c>
      <c r="B1157" s="41">
        <f>IF($J1157="","",COUNTIFS(Roster!$D$4:$D$500,"Active",Roster!$C$4:$C$500,"&lt;="&amp;$J1157))</f>
        <v/>
      </c>
      <c r="C1157">
        <f>IF($J1157="","",SUMIFS('Hours Log'!$C:$C,'Hours Log'!$A:$A,"&gt;="&amp;$J1157,'Hours Log'!$A:$A,"&lt;"&amp;$J1157+7)+SUMIFS('Hours Log'!$D:$D,'Hours Log'!$A:$A,"&gt;="&amp;$J1157,'Hours Log'!$A:$A,"&lt;"&amp;$J1157+7))</f>
        <v/>
      </c>
      <c r="D1157">
        <f>IF($J1157="","",SUMIFS('Hours Log'!$D:$D,'Hours Log'!$A:$A,"&gt;="&amp;$J1157,'Hours Log'!$A:$A,"&lt;"&amp;$J1157+7))</f>
        <v/>
      </c>
      <c r="E1157">
        <f>IF($J1157="","",IFERROR(C1157/(B1157*40),0))</f>
        <v/>
      </c>
      <c r="F1157">
        <f>IF($J1157="","",0)</f>
        <v/>
      </c>
      <c r="G1157">
        <f>IF($J1157="","",SUMIFS('Hours Log'!$E:$E,'Hours Log'!$A:$A,"&gt;="&amp;$J1157,'Hours Log'!$A:$A,"&lt;"&amp;$J1157+7))</f>
        <v/>
      </c>
      <c r="J1157">
        <f>IF(COUNT('Hours Log'!$A$4:$A$5000)=0,"",IF(MIN('Hours Log'!$A$4:$A$5000)+7*(ROW()-10)&gt;MAX('Hours Log'!$A$4:$A$5000),"",MIN('Hours Log'!$A$4:$A$5000)+7*(ROW()-10)))</f>
        <v/>
      </c>
    </row>
    <row r="1158">
      <c r="A1158">
        <f>IF($J1158="","",YEAR($J1158-WEEKDAY($J1158,2)+4)&amp;"-W"&amp;TEXT(WEEKNUM($J1158,21),"00"))</f>
        <v/>
      </c>
      <c r="B1158" s="41">
        <f>IF($J1158="","",COUNTIFS(Roster!$D$4:$D$500,"Active",Roster!$C$4:$C$500,"&lt;="&amp;$J1158))</f>
        <v/>
      </c>
      <c r="C1158">
        <f>IF($J1158="","",SUMIFS('Hours Log'!$C:$C,'Hours Log'!$A:$A,"&gt;="&amp;$J1158,'Hours Log'!$A:$A,"&lt;"&amp;$J1158+7)+SUMIFS('Hours Log'!$D:$D,'Hours Log'!$A:$A,"&gt;="&amp;$J1158,'Hours Log'!$A:$A,"&lt;"&amp;$J1158+7))</f>
        <v/>
      </c>
      <c r="D1158">
        <f>IF($J1158="","",SUMIFS('Hours Log'!$D:$D,'Hours Log'!$A:$A,"&gt;="&amp;$J1158,'Hours Log'!$A:$A,"&lt;"&amp;$J1158+7))</f>
        <v/>
      </c>
      <c r="E1158">
        <f>IF($J1158="","",IFERROR(C1158/(B1158*40),0))</f>
        <v/>
      </c>
      <c r="F1158">
        <f>IF($J1158="","",0)</f>
        <v/>
      </c>
      <c r="G1158">
        <f>IF($J1158="","",SUMIFS('Hours Log'!$E:$E,'Hours Log'!$A:$A,"&gt;="&amp;$J1158,'Hours Log'!$A:$A,"&lt;"&amp;$J1158+7))</f>
        <v/>
      </c>
      <c r="J1158">
        <f>IF(COUNT('Hours Log'!$A$4:$A$5000)=0,"",IF(MIN('Hours Log'!$A$4:$A$5000)+7*(ROW()-10)&gt;MAX('Hours Log'!$A$4:$A$5000),"",MIN('Hours Log'!$A$4:$A$5000)+7*(ROW()-10)))</f>
        <v/>
      </c>
    </row>
    <row r="1159">
      <c r="A1159">
        <f>IF($J1159="","",YEAR($J1159-WEEKDAY($J1159,2)+4)&amp;"-W"&amp;TEXT(WEEKNUM($J1159,21),"00"))</f>
        <v/>
      </c>
      <c r="B1159" s="41">
        <f>IF($J1159="","",COUNTIFS(Roster!$D$4:$D$500,"Active",Roster!$C$4:$C$500,"&lt;="&amp;$J1159))</f>
        <v/>
      </c>
      <c r="C1159">
        <f>IF($J1159="","",SUMIFS('Hours Log'!$C:$C,'Hours Log'!$A:$A,"&gt;="&amp;$J1159,'Hours Log'!$A:$A,"&lt;"&amp;$J1159+7)+SUMIFS('Hours Log'!$D:$D,'Hours Log'!$A:$A,"&gt;="&amp;$J1159,'Hours Log'!$A:$A,"&lt;"&amp;$J1159+7))</f>
        <v/>
      </c>
      <c r="D1159">
        <f>IF($J1159="","",SUMIFS('Hours Log'!$D:$D,'Hours Log'!$A:$A,"&gt;="&amp;$J1159,'Hours Log'!$A:$A,"&lt;"&amp;$J1159+7))</f>
        <v/>
      </c>
      <c r="E1159">
        <f>IF($J1159="","",IFERROR(C1159/(B1159*40),0))</f>
        <v/>
      </c>
      <c r="F1159">
        <f>IF($J1159="","",0)</f>
        <v/>
      </c>
      <c r="G1159">
        <f>IF($J1159="","",SUMIFS('Hours Log'!$E:$E,'Hours Log'!$A:$A,"&gt;="&amp;$J1159,'Hours Log'!$A:$A,"&lt;"&amp;$J1159+7))</f>
        <v/>
      </c>
      <c r="J1159">
        <f>IF(COUNT('Hours Log'!$A$4:$A$5000)=0,"",IF(MIN('Hours Log'!$A$4:$A$5000)+7*(ROW()-10)&gt;MAX('Hours Log'!$A$4:$A$5000),"",MIN('Hours Log'!$A$4:$A$5000)+7*(ROW()-10)))</f>
        <v/>
      </c>
    </row>
    <row r="1160">
      <c r="A1160">
        <f>IF($J1160="","",YEAR($J1160-WEEKDAY($J1160,2)+4)&amp;"-W"&amp;TEXT(WEEKNUM($J1160,21),"00"))</f>
        <v/>
      </c>
      <c r="B1160" s="41">
        <f>IF($J1160="","",COUNTIFS(Roster!$D$4:$D$500,"Active",Roster!$C$4:$C$500,"&lt;="&amp;$J1160))</f>
        <v/>
      </c>
      <c r="C1160">
        <f>IF($J1160="","",SUMIFS('Hours Log'!$C:$C,'Hours Log'!$A:$A,"&gt;="&amp;$J1160,'Hours Log'!$A:$A,"&lt;"&amp;$J1160+7)+SUMIFS('Hours Log'!$D:$D,'Hours Log'!$A:$A,"&gt;="&amp;$J1160,'Hours Log'!$A:$A,"&lt;"&amp;$J1160+7))</f>
        <v/>
      </c>
      <c r="D1160">
        <f>IF($J1160="","",SUMIFS('Hours Log'!$D:$D,'Hours Log'!$A:$A,"&gt;="&amp;$J1160,'Hours Log'!$A:$A,"&lt;"&amp;$J1160+7))</f>
        <v/>
      </c>
      <c r="E1160">
        <f>IF($J1160="","",IFERROR(C1160/(B1160*40),0))</f>
        <v/>
      </c>
      <c r="F1160">
        <f>IF($J1160="","",0)</f>
        <v/>
      </c>
      <c r="G1160">
        <f>IF($J1160="","",SUMIFS('Hours Log'!$E:$E,'Hours Log'!$A:$A,"&gt;="&amp;$J1160,'Hours Log'!$A:$A,"&lt;"&amp;$J1160+7))</f>
        <v/>
      </c>
      <c r="J1160">
        <f>IF(COUNT('Hours Log'!$A$4:$A$5000)=0,"",IF(MIN('Hours Log'!$A$4:$A$5000)+7*(ROW()-10)&gt;MAX('Hours Log'!$A$4:$A$5000),"",MIN('Hours Log'!$A$4:$A$5000)+7*(ROW()-10)))</f>
        <v/>
      </c>
    </row>
    <row r="1161">
      <c r="A1161">
        <f>IF($J1161="","",YEAR($J1161-WEEKDAY($J1161,2)+4)&amp;"-W"&amp;TEXT(WEEKNUM($J1161,21),"00"))</f>
        <v/>
      </c>
      <c r="B1161" s="41">
        <f>IF($J1161="","",COUNTIFS(Roster!$D$4:$D$500,"Active",Roster!$C$4:$C$500,"&lt;="&amp;$J1161))</f>
        <v/>
      </c>
      <c r="C1161">
        <f>IF($J1161="","",SUMIFS('Hours Log'!$C:$C,'Hours Log'!$A:$A,"&gt;="&amp;$J1161,'Hours Log'!$A:$A,"&lt;"&amp;$J1161+7)+SUMIFS('Hours Log'!$D:$D,'Hours Log'!$A:$A,"&gt;="&amp;$J1161,'Hours Log'!$A:$A,"&lt;"&amp;$J1161+7))</f>
        <v/>
      </c>
      <c r="D1161">
        <f>IF($J1161="","",SUMIFS('Hours Log'!$D:$D,'Hours Log'!$A:$A,"&gt;="&amp;$J1161,'Hours Log'!$A:$A,"&lt;"&amp;$J1161+7))</f>
        <v/>
      </c>
      <c r="E1161">
        <f>IF($J1161="","",IFERROR(C1161/(B1161*40),0))</f>
        <v/>
      </c>
      <c r="F1161">
        <f>IF($J1161="","",0)</f>
        <v/>
      </c>
      <c r="G1161">
        <f>IF($J1161="","",SUMIFS('Hours Log'!$E:$E,'Hours Log'!$A:$A,"&gt;="&amp;$J1161,'Hours Log'!$A:$A,"&lt;"&amp;$J1161+7))</f>
        <v/>
      </c>
      <c r="J1161">
        <f>IF(COUNT('Hours Log'!$A$4:$A$5000)=0,"",IF(MIN('Hours Log'!$A$4:$A$5000)+7*(ROW()-10)&gt;MAX('Hours Log'!$A$4:$A$5000),"",MIN('Hours Log'!$A$4:$A$5000)+7*(ROW()-10)))</f>
        <v/>
      </c>
    </row>
    <row r="1162">
      <c r="A1162">
        <f>IF($J1162="","",YEAR($J1162-WEEKDAY($J1162,2)+4)&amp;"-W"&amp;TEXT(WEEKNUM($J1162,21),"00"))</f>
        <v/>
      </c>
      <c r="B1162" s="41">
        <f>IF($J1162="","",COUNTIFS(Roster!$D$4:$D$500,"Active",Roster!$C$4:$C$500,"&lt;="&amp;$J1162))</f>
        <v/>
      </c>
      <c r="C1162">
        <f>IF($J1162="","",SUMIFS('Hours Log'!$C:$C,'Hours Log'!$A:$A,"&gt;="&amp;$J1162,'Hours Log'!$A:$A,"&lt;"&amp;$J1162+7)+SUMIFS('Hours Log'!$D:$D,'Hours Log'!$A:$A,"&gt;="&amp;$J1162,'Hours Log'!$A:$A,"&lt;"&amp;$J1162+7))</f>
        <v/>
      </c>
      <c r="D1162">
        <f>IF($J1162="","",SUMIFS('Hours Log'!$D:$D,'Hours Log'!$A:$A,"&gt;="&amp;$J1162,'Hours Log'!$A:$A,"&lt;"&amp;$J1162+7))</f>
        <v/>
      </c>
      <c r="E1162">
        <f>IF($J1162="","",IFERROR(C1162/(B1162*40),0))</f>
        <v/>
      </c>
      <c r="F1162">
        <f>IF($J1162="","",0)</f>
        <v/>
      </c>
      <c r="G1162">
        <f>IF($J1162="","",SUMIFS('Hours Log'!$E:$E,'Hours Log'!$A:$A,"&gt;="&amp;$J1162,'Hours Log'!$A:$A,"&lt;"&amp;$J1162+7))</f>
        <v/>
      </c>
      <c r="J1162">
        <f>IF(COUNT('Hours Log'!$A$4:$A$5000)=0,"",IF(MIN('Hours Log'!$A$4:$A$5000)+7*(ROW()-10)&gt;MAX('Hours Log'!$A$4:$A$5000),"",MIN('Hours Log'!$A$4:$A$5000)+7*(ROW()-10)))</f>
        <v/>
      </c>
    </row>
    <row r="1163">
      <c r="A1163">
        <f>IF($J1163="","",YEAR($J1163-WEEKDAY($J1163,2)+4)&amp;"-W"&amp;TEXT(WEEKNUM($J1163,21),"00"))</f>
        <v/>
      </c>
      <c r="B1163" s="41">
        <f>IF($J1163="","",COUNTIFS(Roster!$D$4:$D$500,"Active",Roster!$C$4:$C$500,"&lt;="&amp;$J1163))</f>
        <v/>
      </c>
      <c r="C1163">
        <f>IF($J1163="","",SUMIFS('Hours Log'!$C:$C,'Hours Log'!$A:$A,"&gt;="&amp;$J1163,'Hours Log'!$A:$A,"&lt;"&amp;$J1163+7)+SUMIFS('Hours Log'!$D:$D,'Hours Log'!$A:$A,"&gt;="&amp;$J1163,'Hours Log'!$A:$A,"&lt;"&amp;$J1163+7))</f>
        <v/>
      </c>
      <c r="D1163">
        <f>IF($J1163="","",SUMIFS('Hours Log'!$D:$D,'Hours Log'!$A:$A,"&gt;="&amp;$J1163,'Hours Log'!$A:$A,"&lt;"&amp;$J1163+7))</f>
        <v/>
      </c>
      <c r="E1163">
        <f>IF($J1163="","",IFERROR(C1163/(B1163*40),0))</f>
        <v/>
      </c>
      <c r="F1163">
        <f>IF($J1163="","",0)</f>
        <v/>
      </c>
      <c r="G1163">
        <f>IF($J1163="","",SUMIFS('Hours Log'!$E:$E,'Hours Log'!$A:$A,"&gt;="&amp;$J1163,'Hours Log'!$A:$A,"&lt;"&amp;$J1163+7))</f>
        <v/>
      </c>
      <c r="J1163">
        <f>IF(COUNT('Hours Log'!$A$4:$A$5000)=0,"",IF(MIN('Hours Log'!$A$4:$A$5000)+7*(ROW()-10)&gt;MAX('Hours Log'!$A$4:$A$5000),"",MIN('Hours Log'!$A$4:$A$5000)+7*(ROW()-10)))</f>
        <v/>
      </c>
    </row>
    <row r="1164">
      <c r="A1164">
        <f>IF($J1164="","",YEAR($J1164-WEEKDAY($J1164,2)+4)&amp;"-W"&amp;TEXT(WEEKNUM($J1164,21),"00"))</f>
        <v/>
      </c>
      <c r="B1164" s="41">
        <f>IF($J1164="","",COUNTIFS(Roster!$D$4:$D$500,"Active",Roster!$C$4:$C$500,"&lt;="&amp;$J1164))</f>
        <v/>
      </c>
      <c r="C1164">
        <f>IF($J1164="","",SUMIFS('Hours Log'!$C:$C,'Hours Log'!$A:$A,"&gt;="&amp;$J1164,'Hours Log'!$A:$A,"&lt;"&amp;$J1164+7)+SUMIFS('Hours Log'!$D:$D,'Hours Log'!$A:$A,"&gt;="&amp;$J1164,'Hours Log'!$A:$A,"&lt;"&amp;$J1164+7))</f>
        <v/>
      </c>
      <c r="D1164">
        <f>IF($J1164="","",SUMIFS('Hours Log'!$D:$D,'Hours Log'!$A:$A,"&gt;="&amp;$J1164,'Hours Log'!$A:$A,"&lt;"&amp;$J1164+7))</f>
        <v/>
      </c>
      <c r="E1164">
        <f>IF($J1164="","",IFERROR(C1164/(B1164*40),0))</f>
        <v/>
      </c>
      <c r="F1164">
        <f>IF($J1164="","",0)</f>
        <v/>
      </c>
      <c r="G1164">
        <f>IF($J1164="","",SUMIFS('Hours Log'!$E:$E,'Hours Log'!$A:$A,"&gt;="&amp;$J1164,'Hours Log'!$A:$A,"&lt;"&amp;$J1164+7))</f>
        <v/>
      </c>
      <c r="J1164">
        <f>IF(COUNT('Hours Log'!$A$4:$A$5000)=0,"",IF(MIN('Hours Log'!$A$4:$A$5000)+7*(ROW()-10)&gt;MAX('Hours Log'!$A$4:$A$5000),"",MIN('Hours Log'!$A$4:$A$5000)+7*(ROW()-10)))</f>
        <v/>
      </c>
    </row>
    <row r="1165">
      <c r="A1165">
        <f>IF($J1165="","",YEAR($J1165-WEEKDAY($J1165,2)+4)&amp;"-W"&amp;TEXT(WEEKNUM($J1165,21),"00"))</f>
        <v/>
      </c>
      <c r="B1165" s="41">
        <f>IF($J1165="","",COUNTIFS(Roster!$D$4:$D$500,"Active",Roster!$C$4:$C$500,"&lt;="&amp;$J1165))</f>
        <v/>
      </c>
      <c r="C1165">
        <f>IF($J1165="","",SUMIFS('Hours Log'!$C:$C,'Hours Log'!$A:$A,"&gt;="&amp;$J1165,'Hours Log'!$A:$A,"&lt;"&amp;$J1165+7)+SUMIFS('Hours Log'!$D:$D,'Hours Log'!$A:$A,"&gt;="&amp;$J1165,'Hours Log'!$A:$A,"&lt;"&amp;$J1165+7))</f>
        <v/>
      </c>
      <c r="D1165">
        <f>IF($J1165="","",SUMIFS('Hours Log'!$D:$D,'Hours Log'!$A:$A,"&gt;="&amp;$J1165,'Hours Log'!$A:$A,"&lt;"&amp;$J1165+7))</f>
        <v/>
      </c>
      <c r="E1165">
        <f>IF($J1165="","",IFERROR(C1165/(B1165*40),0))</f>
        <v/>
      </c>
      <c r="F1165">
        <f>IF($J1165="","",0)</f>
        <v/>
      </c>
      <c r="G1165">
        <f>IF($J1165="","",SUMIFS('Hours Log'!$E:$E,'Hours Log'!$A:$A,"&gt;="&amp;$J1165,'Hours Log'!$A:$A,"&lt;"&amp;$J1165+7))</f>
        <v/>
      </c>
      <c r="J1165">
        <f>IF(COUNT('Hours Log'!$A$4:$A$5000)=0,"",IF(MIN('Hours Log'!$A$4:$A$5000)+7*(ROW()-10)&gt;MAX('Hours Log'!$A$4:$A$5000),"",MIN('Hours Log'!$A$4:$A$5000)+7*(ROW()-10)))</f>
        <v/>
      </c>
    </row>
    <row r="1166">
      <c r="A1166">
        <f>IF($J1166="","",YEAR($J1166-WEEKDAY($J1166,2)+4)&amp;"-W"&amp;TEXT(WEEKNUM($J1166,21),"00"))</f>
        <v/>
      </c>
      <c r="B1166" s="41">
        <f>IF($J1166="","",COUNTIFS(Roster!$D$4:$D$500,"Active",Roster!$C$4:$C$500,"&lt;="&amp;$J1166))</f>
        <v/>
      </c>
      <c r="C1166">
        <f>IF($J1166="","",SUMIFS('Hours Log'!$C:$C,'Hours Log'!$A:$A,"&gt;="&amp;$J1166,'Hours Log'!$A:$A,"&lt;"&amp;$J1166+7)+SUMIFS('Hours Log'!$D:$D,'Hours Log'!$A:$A,"&gt;="&amp;$J1166,'Hours Log'!$A:$A,"&lt;"&amp;$J1166+7))</f>
        <v/>
      </c>
      <c r="D1166">
        <f>IF($J1166="","",SUMIFS('Hours Log'!$D:$D,'Hours Log'!$A:$A,"&gt;="&amp;$J1166,'Hours Log'!$A:$A,"&lt;"&amp;$J1166+7))</f>
        <v/>
      </c>
      <c r="E1166">
        <f>IF($J1166="","",IFERROR(C1166/(B1166*40),0))</f>
        <v/>
      </c>
      <c r="F1166">
        <f>IF($J1166="","",0)</f>
        <v/>
      </c>
      <c r="G1166">
        <f>IF($J1166="","",SUMIFS('Hours Log'!$E:$E,'Hours Log'!$A:$A,"&gt;="&amp;$J1166,'Hours Log'!$A:$A,"&lt;"&amp;$J1166+7))</f>
        <v/>
      </c>
      <c r="J1166">
        <f>IF(COUNT('Hours Log'!$A$4:$A$5000)=0,"",IF(MIN('Hours Log'!$A$4:$A$5000)+7*(ROW()-10)&gt;MAX('Hours Log'!$A$4:$A$5000),"",MIN('Hours Log'!$A$4:$A$5000)+7*(ROW()-10)))</f>
        <v/>
      </c>
    </row>
    <row r="1167">
      <c r="A1167">
        <f>IF($J1167="","",YEAR($J1167-WEEKDAY($J1167,2)+4)&amp;"-W"&amp;TEXT(WEEKNUM($J1167,21),"00"))</f>
        <v/>
      </c>
      <c r="B1167" s="41">
        <f>IF($J1167="","",COUNTIFS(Roster!$D$4:$D$500,"Active",Roster!$C$4:$C$500,"&lt;="&amp;$J1167))</f>
        <v/>
      </c>
      <c r="C1167">
        <f>IF($J1167="","",SUMIFS('Hours Log'!$C:$C,'Hours Log'!$A:$A,"&gt;="&amp;$J1167,'Hours Log'!$A:$A,"&lt;"&amp;$J1167+7)+SUMIFS('Hours Log'!$D:$D,'Hours Log'!$A:$A,"&gt;="&amp;$J1167,'Hours Log'!$A:$A,"&lt;"&amp;$J1167+7))</f>
        <v/>
      </c>
      <c r="D1167">
        <f>IF($J1167="","",SUMIFS('Hours Log'!$D:$D,'Hours Log'!$A:$A,"&gt;="&amp;$J1167,'Hours Log'!$A:$A,"&lt;"&amp;$J1167+7))</f>
        <v/>
      </c>
      <c r="E1167">
        <f>IF($J1167="","",IFERROR(C1167/(B1167*40),0))</f>
        <v/>
      </c>
      <c r="F1167">
        <f>IF($J1167="","",0)</f>
        <v/>
      </c>
      <c r="G1167">
        <f>IF($J1167="","",SUMIFS('Hours Log'!$E:$E,'Hours Log'!$A:$A,"&gt;="&amp;$J1167,'Hours Log'!$A:$A,"&lt;"&amp;$J1167+7))</f>
        <v/>
      </c>
      <c r="J1167">
        <f>IF(COUNT('Hours Log'!$A$4:$A$5000)=0,"",IF(MIN('Hours Log'!$A$4:$A$5000)+7*(ROW()-10)&gt;MAX('Hours Log'!$A$4:$A$5000),"",MIN('Hours Log'!$A$4:$A$5000)+7*(ROW()-10)))</f>
        <v/>
      </c>
    </row>
    <row r="1168">
      <c r="A1168">
        <f>IF($J1168="","",YEAR($J1168-WEEKDAY($J1168,2)+4)&amp;"-W"&amp;TEXT(WEEKNUM($J1168,21),"00"))</f>
        <v/>
      </c>
      <c r="B1168" s="41">
        <f>IF($J1168="","",COUNTIFS(Roster!$D$4:$D$500,"Active",Roster!$C$4:$C$500,"&lt;="&amp;$J1168))</f>
        <v/>
      </c>
      <c r="C1168">
        <f>IF($J1168="","",SUMIFS('Hours Log'!$C:$C,'Hours Log'!$A:$A,"&gt;="&amp;$J1168,'Hours Log'!$A:$A,"&lt;"&amp;$J1168+7)+SUMIFS('Hours Log'!$D:$D,'Hours Log'!$A:$A,"&gt;="&amp;$J1168,'Hours Log'!$A:$A,"&lt;"&amp;$J1168+7))</f>
        <v/>
      </c>
      <c r="D1168">
        <f>IF($J1168="","",SUMIFS('Hours Log'!$D:$D,'Hours Log'!$A:$A,"&gt;="&amp;$J1168,'Hours Log'!$A:$A,"&lt;"&amp;$J1168+7))</f>
        <v/>
      </c>
      <c r="E1168">
        <f>IF($J1168="","",IFERROR(C1168/(B1168*40),0))</f>
        <v/>
      </c>
      <c r="F1168">
        <f>IF($J1168="","",0)</f>
        <v/>
      </c>
      <c r="G1168">
        <f>IF($J1168="","",SUMIFS('Hours Log'!$E:$E,'Hours Log'!$A:$A,"&gt;="&amp;$J1168,'Hours Log'!$A:$A,"&lt;"&amp;$J1168+7))</f>
        <v/>
      </c>
      <c r="J1168">
        <f>IF(COUNT('Hours Log'!$A$4:$A$5000)=0,"",IF(MIN('Hours Log'!$A$4:$A$5000)+7*(ROW()-10)&gt;MAX('Hours Log'!$A$4:$A$5000),"",MIN('Hours Log'!$A$4:$A$5000)+7*(ROW()-10)))</f>
        <v/>
      </c>
    </row>
    <row r="1169">
      <c r="A1169">
        <f>IF($J1169="","",YEAR($J1169-WEEKDAY($J1169,2)+4)&amp;"-W"&amp;TEXT(WEEKNUM($J1169,21),"00"))</f>
        <v/>
      </c>
      <c r="B1169" s="41">
        <f>IF($J1169="","",COUNTIFS(Roster!$D$4:$D$500,"Active",Roster!$C$4:$C$500,"&lt;="&amp;$J1169))</f>
        <v/>
      </c>
      <c r="C1169">
        <f>IF($J1169="","",SUMIFS('Hours Log'!$C:$C,'Hours Log'!$A:$A,"&gt;="&amp;$J1169,'Hours Log'!$A:$A,"&lt;"&amp;$J1169+7)+SUMIFS('Hours Log'!$D:$D,'Hours Log'!$A:$A,"&gt;="&amp;$J1169,'Hours Log'!$A:$A,"&lt;"&amp;$J1169+7))</f>
        <v/>
      </c>
      <c r="D1169">
        <f>IF($J1169="","",SUMIFS('Hours Log'!$D:$D,'Hours Log'!$A:$A,"&gt;="&amp;$J1169,'Hours Log'!$A:$A,"&lt;"&amp;$J1169+7))</f>
        <v/>
      </c>
      <c r="E1169">
        <f>IF($J1169="","",IFERROR(C1169/(B1169*40),0))</f>
        <v/>
      </c>
      <c r="F1169">
        <f>IF($J1169="","",0)</f>
        <v/>
      </c>
      <c r="G1169">
        <f>IF($J1169="","",SUMIFS('Hours Log'!$E:$E,'Hours Log'!$A:$A,"&gt;="&amp;$J1169,'Hours Log'!$A:$A,"&lt;"&amp;$J1169+7))</f>
        <v/>
      </c>
      <c r="J1169">
        <f>IF(COUNT('Hours Log'!$A$4:$A$5000)=0,"",IF(MIN('Hours Log'!$A$4:$A$5000)+7*(ROW()-10)&gt;MAX('Hours Log'!$A$4:$A$5000),"",MIN('Hours Log'!$A$4:$A$5000)+7*(ROW()-10)))</f>
        <v/>
      </c>
    </row>
    <row r="1170">
      <c r="A1170">
        <f>IF($J1170="","",YEAR($J1170-WEEKDAY($J1170,2)+4)&amp;"-W"&amp;TEXT(WEEKNUM($J1170,21),"00"))</f>
        <v/>
      </c>
      <c r="B1170" s="41">
        <f>IF($J1170="","",COUNTIFS(Roster!$D$4:$D$500,"Active",Roster!$C$4:$C$500,"&lt;="&amp;$J1170))</f>
        <v/>
      </c>
      <c r="C1170">
        <f>IF($J1170="","",SUMIFS('Hours Log'!$C:$C,'Hours Log'!$A:$A,"&gt;="&amp;$J1170,'Hours Log'!$A:$A,"&lt;"&amp;$J1170+7)+SUMIFS('Hours Log'!$D:$D,'Hours Log'!$A:$A,"&gt;="&amp;$J1170,'Hours Log'!$A:$A,"&lt;"&amp;$J1170+7))</f>
        <v/>
      </c>
      <c r="D1170">
        <f>IF($J1170="","",SUMIFS('Hours Log'!$D:$D,'Hours Log'!$A:$A,"&gt;="&amp;$J1170,'Hours Log'!$A:$A,"&lt;"&amp;$J1170+7))</f>
        <v/>
      </c>
      <c r="E1170">
        <f>IF($J1170="","",IFERROR(C1170/(B1170*40),0))</f>
        <v/>
      </c>
      <c r="F1170">
        <f>IF($J1170="","",0)</f>
        <v/>
      </c>
      <c r="G1170">
        <f>IF($J1170="","",SUMIFS('Hours Log'!$E:$E,'Hours Log'!$A:$A,"&gt;="&amp;$J1170,'Hours Log'!$A:$A,"&lt;"&amp;$J1170+7))</f>
        <v/>
      </c>
      <c r="J1170">
        <f>IF(COUNT('Hours Log'!$A$4:$A$5000)=0,"",IF(MIN('Hours Log'!$A$4:$A$5000)+7*(ROW()-10)&gt;MAX('Hours Log'!$A$4:$A$5000),"",MIN('Hours Log'!$A$4:$A$5000)+7*(ROW()-10)))</f>
        <v/>
      </c>
    </row>
    <row r="1171">
      <c r="A1171">
        <f>IF($J1171="","",YEAR($J1171-WEEKDAY($J1171,2)+4)&amp;"-W"&amp;TEXT(WEEKNUM($J1171,21),"00"))</f>
        <v/>
      </c>
      <c r="B1171" s="41">
        <f>IF($J1171="","",COUNTIFS(Roster!$D$4:$D$500,"Active",Roster!$C$4:$C$500,"&lt;="&amp;$J1171))</f>
        <v/>
      </c>
      <c r="C1171">
        <f>IF($J1171="","",SUMIFS('Hours Log'!$C:$C,'Hours Log'!$A:$A,"&gt;="&amp;$J1171,'Hours Log'!$A:$A,"&lt;"&amp;$J1171+7)+SUMIFS('Hours Log'!$D:$D,'Hours Log'!$A:$A,"&gt;="&amp;$J1171,'Hours Log'!$A:$A,"&lt;"&amp;$J1171+7))</f>
        <v/>
      </c>
      <c r="D1171">
        <f>IF($J1171="","",SUMIFS('Hours Log'!$D:$D,'Hours Log'!$A:$A,"&gt;="&amp;$J1171,'Hours Log'!$A:$A,"&lt;"&amp;$J1171+7))</f>
        <v/>
      </c>
      <c r="E1171">
        <f>IF($J1171="","",IFERROR(C1171/(B1171*40),0))</f>
        <v/>
      </c>
      <c r="F1171">
        <f>IF($J1171="","",0)</f>
        <v/>
      </c>
      <c r="G1171">
        <f>IF($J1171="","",SUMIFS('Hours Log'!$E:$E,'Hours Log'!$A:$A,"&gt;="&amp;$J1171,'Hours Log'!$A:$A,"&lt;"&amp;$J1171+7))</f>
        <v/>
      </c>
      <c r="J1171">
        <f>IF(COUNT('Hours Log'!$A$4:$A$5000)=0,"",IF(MIN('Hours Log'!$A$4:$A$5000)+7*(ROW()-10)&gt;MAX('Hours Log'!$A$4:$A$5000),"",MIN('Hours Log'!$A$4:$A$5000)+7*(ROW()-10)))</f>
        <v/>
      </c>
    </row>
    <row r="1172">
      <c r="A1172">
        <f>IF($J1172="","",YEAR($J1172-WEEKDAY($J1172,2)+4)&amp;"-W"&amp;TEXT(WEEKNUM($J1172,21),"00"))</f>
        <v/>
      </c>
      <c r="B1172" s="41">
        <f>IF($J1172="","",COUNTIFS(Roster!$D$4:$D$500,"Active",Roster!$C$4:$C$500,"&lt;="&amp;$J1172))</f>
        <v/>
      </c>
      <c r="C1172">
        <f>IF($J1172="","",SUMIFS('Hours Log'!$C:$C,'Hours Log'!$A:$A,"&gt;="&amp;$J1172,'Hours Log'!$A:$A,"&lt;"&amp;$J1172+7)+SUMIFS('Hours Log'!$D:$D,'Hours Log'!$A:$A,"&gt;="&amp;$J1172,'Hours Log'!$A:$A,"&lt;"&amp;$J1172+7))</f>
        <v/>
      </c>
      <c r="D1172">
        <f>IF($J1172="","",SUMIFS('Hours Log'!$D:$D,'Hours Log'!$A:$A,"&gt;="&amp;$J1172,'Hours Log'!$A:$A,"&lt;"&amp;$J1172+7))</f>
        <v/>
      </c>
      <c r="E1172">
        <f>IF($J1172="","",IFERROR(C1172/(B1172*40),0))</f>
        <v/>
      </c>
      <c r="F1172">
        <f>IF($J1172="","",0)</f>
        <v/>
      </c>
      <c r="G1172">
        <f>IF($J1172="","",SUMIFS('Hours Log'!$E:$E,'Hours Log'!$A:$A,"&gt;="&amp;$J1172,'Hours Log'!$A:$A,"&lt;"&amp;$J1172+7))</f>
        <v/>
      </c>
      <c r="J1172">
        <f>IF(COUNT('Hours Log'!$A$4:$A$5000)=0,"",IF(MIN('Hours Log'!$A$4:$A$5000)+7*(ROW()-10)&gt;MAX('Hours Log'!$A$4:$A$5000),"",MIN('Hours Log'!$A$4:$A$5000)+7*(ROW()-10)))</f>
        <v/>
      </c>
    </row>
    <row r="1173">
      <c r="A1173">
        <f>IF($J1173="","",YEAR($J1173-WEEKDAY($J1173,2)+4)&amp;"-W"&amp;TEXT(WEEKNUM($J1173,21),"00"))</f>
        <v/>
      </c>
      <c r="B1173" s="41">
        <f>IF($J1173="","",COUNTIFS(Roster!$D$4:$D$500,"Active",Roster!$C$4:$C$500,"&lt;="&amp;$J1173))</f>
        <v/>
      </c>
      <c r="C1173">
        <f>IF($J1173="","",SUMIFS('Hours Log'!$C:$C,'Hours Log'!$A:$A,"&gt;="&amp;$J1173,'Hours Log'!$A:$A,"&lt;"&amp;$J1173+7)+SUMIFS('Hours Log'!$D:$D,'Hours Log'!$A:$A,"&gt;="&amp;$J1173,'Hours Log'!$A:$A,"&lt;"&amp;$J1173+7))</f>
        <v/>
      </c>
      <c r="D1173">
        <f>IF($J1173="","",SUMIFS('Hours Log'!$D:$D,'Hours Log'!$A:$A,"&gt;="&amp;$J1173,'Hours Log'!$A:$A,"&lt;"&amp;$J1173+7))</f>
        <v/>
      </c>
      <c r="E1173">
        <f>IF($J1173="","",IFERROR(C1173/(B1173*40),0))</f>
        <v/>
      </c>
      <c r="F1173">
        <f>IF($J1173="","",0)</f>
        <v/>
      </c>
      <c r="G1173">
        <f>IF($J1173="","",SUMIFS('Hours Log'!$E:$E,'Hours Log'!$A:$A,"&gt;="&amp;$J1173,'Hours Log'!$A:$A,"&lt;"&amp;$J1173+7))</f>
        <v/>
      </c>
      <c r="J1173">
        <f>IF(COUNT('Hours Log'!$A$4:$A$5000)=0,"",IF(MIN('Hours Log'!$A$4:$A$5000)+7*(ROW()-10)&gt;MAX('Hours Log'!$A$4:$A$5000),"",MIN('Hours Log'!$A$4:$A$5000)+7*(ROW()-10)))</f>
        <v/>
      </c>
    </row>
    <row r="1174">
      <c r="A1174">
        <f>IF($J1174="","",YEAR($J1174-WEEKDAY($J1174,2)+4)&amp;"-W"&amp;TEXT(WEEKNUM($J1174,21),"00"))</f>
        <v/>
      </c>
      <c r="B1174" s="41">
        <f>IF($J1174="","",COUNTIFS(Roster!$D$4:$D$500,"Active",Roster!$C$4:$C$500,"&lt;="&amp;$J1174))</f>
        <v/>
      </c>
      <c r="C1174">
        <f>IF($J1174="","",SUMIFS('Hours Log'!$C:$C,'Hours Log'!$A:$A,"&gt;="&amp;$J1174,'Hours Log'!$A:$A,"&lt;"&amp;$J1174+7)+SUMIFS('Hours Log'!$D:$D,'Hours Log'!$A:$A,"&gt;="&amp;$J1174,'Hours Log'!$A:$A,"&lt;"&amp;$J1174+7))</f>
        <v/>
      </c>
      <c r="D1174">
        <f>IF($J1174="","",SUMIFS('Hours Log'!$D:$D,'Hours Log'!$A:$A,"&gt;="&amp;$J1174,'Hours Log'!$A:$A,"&lt;"&amp;$J1174+7))</f>
        <v/>
      </c>
      <c r="E1174">
        <f>IF($J1174="","",IFERROR(C1174/(B1174*40),0))</f>
        <v/>
      </c>
      <c r="F1174">
        <f>IF($J1174="","",0)</f>
        <v/>
      </c>
      <c r="G1174">
        <f>IF($J1174="","",SUMIFS('Hours Log'!$E:$E,'Hours Log'!$A:$A,"&gt;="&amp;$J1174,'Hours Log'!$A:$A,"&lt;"&amp;$J1174+7))</f>
        <v/>
      </c>
      <c r="J1174">
        <f>IF(COUNT('Hours Log'!$A$4:$A$5000)=0,"",IF(MIN('Hours Log'!$A$4:$A$5000)+7*(ROW()-10)&gt;MAX('Hours Log'!$A$4:$A$5000),"",MIN('Hours Log'!$A$4:$A$5000)+7*(ROW()-10)))</f>
        <v/>
      </c>
    </row>
    <row r="1175">
      <c r="A1175">
        <f>IF($J1175="","",YEAR($J1175-WEEKDAY($J1175,2)+4)&amp;"-W"&amp;TEXT(WEEKNUM($J1175,21),"00"))</f>
        <v/>
      </c>
      <c r="B1175" s="41">
        <f>IF($J1175="","",COUNTIFS(Roster!$D$4:$D$500,"Active",Roster!$C$4:$C$500,"&lt;="&amp;$J1175))</f>
        <v/>
      </c>
      <c r="C1175">
        <f>IF($J1175="","",SUMIFS('Hours Log'!$C:$C,'Hours Log'!$A:$A,"&gt;="&amp;$J1175,'Hours Log'!$A:$A,"&lt;"&amp;$J1175+7)+SUMIFS('Hours Log'!$D:$D,'Hours Log'!$A:$A,"&gt;="&amp;$J1175,'Hours Log'!$A:$A,"&lt;"&amp;$J1175+7))</f>
        <v/>
      </c>
      <c r="D1175">
        <f>IF($J1175="","",SUMIFS('Hours Log'!$D:$D,'Hours Log'!$A:$A,"&gt;="&amp;$J1175,'Hours Log'!$A:$A,"&lt;"&amp;$J1175+7))</f>
        <v/>
      </c>
      <c r="E1175">
        <f>IF($J1175="","",IFERROR(C1175/(B1175*40),0))</f>
        <v/>
      </c>
      <c r="F1175">
        <f>IF($J1175="","",0)</f>
        <v/>
      </c>
      <c r="G1175">
        <f>IF($J1175="","",SUMIFS('Hours Log'!$E:$E,'Hours Log'!$A:$A,"&gt;="&amp;$J1175,'Hours Log'!$A:$A,"&lt;"&amp;$J1175+7))</f>
        <v/>
      </c>
      <c r="J1175">
        <f>IF(COUNT('Hours Log'!$A$4:$A$5000)=0,"",IF(MIN('Hours Log'!$A$4:$A$5000)+7*(ROW()-10)&gt;MAX('Hours Log'!$A$4:$A$5000),"",MIN('Hours Log'!$A$4:$A$5000)+7*(ROW()-10)))</f>
        <v/>
      </c>
    </row>
    <row r="1176">
      <c r="A1176">
        <f>IF($J1176="","",YEAR($J1176-WEEKDAY($J1176,2)+4)&amp;"-W"&amp;TEXT(WEEKNUM($J1176,21),"00"))</f>
        <v/>
      </c>
      <c r="B1176" s="41">
        <f>IF($J1176="","",COUNTIFS(Roster!$D$4:$D$500,"Active",Roster!$C$4:$C$500,"&lt;="&amp;$J1176))</f>
        <v/>
      </c>
      <c r="C1176">
        <f>IF($J1176="","",SUMIFS('Hours Log'!$C:$C,'Hours Log'!$A:$A,"&gt;="&amp;$J1176,'Hours Log'!$A:$A,"&lt;"&amp;$J1176+7)+SUMIFS('Hours Log'!$D:$D,'Hours Log'!$A:$A,"&gt;="&amp;$J1176,'Hours Log'!$A:$A,"&lt;"&amp;$J1176+7))</f>
        <v/>
      </c>
      <c r="D1176">
        <f>IF($J1176="","",SUMIFS('Hours Log'!$D:$D,'Hours Log'!$A:$A,"&gt;="&amp;$J1176,'Hours Log'!$A:$A,"&lt;"&amp;$J1176+7))</f>
        <v/>
      </c>
      <c r="E1176">
        <f>IF($J1176="","",IFERROR(C1176/(B1176*40),0))</f>
        <v/>
      </c>
      <c r="F1176">
        <f>IF($J1176="","",0)</f>
        <v/>
      </c>
      <c r="G1176">
        <f>IF($J1176="","",SUMIFS('Hours Log'!$E:$E,'Hours Log'!$A:$A,"&gt;="&amp;$J1176,'Hours Log'!$A:$A,"&lt;"&amp;$J1176+7))</f>
        <v/>
      </c>
      <c r="J1176">
        <f>IF(COUNT('Hours Log'!$A$4:$A$5000)=0,"",IF(MIN('Hours Log'!$A$4:$A$5000)+7*(ROW()-10)&gt;MAX('Hours Log'!$A$4:$A$5000),"",MIN('Hours Log'!$A$4:$A$5000)+7*(ROW()-10)))</f>
        <v/>
      </c>
    </row>
    <row r="1177">
      <c r="A1177">
        <f>IF($J1177="","",YEAR($J1177-WEEKDAY($J1177,2)+4)&amp;"-W"&amp;TEXT(WEEKNUM($J1177,21),"00"))</f>
        <v/>
      </c>
      <c r="B1177" s="41">
        <f>IF($J1177="","",COUNTIFS(Roster!$D$4:$D$500,"Active",Roster!$C$4:$C$500,"&lt;="&amp;$J1177))</f>
        <v/>
      </c>
      <c r="C1177">
        <f>IF($J1177="","",SUMIFS('Hours Log'!$C:$C,'Hours Log'!$A:$A,"&gt;="&amp;$J1177,'Hours Log'!$A:$A,"&lt;"&amp;$J1177+7)+SUMIFS('Hours Log'!$D:$D,'Hours Log'!$A:$A,"&gt;="&amp;$J1177,'Hours Log'!$A:$A,"&lt;"&amp;$J1177+7))</f>
        <v/>
      </c>
      <c r="D1177">
        <f>IF($J1177="","",SUMIFS('Hours Log'!$D:$D,'Hours Log'!$A:$A,"&gt;="&amp;$J1177,'Hours Log'!$A:$A,"&lt;"&amp;$J1177+7))</f>
        <v/>
      </c>
      <c r="E1177">
        <f>IF($J1177="","",IFERROR(C1177/(B1177*40),0))</f>
        <v/>
      </c>
      <c r="F1177">
        <f>IF($J1177="","",0)</f>
        <v/>
      </c>
      <c r="G1177">
        <f>IF($J1177="","",SUMIFS('Hours Log'!$E:$E,'Hours Log'!$A:$A,"&gt;="&amp;$J1177,'Hours Log'!$A:$A,"&lt;"&amp;$J1177+7))</f>
        <v/>
      </c>
      <c r="J1177">
        <f>IF(COUNT('Hours Log'!$A$4:$A$5000)=0,"",IF(MIN('Hours Log'!$A$4:$A$5000)+7*(ROW()-10)&gt;MAX('Hours Log'!$A$4:$A$5000),"",MIN('Hours Log'!$A$4:$A$5000)+7*(ROW()-10)))</f>
        <v/>
      </c>
    </row>
    <row r="1178">
      <c r="A1178">
        <f>IF($J1178="","",YEAR($J1178-WEEKDAY($J1178,2)+4)&amp;"-W"&amp;TEXT(WEEKNUM($J1178,21),"00"))</f>
        <v/>
      </c>
      <c r="B1178" s="41">
        <f>IF($J1178="","",COUNTIFS(Roster!$D$4:$D$500,"Active",Roster!$C$4:$C$500,"&lt;="&amp;$J1178))</f>
        <v/>
      </c>
      <c r="C1178">
        <f>IF($J1178="","",SUMIFS('Hours Log'!$C:$C,'Hours Log'!$A:$A,"&gt;="&amp;$J1178,'Hours Log'!$A:$A,"&lt;"&amp;$J1178+7)+SUMIFS('Hours Log'!$D:$D,'Hours Log'!$A:$A,"&gt;="&amp;$J1178,'Hours Log'!$A:$A,"&lt;"&amp;$J1178+7))</f>
        <v/>
      </c>
      <c r="D1178">
        <f>IF($J1178="","",SUMIFS('Hours Log'!$D:$D,'Hours Log'!$A:$A,"&gt;="&amp;$J1178,'Hours Log'!$A:$A,"&lt;"&amp;$J1178+7))</f>
        <v/>
      </c>
      <c r="E1178">
        <f>IF($J1178="","",IFERROR(C1178/(B1178*40),0))</f>
        <v/>
      </c>
      <c r="F1178">
        <f>IF($J1178="","",0)</f>
        <v/>
      </c>
      <c r="G1178">
        <f>IF($J1178="","",SUMIFS('Hours Log'!$E:$E,'Hours Log'!$A:$A,"&gt;="&amp;$J1178,'Hours Log'!$A:$A,"&lt;"&amp;$J1178+7))</f>
        <v/>
      </c>
      <c r="J1178">
        <f>IF(COUNT('Hours Log'!$A$4:$A$5000)=0,"",IF(MIN('Hours Log'!$A$4:$A$5000)+7*(ROW()-10)&gt;MAX('Hours Log'!$A$4:$A$5000),"",MIN('Hours Log'!$A$4:$A$5000)+7*(ROW()-10)))</f>
        <v/>
      </c>
    </row>
    <row r="1179">
      <c r="A1179">
        <f>IF($J1179="","",YEAR($J1179-WEEKDAY($J1179,2)+4)&amp;"-W"&amp;TEXT(WEEKNUM($J1179,21),"00"))</f>
        <v/>
      </c>
      <c r="B1179" s="41">
        <f>IF($J1179="","",COUNTIFS(Roster!$D$4:$D$500,"Active",Roster!$C$4:$C$500,"&lt;="&amp;$J1179))</f>
        <v/>
      </c>
      <c r="C1179">
        <f>IF($J1179="","",SUMIFS('Hours Log'!$C:$C,'Hours Log'!$A:$A,"&gt;="&amp;$J1179,'Hours Log'!$A:$A,"&lt;"&amp;$J1179+7)+SUMIFS('Hours Log'!$D:$D,'Hours Log'!$A:$A,"&gt;="&amp;$J1179,'Hours Log'!$A:$A,"&lt;"&amp;$J1179+7))</f>
        <v/>
      </c>
      <c r="D1179">
        <f>IF($J1179="","",SUMIFS('Hours Log'!$D:$D,'Hours Log'!$A:$A,"&gt;="&amp;$J1179,'Hours Log'!$A:$A,"&lt;"&amp;$J1179+7))</f>
        <v/>
      </c>
      <c r="E1179">
        <f>IF($J1179="","",IFERROR(C1179/(B1179*40),0))</f>
        <v/>
      </c>
      <c r="F1179">
        <f>IF($J1179="","",0)</f>
        <v/>
      </c>
      <c r="G1179">
        <f>IF($J1179="","",SUMIFS('Hours Log'!$E:$E,'Hours Log'!$A:$A,"&gt;="&amp;$J1179,'Hours Log'!$A:$A,"&lt;"&amp;$J1179+7))</f>
        <v/>
      </c>
      <c r="J1179">
        <f>IF(COUNT('Hours Log'!$A$4:$A$5000)=0,"",IF(MIN('Hours Log'!$A$4:$A$5000)+7*(ROW()-10)&gt;MAX('Hours Log'!$A$4:$A$5000),"",MIN('Hours Log'!$A$4:$A$5000)+7*(ROW()-10)))</f>
        <v/>
      </c>
    </row>
    <row r="1180">
      <c r="A1180">
        <f>IF($J1180="","",YEAR($J1180-WEEKDAY($J1180,2)+4)&amp;"-W"&amp;TEXT(WEEKNUM($J1180,21),"00"))</f>
        <v/>
      </c>
      <c r="B1180" s="41">
        <f>IF($J1180="","",COUNTIFS(Roster!$D$4:$D$500,"Active",Roster!$C$4:$C$500,"&lt;="&amp;$J1180))</f>
        <v/>
      </c>
      <c r="C1180">
        <f>IF($J1180="","",SUMIFS('Hours Log'!$C:$C,'Hours Log'!$A:$A,"&gt;="&amp;$J1180,'Hours Log'!$A:$A,"&lt;"&amp;$J1180+7)+SUMIFS('Hours Log'!$D:$D,'Hours Log'!$A:$A,"&gt;="&amp;$J1180,'Hours Log'!$A:$A,"&lt;"&amp;$J1180+7))</f>
        <v/>
      </c>
      <c r="D1180">
        <f>IF($J1180="","",SUMIFS('Hours Log'!$D:$D,'Hours Log'!$A:$A,"&gt;="&amp;$J1180,'Hours Log'!$A:$A,"&lt;"&amp;$J1180+7))</f>
        <v/>
      </c>
      <c r="E1180">
        <f>IF($J1180="","",IFERROR(C1180/(B1180*40),0))</f>
        <v/>
      </c>
      <c r="F1180">
        <f>IF($J1180="","",0)</f>
        <v/>
      </c>
      <c r="G1180">
        <f>IF($J1180="","",SUMIFS('Hours Log'!$E:$E,'Hours Log'!$A:$A,"&gt;="&amp;$J1180,'Hours Log'!$A:$A,"&lt;"&amp;$J1180+7))</f>
        <v/>
      </c>
      <c r="J1180">
        <f>IF(COUNT('Hours Log'!$A$4:$A$5000)=0,"",IF(MIN('Hours Log'!$A$4:$A$5000)+7*(ROW()-10)&gt;MAX('Hours Log'!$A$4:$A$5000),"",MIN('Hours Log'!$A$4:$A$5000)+7*(ROW()-10)))</f>
        <v/>
      </c>
    </row>
    <row r="1181">
      <c r="A1181">
        <f>IF($J1181="","",YEAR($J1181-WEEKDAY($J1181,2)+4)&amp;"-W"&amp;TEXT(WEEKNUM($J1181,21),"00"))</f>
        <v/>
      </c>
      <c r="B1181" s="41">
        <f>IF($J1181="","",COUNTIFS(Roster!$D$4:$D$500,"Active",Roster!$C$4:$C$500,"&lt;="&amp;$J1181))</f>
        <v/>
      </c>
      <c r="C1181">
        <f>IF($J1181="","",SUMIFS('Hours Log'!$C:$C,'Hours Log'!$A:$A,"&gt;="&amp;$J1181,'Hours Log'!$A:$A,"&lt;"&amp;$J1181+7)+SUMIFS('Hours Log'!$D:$D,'Hours Log'!$A:$A,"&gt;="&amp;$J1181,'Hours Log'!$A:$A,"&lt;"&amp;$J1181+7))</f>
        <v/>
      </c>
      <c r="D1181">
        <f>IF($J1181="","",SUMIFS('Hours Log'!$D:$D,'Hours Log'!$A:$A,"&gt;="&amp;$J1181,'Hours Log'!$A:$A,"&lt;"&amp;$J1181+7))</f>
        <v/>
      </c>
      <c r="E1181">
        <f>IF($J1181="","",IFERROR(C1181/(B1181*40),0))</f>
        <v/>
      </c>
      <c r="F1181">
        <f>IF($J1181="","",0)</f>
        <v/>
      </c>
      <c r="G1181">
        <f>IF($J1181="","",SUMIFS('Hours Log'!$E:$E,'Hours Log'!$A:$A,"&gt;="&amp;$J1181,'Hours Log'!$A:$A,"&lt;"&amp;$J1181+7))</f>
        <v/>
      </c>
      <c r="J1181">
        <f>IF(COUNT('Hours Log'!$A$4:$A$5000)=0,"",IF(MIN('Hours Log'!$A$4:$A$5000)+7*(ROW()-10)&gt;MAX('Hours Log'!$A$4:$A$5000),"",MIN('Hours Log'!$A$4:$A$5000)+7*(ROW()-10)))</f>
        <v/>
      </c>
    </row>
    <row r="1182">
      <c r="A1182">
        <f>IF($J1182="","",YEAR($J1182-WEEKDAY($J1182,2)+4)&amp;"-W"&amp;TEXT(WEEKNUM($J1182,21),"00"))</f>
        <v/>
      </c>
      <c r="B1182" s="41">
        <f>IF($J1182="","",COUNTIFS(Roster!$D$4:$D$500,"Active",Roster!$C$4:$C$500,"&lt;="&amp;$J1182))</f>
        <v/>
      </c>
      <c r="C1182">
        <f>IF($J1182="","",SUMIFS('Hours Log'!$C:$C,'Hours Log'!$A:$A,"&gt;="&amp;$J1182,'Hours Log'!$A:$A,"&lt;"&amp;$J1182+7)+SUMIFS('Hours Log'!$D:$D,'Hours Log'!$A:$A,"&gt;="&amp;$J1182,'Hours Log'!$A:$A,"&lt;"&amp;$J1182+7))</f>
        <v/>
      </c>
      <c r="D1182">
        <f>IF($J1182="","",SUMIFS('Hours Log'!$D:$D,'Hours Log'!$A:$A,"&gt;="&amp;$J1182,'Hours Log'!$A:$A,"&lt;"&amp;$J1182+7))</f>
        <v/>
      </c>
      <c r="E1182">
        <f>IF($J1182="","",IFERROR(C1182/(B1182*40),0))</f>
        <v/>
      </c>
      <c r="F1182">
        <f>IF($J1182="","",0)</f>
        <v/>
      </c>
      <c r="G1182">
        <f>IF($J1182="","",SUMIFS('Hours Log'!$E:$E,'Hours Log'!$A:$A,"&gt;="&amp;$J1182,'Hours Log'!$A:$A,"&lt;"&amp;$J1182+7))</f>
        <v/>
      </c>
      <c r="J1182">
        <f>IF(COUNT('Hours Log'!$A$4:$A$5000)=0,"",IF(MIN('Hours Log'!$A$4:$A$5000)+7*(ROW()-10)&gt;MAX('Hours Log'!$A$4:$A$5000),"",MIN('Hours Log'!$A$4:$A$5000)+7*(ROW()-10)))</f>
        <v/>
      </c>
    </row>
    <row r="1183">
      <c r="A1183">
        <f>IF($J1183="","",YEAR($J1183-WEEKDAY($J1183,2)+4)&amp;"-W"&amp;TEXT(WEEKNUM($J1183,21),"00"))</f>
        <v/>
      </c>
      <c r="B1183" s="41">
        <f>IF($J1183="","",COUNTIFS(Roster!$D$4:$D$500,"Active",Roster!$C$4:$C$500,"&lt;="&amp;$J1183))</f>
        <v/>
      </c>
      <c r="C1183">
        <f>IF($J1183="","",SUMIFS('Hours Log'!$C:$C,'Hours Log'!$A:$A,"&gt;="&amp;$J1183,'Hours Log'!$A:$A,"&lt;"&amp;$J1183+7)+SUMIFS('Hours Log'!$D:$D,'Hours Log'!$A:$A,"&gt;="&amp;$J1183,'Hours Log'!$A:$A,"&lt;"&amp;$J1183+7))</f>
        <v/>
      </c>
      <c r="D1183">
        <f>IF($J1183="","",SUMIFS('Hours Log'!$D:$D,'Hours Log'!$A:$A,"&gt;="&amp;$J1183,'Hours Log'!$A:$A,"&lt;"&amp;$J1183+7))</f>
        <v/>
      </c>
      <c r="E1183">
        <f>IF($J1183="","",IFERROR(C1183/(B1183*40),0))</f>
        <v/>
      </c>
      <c r="F1183">
        <f>IF($J1183="","",0)</f>
        <v/>
      </c>
      <c r="G1183">
        <f>IF($J1183="","",SUMIFS('Hours Log'!$E:$E,'Hours Log'!$A:$A,"&gt;="&amp;$J1183,'Hours Log'!$A:$A,"&lt;"&amp;$J1183+7))</f>
        <v/>
      </c>
      <c r="J1183">
        <f>IF(COUNT('Hours Log'!$A$4:$A$5000)=0,"",IF(MIN('Hours Log'!$A$4:$A$5000)+7*(ROW()-10)&gt;MAX('Hours Log'!$A$4:$A$5000),"",MIN('Hours Log'!$A$4:$A$5000)+7*(ROW()-10)))</f>
        <v/>
      </c>
    </row>
    <row r="1184">
      <c r="A1184">
        <f>IF($J1184="","",YEAR($J1184-WEEKDAY($J1184,2)+4)&amp;"-W"&amp;TEXT(WEEKNUM($J1184,21),"00"))</f>
        <v/>
      </c>
      <c r="B1184" s="41">
        <f>IF($J1184="","",COUNTIFS(Roster!$D$4:$D$500,"Active",Roster!$C$4:$C$500,"&lt;="&amp;$J1184))</f>
        <v/>
      </c>
      <c r="C1184">
        <f>IF($J1184="","",SUMIFS('Hours Log'!$C:$C,'Hours Log'!$A:$A,"&gt;="&amp;$J1184,'Hours Log'!$A:$A,"&lt;"&amp;$J1184+7)+SUMIFS('Hours Log'!$D:$D,'Hours Log'!$A:$A,"&gt;="&amp;$J1184,'Hours Log'!$A:$A,"&lt;"&amp;$J1184+7))</f>
        <v/>
      </c>
      <c r="D1184">
        <f>IF($J1184="","",SUMIFS('Hours Log'!$D:$D,'Hours Log'!$A:$A,"&gt;="&amp;$J1184,'Hours Log'!$A:$A,"&lt;"&amp;$J1184+7))</f>
        <v/>
      </c>
      <c r="E1184">
        <f>IF($J1184="","",IFERROR(C1184/(B1184*40),0))</f>
        <v/>
      </c>
      <c r="F1184">
        <f>IF($J1184="","",0)</f>
        <v/>
      </c>
      <c r="G1184">
        <f>IF($J1184="","",SUMIFS('Hours Log'!$E:$E,'Hours Log'!$A:$A,"&gt;="&amp;$J1184,'Hours Log'!$A:$A,"&lt;"&amp;$J1184+7))</f>
        <v/>
      </c>
      <c r="J1184">
        <f>IF(COUNT('Hours Log'!$A$4:$A$5000)=0,"",IF(MIN('Hours Log'!$A$4:$A$5000)+7*(ROW()-10)&gt;MAX('Hours Log'!$A$4:$A$5000),"",MIN('Hours Log'!$A$4:$A$5000)+7*(ROW()-10)))</f>
        <v/>
      </c>
    </row>
    <row r="1185">
      <c r="A1185">
        <f>IF($J1185="","",YEAR($J1185-WEEKDAY($J1185,2)+4)&amp;"-W"&amp;TEXT(WEEKNUM($J1185,21),"00"))</f>
        <v/>
      </c>
      <c r="B1185" s="41">
        <f>IF($J1185="","",COUNTIFS(Roster!$D$4:$D$500,"Active",Roster!$C$4:$C$500,"&lt;="&amp;$J1185))</f>
        <v/>
      </c>
      <c r="C1185">
        <f>IF($J1185="","",SUMIFS('Hours Log'!$C:$C,'Hours Log'!$A:$A,"&gt;="&amp;$J1185,'Hours Log'!$A:$A,"&lt;"&amp;$J1185+7)+SUMIFS('Hours Log'!$D:$D,'Hours Log'!$A:$A,"&gt;="&amp;$J1185,'Hours Log'!$A:$A,"&lt;"&amp;$J1185+7))</f>
        <v/>
      </c>
      <c r="D1185">
        <f>IF($J1185="","",SUMIFS('Hours Log'!$D:$D,'Hours Log'!$A:$A,"&gt;="&amp;$J1185,'Hours Log'!$A:$A,"&lt;"&amp;$J1185+7))</f>
        <v/>
      </c>
      <c r="E1185">
        <f>IF($J1185="","",IFERROR(C1185/(B1185*40),0))</f>
        <v/>
      </c>
      <c r="F1185">
        <f>IF($J1185="","",0)</f>
        <v/>
      </c>
      <c r="G1185">
        <f>IF($J1185="","",SUMIFS('Hours Log'!$E:$E,'Hours Log'!$A:$A,"&gt;="&amp;$J1185,'Hours Log'!$A:$A,"&lt;"&amp;$J1185+7))</f>
        <v/>
      </c>
      <c r="J1185">
        <f>IF(COUNT('Hours Log'!$A$4:$A$5000)=0,"",IF(MIN('Hours Log'!$A$4:$A$5000)+7*(ROW()-10)&gt;MAX('Hours Log'!$A$4:$A$5000),"",MIN('Hours Log'!$A$4:$A$5000)+7*(ROW()-10)))</f>
        <v/>
      </c>
    </row>
    <row r="1186">
      <c r="A1186">
        <f>IF($J1186="","",YEAR($J1186-WEEKDAY($J1186,2)+4)&amp;"-W"&amp;TEXT(WEEKNUM($J1186,21),"00"))</f>
        <v/>
      </c>
      <c r="B1186" s="41">
        <f>IF($J1186="","",COUNTIFS(Roster!$D$4:$D$500,"Active",Roster!$C$4:$C$500,"&lt;="&amp;$J1186))</f>
        <v/>
      </c>
      <c r="C1186">
        <f>IF($J1186="","",SUMIFS('Hours Log'!$C:$C,'Hours Log'!$A:$A,"&gt;="&amp;$J1186,'Hours Log'!$A:$A,"&lt;"&amp;$J1186+7)+SUMIFS('Hours Log'!$D:$D,'Hours Log'!$A:$A,"&gt;="&amp;$J1186,'Hours Log'!$A:$A,"&lt;"&amp;$J1186+7))</f>
        <v/>
      </c>
      <c r="D1186">
        <f>IF($J1186="","",SUMIFS('Hours Log'!$D:$D,'Hours Log'!$A:$A,"&gt;="&amp;$J1186,'Hours Log'!$A:$A,"&lt;"&amp;$J1186+7))</f>
        <v/>
      </c>
      <c r="E1186">
        <f>IF($J1186="","",IFERROR(C1186/(B1186*40),0))</f>
        <v/>
      </c>
      <c r="F1186">
        <f>IF($J1186="","",0)</f>
        <v/>
      </c>
      <c r="G1186">
        <f>IF($J1186="","",SUMIFS('Hours Log'!$E:$E,'Hours Log'!$A:$A,"&gt;="&amp;$J1186,'Hours Log'!$A:$A,"&lt;"&amp;$J1186+7))</f>
        <v/>
      </c>
      <c r="J1186">
        <f>IF(COUNT('Hours Log'!$A$4:$A$5000)=0,"",IF(MIN('Hours Log'!$A$4:$A$5000)+7*(ROW()-10)&gt;MAX('Hours Log'!$A$4:$A$5000),"",MIN('Hours Log'!$A$4:$A$5000)+7*(ROW()-10)))</f>
        <v/>
      </c>
    </row>
    <row r="1187">
      <c r="A1187">
        <f>IF($J1187="","",YEAR($J1187-WEEKDAY($J1187,2)+4)&amp;"-W"&amp;TEXT(WEEKNUM($J1187,21),"00"))</f>
        <v/>
      </c>
      <c r="B1187" s="41">
        <f>IF($J1187="","",COUNTIFS(Roster!$D$4:$D$500,"Active",Roster!$C$4:$C$500,"&lt;="&amp;$J1187))</f>
        <v/>
      </c>
      <c r="C1187">
        <f>IF($J1187="","",SUMIFS('Hours Log'!$C:$C,'Hours Log'!$A:$A,"&gt;="&amp;$J1187,'Hours Log'!$A:$A,"&lt;"&amp;$J1187+7)+SUMIFS('Hours Log'!$D:$D,'Hours Log'!$A:$A,"&gt;="&amp;$J1187,'Hours Log'!$A:$A,"&lt;"&amp;$J1187+7))</f>
        <v/>
      </c>
      <c r="D1187">
        <f>IF($J1187="","",SUMIFS('Hours Log'!$D:$D,'Hours Log'!$A:$A,"&gt;="&amp;$J1187,'Hours Log'!$A:$A,"&lt;"&amp;$J1187+7))</f>
        <v/>
      </c>
      <c r="E1187">
        <f>IF($J1187="","",IFERROR(C1187/(B1187*40),0))</f>
        <v/>
      </c>
      <c r="F1187">
        <f>IF($J1187="","",0)</f>
        <v/>
      </c>
      <c r="G1187">
        <f>IF($J1187="","",SUMIFS('Hours Log'!$E:$E,'Hours Log'!$A:$A,"&gt;="&amp;$J1187,'Hours Log'!$A:$A,"&lt;"&amp;$J1187+7))</f>
        <v/>
      </c>
      <c r="J1187">
        <f>IF(COUNT('Hours Log'!$A$4:$A$5000)=0,"",IF(MIN('Hours Log'!$A$4:$A$5000)+7*(ROW()-10)&gt;MAX('Hours Log'!$A$4:$A$5000),"",MIN('Hours Log'!$A$4:$A$5000)+7*(ROW()-10)))</f>
        <v/>
      </c>
    </row>
    <row r="1188">
      <c r="A1188">
        <f>IF($J1188="","",YEAR($J1188-WEEKDAY($J1188,2)+4)&amp;"-W"&amp;TEXT(WEEKNUM($J1188,21),"00"))</f>
        <v/>
      </c>
      <c r="B1188" s="41">
        <f>IF($J1188="","",COUNTIFS(Roster!$D$4:$D$500,"Active",Roster!$C$4:$C$500,"&lt;="&amp;$J1188))</f>
        <v/>
      </c>
      <c r="C1188">
        <f>IF($J1188="","",SUMIFS('Hours Log'!$C:$C,'Hours Log'!$A:$A,"&gt;="&amp;$J1188,'Hours Log'!$A:$A,"&lt;"&amp;$J1188+7)+SUMIFS('Hours Log'!$D:$D,'Hours Log'!$A:$A,"&gt;="&amp;$J1188,'Hours Log'!$A:$A,"&lt;"&amp;$J1188+7))</f>
        <v/>
      </c>
      <c r="D1188">
        <f>IF($J1188="","",SUMIFS('Hours Log'!$D:$D,'Hours Log'!$A:$A,"&gt;="&amp;$J1188,'Hours Log'!$A:$A,"&lt;"&amp;$J1188+7))</f>
        <v/>
      </c>
      <c r="E1188">
        <f>IF($J1188="","",IFERROR(C1188/(B1188*40),0))</f>
        <v/>
      </c>
      <c r="F1188">
        <f>IF($J1188="","",0)</f>
        <v/>
      </c>
      <c r="G1188">
        <f>IF($J1188="","",SUMIFS('Hours Log'!$E:$E,'Hours Log'!$A:$A,"&gt;="&amp;$J1188,'Hours Log'!$A:$A,"&lt;"&amp;$J1188+7))</f>
        <v/>
      </c>
      <c r="J1188">
        <f>IF(COUNT('Hours Log'!$A$4:$A$5000)=0,"",IF(MIN('Hours Log'!$A$4:$A$5000)+7*(ROW()-10)&gt;MAX('Hours Log'!$A$4:$A$5000),"",MIN('Hours Log'!$A$4:$A$5000)+7*(ROW()-10)))</f>
        <v/>
      </c>
    </row>
    <row r="1189">
      <c r="A1189">
        <f>IF($J1189="","",YEAR($J1189-WEEKDAY($J1189,2)+4)&amp;"-W"&amp;TEXT(WEEKNUM($J1189,21),"00"))</f>
        <v/>
      </c>
      <c r="B1189" s="41">
        <f>IF($J1189="","",COUNTIFS(Roster!$D$4:$D$500,"Active",Roster!$C$4:$C$500,"&lt;="&amp;$J1189))</f>
        <v/>
      </c>
      <c r="C1189">
        <f>IF($J1189="","",SUMIFS('Hours Log'!$C:$C,'Hours Log'!$A:$A,"&gt;="&amp;$J1189,'Hours Log'!$A:$A,"&lt;"&amp;$J1189+7)+SUMIFS('Hours Log'!$D:$D,'Hours Log'!$A:$A,"&gt;="&amp;$J1189,'Hours Log'!$A:$A,"&lt;"&amp;$J1189+7))</f>
        <v/>
      </c>
      <c r="D1189">
        <f>IF($J1189="","",SUMIFS('Hours Log'!$D:$D,'Hours Log'!$A:$A,"&gt;="&amp;$J1189,'Hours Log'!$A:$A,"&lt;"&amp;$J1189+7))</f>
        <v/>
      </c>
      <c r="E1189">
        <f>IF($J1189="","",IFERROR(C1189/(B1189*40),0))</f>
        <v/>
      </c>
      <c r="F1189">
        <f>IF($J1189="","",0)</f>
        <v/>
      </c>
      <c r="G1189">
        <f>IF($J1189="","",SUMIFS('Hours Log'!$E:$E,'Hours Log'!$A:$A,"&gt;="&amp;$J1189,'Hours Log'!$A:$A,"&lt;"&amp;$J1189+7))</f>
        <v/>
      </c>
      <c r="J1189">
        <f>IF(COUNT('Hours Log'!$A$4:$A$5000)=0,"",IF(MIN('Hours Log'!$A$4:$A$5000)+7*(ROW()-10)&gt;MAX('Hours Log'!$A$4:$A$5000),"",MIN('Hours Log'!$A$4:$A$5000)+7*(ROW()-10)))</f>
        <v/>
      </c>
    </row>
    <row r="1190">
      <c r="A1190">
        <f>IF($J1190="","",YEAR($J1190-WEEKDAY($J1190,2)+4)&amp;"-W"&amp;TEXT(WEEKNUM($J1190,21),"00"))</f>
        <v/>
      </c>
      <c r="B1190" s="41">
        <f>IF($J1190="","",COUNTIFS(Roster!$D$4:$D$500,"Active",Roster!$C$4:$C$500,"&lt;="&amp;$J1190))</f>
        <v/>
      </c>
      <c r="C1190">
        <f>IF($J1190="","",SUMIFS('Hours Log'!$C:$C,'Hours Log'!$A:$A,"&gt;="&amp;$J1190,'Hours Log'!$A:$A,"&lt;"&amp;$J1190+7)+SUMIFS('Hours Log'!$D:$D,'Hours Log'!$A:$A,"&gt;="&amp;$J1190,'Hours Log'!$A:$A,"&lt;"&amp;$J1190+7))</f>
        <v/>
      </c>
      <c r="D1190">
        <f>IF($J1190="","",SUMIFS('Hours Log'!$D:$D,'Hours Log'!$A:$A,"&gt;="&amp;$J1190,'Hours Log'!$A:$A,"&lt;"&amp;$J1190+7))</f>
        <v/>
      </c>
      <c r="E1190">
        <f>IF($J1190="","",IFERROR(C1190/(B1190*40),0))</f>
        <v/>
      </c>
      <c r="F1190">
        <f>IF($J1190="","",0)</f>
        <v/>
      </c>
      <c r="G1190">
        <f>IF($J1190="","",SUMIFS('Hours Log'!$E:$E,'Hours Log'!$A:$A,"&gt;="&amp;$J1190,'Hours Log'!$A:$A,"&lt;"&amp;$J1190+7))</f>
        <v/>
      </c>
      <c r="J1190">
        <f>IF(COUNT('Hours Log'!$A$4:$A$5000)=0,"",IF(MIN('Hours Log'!$A$4:$A$5000)+7*(ROW()-10)&gt;MAX('Hours Log'!$A$4:$A$5000),"",MIN('Hours Log'!$A$4:$A$5000)+7*(ROW()-10)))</f>
        <v/>
      </c>
    </row>
    <row r="1191">
      <c r="A1191">
        <f>IF($J1191="","",YEAR($J1191-WEEKDAY($J1191,2)+4)&amp;"-W"&amp;TEXT(WEEKNUM($J1191,21),"00"))</f>
        <v/>
      </c>
      <c r="B1191" s="41">
        <f>IF($J1191="","",COUNTIFS(Roster!$D$4:$D$500,"Active",Roster!$C$4:$C$500,"&lt;="&amp;$J1191))</f>
        <v/>
      </c>
      <c r="C1191">
        <f>IF($J1191="","",SUMIFS('Hours Log'!$C:$C,'Hours Log'!$A:$A,"&gt;="&amp;$J1191,'Hours Log'!$A:$A,"&lt;"&amp;$J1191+7)+SUMIFS('Hours Log'!$D:$D,'Hours Log'!$A:$A,"&gt;="&amp;$J1191,'Hours Log'!$A:$A,"&lt;"&amp;$J1191+7))</f>
        <v/>
      </c>
      <c r="D1191">
        <f>IF($J1191="","",SUMIFS('Hours Log'!$D:$D,'Hours Log'!$A:$A,"&gt;="&amp;$J1191,'Hours Log'!$A:$A,"&lt;"&amp;$J1191+7))</f>
        <v/>
      </c>
      <c r="E1191">
        <f>IF($J1191="","",IFERROR(C1191/(B1191*40),0))</f>
        <v/>
      </c>
      <c r="F1191">
        <f>IF($J1191="","",0)</f>
        <v/>
      </c>
      <c r="G1191">
        <f>IF($J1191="","",SUMIFS('Hours Log'!$E:$E,'Hours Log'!$A:$A,"&gt;="&amp;$J1191,'Hours Log'!$A:$A,"&lt;"&amp;$J1191+7))</f>
        <v/>
      </c>
      <c r="J1191">
        <f>IF(COUNT('Hours Log'!$A$4:$A$5000)=0,"",IF(MIN('Hours Log'!$A$4:$A$5000)+7*(ROW()-10)&gt;MAX('Hours Log'!$A$4:$A$5000),"",MIN('Hours Log'!$A$4:$A$5000)+7*(ROW()-10)))</f>
        <v/>
      </c>
    </row>
    <row r="1192">
      <c r="A1192">
        <f>IF($J1192="","",YEAR($J1192-WEEKDAY($J1192,2)+4)&amp;"-W"&amp;TEXT(WEEKNUM($J1192,21),"00"))</f>
        <v/>
      </c>
      <c r="B1192" s="41">
        <f>IF($J1192="","",COUNTIFS(Roster!$D$4:$D$500,"Active",Roster!$C$4:$C$500,"&lt;="&amp;$J1192))</f>
        <v/>
      </c>
      <c r="C1192">
        <f>IF($J1192="","",SUMIFS('Hours Log'!$C:$C,'Hours Log'!$A:$A,"&gt;="&amp;$J1192,'Hours Log'!$A:$A,"&lt;"&amp;$J1192+7)+SUMIFS('Hours Log'!$D:$D,'Hours Log'!$A:$A,"&gt;="&amp;$J1192,'Hours Log'!$A:$A,"&lt;"&amp;$J1192+7))</f>
        <v/>
      </c>
      <c r="D1192">
        <f>IF($J1192="","",SUMIFS('Hours Log'!$D:$D,'Hours Log'!$A:$A,"&gt;="&amp;$J1192,'Hours Log'!$A:$A,"&lt;"&amp;$J1192+7))</f>
        <v/>
      </c>
      <c r="E1192">
        <f>IF($J1192="","",IFERROR(C1192/(B1192*40),0))</f>
        <v/>
      </c>
      <c r="F1192">
        <f>IF($J1192="","",0)</f>
        <v/>
      </c>
      <c r="G1192">
        <f>IF($J1192="","",SUMIFS('Hours Log'!$E:$E,'Hours Log'!$A:$A,"&gt;="&amp;$J1192,'Hours Log'!$A:$A,"&lt;"&amp;$J1192+7))</f>
        <v/>
      </c>
      <c r="J1192">
        <f>IF(COUNT('Hours Log'!$A$4:$A$5000)=0,"",IF(MIN('Hours Log'!$A$4:$A$5000)+7*(ROW()-10)&gt;MAX('Hours Log'!$A$4:$A$5000),"",MIN('Hours Log'!$A$4:$A$5000)+7*(ROW()-10)))</f>
        <v/>
      </c>
    </row>
    <row r="1193">
      <c r="A1193">
        <f>IF($J1193="","",YEAR($J1193-WEEKDAY($J1193,2)+4)&amp;"-W"&amp;TEXT(WEEKNUM($J1193,21),"00"))</f>
        <v/>
      </c>
      <c r="B1193" s="41">
        <f>IF($J1193="","",COUNTIFS(Roster!$D$4:$D$500,"Active",Roster!$C$4:$C$500,"&lt;="&amp;$J1193))</f>
        <v/>
      </c>
      <c r="C1193">
        <f>IF($J1193="","",SUMIFS('Hours Log'!$C:$C,'Hours Log'!$A:$A,"&gt;="&amp;$J1193,'Hours Log'!$A:$A,"&lt;"&amp;$J1193+7)+SUMIFS('Hours Log'!$D:$D,'Hours Log'!$A:$A,"&gt;="&amp;$J1193,'Hours Log'!$A:$A,"&lt;"&amp;$J1193+7))</f>
        <v/>
      </c>
      <c r="D1193">
        <f>IF($J1193="","",SUMIFS('Hours Log'!$D:$D,'Hours Log'!$A:$A,"&gt;="&amp;$J1193,'Hours Log'!$A:$A,"&lt;"&amp;$J1193+7))</f>
        <v/>
      </c>
      <c r="E1193">
        <f>IF($J1193="","",IFERROR(C1193/(B1193*40),0))</f>
        <v/>
      </c>
      <c r="F1193">
        <f>IF($J1193="","",0)</f>
        <v/>
      </c>
      <c r="G1193">
        <f>IF($J1193="","",SUMIFS('Hours Log'!$E:$E,'Hours Log'!$A:$A,"&gt;="&amp;$J1193,'Hours Log'!$A:$A,"&lt;"&amp;$J1193+7))</f>
        <v/>
      </c>
      <c r="J1193">
        <f>IF(COUNT('Hours Log'!$A$4:$A$5000)=0,"",IF(MIN('Hours Log'!$A$4:$A$5000)+7*(ROW()-10)&gt;MAX('Hours Log'!$A$4:$A$5000),"",MIN('Hours Log'!$A$4:$A$5000)+7*(ROW()-10)))</f>
        <v/>
      </c>
    </row>
    <row r="1194">
      <c r="A1194">
        <f>IF($J1194="","",YEAR($J1194-WEEKDAY($J1194,2)+4)&amp;"-W"&amp;TEXT(WEEKNUM($J1194,21),"00"))</f>
        <v/>
      </c>
      <c r="B1194" s="41">
        <f>IF($J1194="","",COUNTIFS(Roster!$D$4:$D$500,"Active",Roster!$C$4:$C$500,"&lt;="&amp;$J1194))</f>
        <v/>
      </c>
      <c r="C1194">
        <f>IF($J1194="","",SUMIFS('Hours Log'!$C:$C,'Hours Log'!$A:$A,"&gt;="&amp;$J1194,'Hours Log'!$A:$A,"&lt;"&amp;$J1194+7)+SUMIFS('Hours Log'!$D:$D,'Hours Log'!$A:$A,"&gt;="&amp;$J1194,'Hours Log'!$A:$A,"&lt;"&amp;$J1194+7))</f>
        <v/>
      </c>
      <c r="D1194">
        <f>IF($J1194="","",SUMIFS('Hours Log'!$D:$D,'Hours Log'!$A:$A,"&gt;="&amp;$J1194,'Hours Log'!$A:$A,"&lt;"&amp;$J1194+7))</f>
        <v/>
      </c>
      <c r="E1194">
        <f>IF($J1194="","",IFERROR(C1194/(B1194*40),0))</f>
        <v/>
      </c>
      <c r="F1194">
        <f>IF($J1194="","",0)</f>
        <v/>
      </c>
      <c r="G1194">
        <f>IF($J1194="","",SUMIFS('Hours Log'!$E:$E,'Hours Log'!$A:$A,"&gt;="&amp;$J1194,'Hours Log'!$A:$A,"&lt;"&amp;$J1194+7))</f>
        <v/>
      </c>
      <c r="J1194">
        <f>IF(COUNT('Hours Log'!$A$4:$A$5000)=0,"",IF(MIN('Hours Log'!$A$4:$A$5000)+7*(ROW()-10)&gt;MAX('Hours Log'!$A$4:$A$5000),"",MIN('Hours Log'!$A$4:$A$5000)+7*(ROW()-10)))</f>
        <v/>
      </c>
    </row>
    <row r="1195">
      <c r="A1195">
        <f>IF($J1195="","",YEAR($J1195-WEEKDAY($J1195,2)+4)&amp;"-W"&amp;TEXT(WEEKNUM($J1195,21),"00"))</f>
        <v/>
      </c>
      <c r="B1195" s="41">
        <f>IF($J1195="","",COUNTIFS(Roster!$D$4:$D$500,"Active",Roster!$C$4:$C$500,"&lt;="&amp;$J1195))</f>
        <v/>
      </c>
      <c r="C1195">
        <f>IF($J1195="","",SUMIFS('Hours Log'!$C:$C,'Hours Log'!$A:$A,"&gt;="&amp;$J1195,'Hours Log'!$A:$A,"&lt;"&amp;$J1195+7)+SUMIFS('Hours Log'!$D:$D,'Hours Log'!$A:$A,"&gt;="&amp;$J1195,'Hours Log'!$A:$A,"&lt;"&amp;$J1195+7))</f>
        <v/>
      </c>
      <c r="D1195">
        <f>IF($J1195="","",SUMIFS('Hours Log'!$D:$D,'Hours Log'!$A:$A,"&gt;="&amp;$J1195,'Hours Log'!$A:$A,"&lt;"&amp;$J1195+7))</f>
        <v/>
      </c>
      <c r="E1195">
        <f>IF($J1195="","",IFERROR(C1195/(B1195*40),0))</f>
        <v/>
      </c>
      <c r="F1195">
        <f>IF($J1195="","",0)</f>
        <v/>
      </c>
      <c r="G1195">
        <f>IF($J1195="","",SUMIFS('Hours Log'!$E:$E,'Hours Log'!$A:$A,"&gt;="&amp;$J1195,'Hours Log'!$A:$A,"&lt;"&amp;$J1195+7))</f>
        <v/>
      </c>
      <c r="J1195">
        <f>IF(COUNT('Hours Log'!$A$4:$A$5000)=0,"",IF(MIN('Hours Log'!$A$4:$A$5000)+7*(ROW()-10)&gt;MAX('Hours Log'!$A$4:$A$5000),"",MIN('Hours Log'!$A$4:$A$5000)+7*(ROW()-10)))</f>
        <v/>
      </c>
    </row>
    <row r="1196">
      <c r="A1196">
        <f>IF($J1196="","",YEAR($J1196-WEEKDAY($J1196,2)+4)&amp;"-W"&amp;TEXT(WEEKNUM($J1196,21),"00"))</f>
        <v/>
      </c>
      <c r="B1196" s="41">
        <f>IF($J1196="","",COUNTIFS(Roster!$D$4:$D$500,"Active",Roster!$C$4:$C$500,"&lt;="&amp;$J1196))</f>
        <v/>
      </c>
      <c r="C1196">
        <f>IF($J1196="","",SUMIFS('Hours Log'!$C:$C,'Hours Log'!$A:$A,"&gt;="&amp;$J1196,'Hours Log'!$A:$A,"&lt;"&amp;$J1196+7)+SUMIFS('Hours Log'!$D:$D,'Hours Log'!$A:$A,"&gt;="&amp;$J1196,'Hours Log'!$A:$A,"&lt;"&amp;$J1196+7))</f>
        <v/>
      </c>
      <c r="D1196">
        <f>IF($J1196="","",SUMIFS('Hours Log'!$D:$D,'Hours Log'!$A:$A,"&gt;="&amp;$J1196,'Hours Log'!$A:$A,"&lt;"&amp;$J1196+7))</f>
        <v/>
      </c>
      <c r="E1196">
        <f>IF($J1196="","",IFERROR(C1196/(B1196*40),0))</f>
        <v/>
      </c>
      <c r="F1196">
        <f>IF($J1196="","",0)</f>
        <v/>
      </c>
      <c r="G1196">
        <f>IF($J1196="","",SUMIFS('Hours Log'!$E:$E,'Hours Log'!$A:$A,"&gt;="&amp;$J1196,'Hours Log'!$A:$A,"&lt;"&amp;$J1196+7))</f>
        <v/>
      </c>
      <c r="J1196">
        <f>IF(COUNT('Hours Log'!$A$4:$A$5000)=0,"",IF(MIN('Hours Log'!$A$4:$A$5000)+7*(ROW()-10)&gt;MAX('Hours Log'!$A$4:$A$5000),"",MIN('Hours Log'!$A$4:$A$5000)+7*(ROW()-10)))</f>
        <v/>
      </c>
    </row>
    <row r="1197">
      <c r="A1197">
        <f>IF($J1197="","",YEAR($J1197-WEEKDAY($J1197,2)+4)&amp;"-W"&amp;TEXT(WEEKNUM($J1197,21),"00"))</f>
        <v/>
      </c>
      <c r="B1197" s="41">
        <f>IF($J1197="","",COUNTIFS(Roster!$D$4:$D$500,"Active",Roster!$C$4:$C$500,"&lt;="&amp;$J1197))</f>
        <v/>
      </c>
      <c r="C1197">
        <f>IF($J1197="","",SUMIFS('Hours Log'!$C:$C,'Hours Log'!$A:$A,"&gt;="&amp;$J1197,'Hours Log'!$A:$A,"&lt;"&amp;$J1197+7)+SUMIFS('Hours Log'!$D:$D,'Hours Log'!$A:$A,"&gt;="&amp;$J1197,'Hours Log'!$A:$A,"&lt;"&amp;$J1197+7))</f>
        <v/>
      </c>
      <c r="D1197">
        <f>IF($J1197="","",SUMIFS('Hours Log'!$D:$D,'Hours Log'!$A:$A,"&gt;="&amp;$J1197,'Hours Log'!$A:$A,"&lt;"&amp;$J1197+7))</f>
        <v/>
      </c>
      <c r="E1197">
        <f>IF($J1197="","",IFERROR(C1197/(B1197*40),0))</f>
        <v/>
      </c>
      <c r="F1197">
        <f>IF($J1197="","",0)</f>
        <v/>
      </c>
      <c r="G1197">
        <f>IF($J1197="","",SUMIFS('Hours Log'!$E:$E,'Hours Log'!$A:$A,"&gt;="&amp;$J1197,'Hours Log'!$A:$A,"&lt;"&amp;$J1197+7))</f>
        <v/>
      </c>
      <c r="J1197">
        <f>IF(COUNT('Hours Log'!$A$4:$A$5000)=0,"",IF(MIN('Hours Log'!$A$4:$A$5000)+7*(ROW()-10)&gt;MAX('Hours Log'!$A$4:$A$5000),"",MIN('Hours Log'!$A$4:$A$5000)+7*(ROW()-10)))</f>
        <v/>
      </c>
    </row>
    <row r="1198">
      <c r="A1198">
        <f>IF($J1198="","",YEAR($J1198-WEEKDAY($J1198,2)+4)&amp;"-W"&amp;TEXT(WEEKNUM($J1198,21),"00"))</f>
        <v/>
      </c>
      <c r="B1198" s="41">
        <f>IF($J1198="","",COUNTIFS(Roster!$D$4:$D$500,"Active",Roster!$C$4:$C$500,"&lt;="&amp;$J1198))</f>
        <v/>
      </c>
      <c r="C1198">
        <f>IF($J1198="","",SUMIFS('Hours Log'!$C:$C,'Hours Log'!$A:$A,"&gt;="&amp;$J1198,'Hours Log'!$A:$A,"&lt;"&amp;$J1198+7)+SUMIFS('Hours Log'!$D:$D,'Hours Log'!$A:$A,"&gt;="&amp;$J1198,'Hours Log'!$A:$A,"&lt;"&amp;$J1198+7))</f>
        <v/>
      </c>
      <c r="D1198">
        <f>IF($J1198="","",SUMIFS('Hours Log'!$D:$D,'Hours Log'!$A:$A,"&gt;="&amp;$J1198,'Hours Log'!$A:$A,"&lt;"&amp;$J1198+7))</f>
        <v/>
      </c>
      <c r="E1198">
        <f>IF($J1198="","",IFERROR(C1198/(B1198*40),0))</f>
        <v/>
      </c>
      <c r="F1198">
        <f>IF($J1198="","",0)</f>
        <v/>
      </c>
      <c r="G1198">
        <f>IF($J1198="","",SUMIFS('Hours Log'!$E:$E,'Hours Log'!$A:$A,"&gt;="&amp;$J1198,'Hours Log'!$A:$A,"&lt;"&amp;$J1198+7))</f>
        <v/>
      </c>
      <c r="J1198">
        <f>IF(COUNT('Hours Log'!$A$4:$A$5000)=0,"",IF(MIN('Hours Log'!$A$4:$A$5000)+7*(ROW()-10)&gt;MAX('Hours Log'!$A$4:$A$5000),"",MIN('Hours Log'!$A$4:$A$5000)+7*(ROW()-10)))</f>
        <v/>
      </c>
    </row>
    <row r="1199">
      <c r="A1199">
        <f>IF($J1199="","",YEAR($J1199-WEEKDAY($J1199,2)+4)&amp;"-W"&amp;TEXT(WEEKNUM($J1199,21),"00"))</f>
        <v/>
      </c>
      <c r="B1199" s="41">
        <f>IF($J1199="","",COUNTIFS(Roster!$D$4:$D$500,"Active",Roster!$C$4:$C$500,"&lt;="&amp;$J1199))</f>
        <v/>
      </c>
      <c r="C1199">
        <f>IF($J1199="","",SUMIFS('Hours Log'!$C:$C,'Hours Log'!$A:$A,"&gt;="&amp;$J1199,'Hours Log'!$A:$A,"&lt;"&amp;$J1199+7)+SUMIFS('Hours Log'!$D:$D,'Hours Log'!$A:$A,"&gt;="&amp;$J1199,'Hours Log'!$A:$A,"&lt;"&amp;$J1199+7))</f>
        <v/>
      </c>
      <c r="D1199">
        <f>IF($J1199="","",SUMIFS('Hours Log'!$D:$D,'Hours Log'!$A:$A,"&gt;="&amp;$J1199,'Hours Log'!$A:$A,"&lt;"&amp;$J1199+7))</f>
        <v/>
      </c>
      <c r="E1199">
        <f>IF($J1199="","",IFERROR(C1199/(B1199*40),0))</f>
        <v/>
      </c>
      <c r="F1199">
        <f>IF($J1199="","",0)</f>
        <v/>
      </c>
      <c r="G1199">
        <f>IF($J1199="","",SUMIFS('Hours Log'!$E:$E,'Hours Log'!$A:$A,"&gt;="&amp;$J1199,'Hours Log'!$A:$A,"&lt;"&amp;$J1199+7))</f>
        <v/>
      </c>
      <c r="J1199">
        <f>IF(COUNT('Hours Log'!$A$4:$A$5000)=0,"",IF(MIN('Hours Log'!$A$4:$A$5000)+7*(ROW()-10)&gt;MAX('Hours Log'!$A$4:$A$5000),"",MIN('Hours Log'!$A$4:$A$5000)+7*(ROW()-10)))</f>
        <v/>
      </c>
    </row>
    <row r="1200">
      <c r="A1200">
        <f>IF($J1200="","",YEAR($J1200-WEEKDAY($J1200,2)+4)&amp;"-W"&amp;TEXT(WEEKNUM($J1200,21),"00"))</f>
        <v/>
      </c>
      <c r="B1200" s="41">
        <f>IF($J1200="","",COUNTIFS(Roster!$D$4:$D$500,"Active",Roster!$C$4:$C$500,"&lt;="&amp;$J1200))</f>
        <v/>
      </c>
      <c r="C1200">
        <f>IF($J1200="","",SUMIFS('Hours Log'!$C:$C,'Hours Log'!$A:$A,"&gt;="&amp;$J1200,'Hours Log'!$A:$A,"&lt;"&amp;$J1200+7)+SUMIFS('Hours Log'!$D:$D,'Hours Log'!$A:$A,"&gt;="&amp;$J1200,'Hours Log'!$A:$A,"&lt;"&amp;$J1200+7))</f>
        <v/>
      </c>
      <c r="D1200">
        <f>IF($J1200="","",SUMIFS('Hours Log'!$D:$D,'Hours Log'!$A:$A,"&gt;="&amp;$J1200,'Hours Log'!$A:$A,"&lt;"&amp;$J1200+7))</f>
        <v/>
      </c>
      <c r="E1200">
        <f>IF($J1200="","",IFERROR(C1200/(B1200*40),0))</f>
        <v/>
      </c>
      <c r="F1200">
        <f>IF($J1200="","",0)</f>
        <v/>
      </c>
      <c r="G1200">
        <f>IF($J1200="","",SUMIFS('Hours Log'!$E:$E,'Hours Log'!$A:$A,"&gt;="&amp;$J1200,'Hours Log'!$A:$A,"&lt;"&amp;$J1200+7))</f>
        <v/>
      </c>
      <c r="J1200">
        <f>IF(COUNT('Hours Log'!$A$4:$A$5000)=0,"",IF(MIN('Hours Log'!$A$4:$A$5000)+7*(ROW()-10)&gt;MAX('Hours Log'!$A$4:$A$5000),"",MIN('Hours Log'!$A$4:$A$5000)+7*(ROW()-10)))</f>
        <v/>
      </c>
    </row>
    <row r="1201">
      <c r="A1201">
        <f>IF($J1201="","",YEAR($J1201-WEEKDAY($J1201,2)+4)&amp;"-W"&amp;TEXT(WEEKNUM($J1201,21),"00"))</f>
        <v/>
      </c>
      <c r="B1201" s="41">
        <f>IF($J1201="","",COUNTIFS(Roster!$D$4:$D$500,"Active",Roster!$C$4:$C$500,"&lt;="&amp;$J1201))</f>
        <v/>
      </c>
      <c r="C1201">
        <f>IF($J1201="","",SUMIFS('Hours Log'!$C:$C,'Hours Log'!$A:$A,"&gt;="&amp;$J1201,'Hours Log'!$A:$A,"&lt;"&amp;$J1201+7)+SUMIFS('Hours Log'!$D:$D,'Hours Log'!$A:$A,"&gt;="&amp;$J1201,'Hours Log'!$A:$A,"&lt;"&amp;$J1201+7))</f>
        <v/>
      </c>
      <c r="D1201">
        <f>IF($J1201="","",SUMIFS('Hours Log'!$D:$D,'Hours Log'!$A:$A,"&gt;="&amp;$J1201,'Hours Log'!$A:$A,"&lt;"&amp;$J1201+7))</f>
        <v/>
      </c>
      <c r="E1201">
        <f>IF($J1201="","",IFERROR(C1201/(B1201*40),0))</f>
        <v/>
      </c>
      <c r="F1201">
        <f>IF($J1201="","",0)</f>
        <v/>
      </c>
      <c r="G1201">
        <f>IF($J1201="","",SUMIFS('Hours Log'!$E:$E,'Hours Log'!$A:$A,"&gt;="&amp;$J1201,'Hours Log'!$A:$A,"&lt;"&amp;$J1201+7))</f>
        <v/>
      </c>
      <c r="J1201">
        <f>IF(COUNT('Hours Log'!$A$4:$A$5000)=0,"",IF(MIN('Hours Log'!$A$4:$A$5000)+7*(ROW()-10)&gt;MAX('Hours Log'!$A$4:$A$5000),"",MIN('Hours Log'!$A$4:$A$5000)+7*(ROW()-10)))</f>
        <v/>
      </c>
    </row>
    <row r="1202">
      <c r="A1202">
        <f>IF($J1202="","",YEAR($J1202-WEEKDAY($J1202,2)+4)&amp;"-W"&amp;TEXT(WEEKNUM($J1202,21),"00"))</f>
        <v/>
      </c>
      <c r="B1202" s="41">
        <f>IF($J1202="","",COUNTIFS(Roster!$D$4:$D$500,"Active",Roster!$C$4:$C$500,"&lt;="&amp;$J1202))</f>
        <v/>
      </c>
      <c r="C1202">
        <f>IF($J1202="","",SUMIFS('Hours Log'!$C:$C,'Hours Log'!$A:$A,"&gt;="&amp;$J1202,'Hours Log'!$A:$A,"&lt;"&amp;$J1202+7)+SUMIFS('Hours Log'!$D:$D,'Hours Log'!$A:$A,"&gt;="&amp;$J1202,'Hours Log'!$A:$A,"&lt;"&amp;$J1202+7))</f>
        <v/>
      </c>
      <c r="D1202">
        <f>IF($J1202="","",SUMIFS('Hours Log'!$D:$D,'Hours Log'!$A:$A,"&gt;="&amp;$J1202,'Hours Log'!$A:$A,"&lt;"&amp;$J1202+7))</f>
        <v/>
      </c>
      <c r="E1202">
        <f>IF($J1202="","",IFERROR(C1202/(B1202*40),0))</f>
        <v/>
      </c>
      <c r="F1202">
        <f>IF($J1202="","",0)</f>
        <v/>
      </c>
      <c r="G1202">
        <f>IF($J1202="","",SUMIFS('Hours Log'!$E:$E,'Hours Log'!$A:$A,"&gt;="&amp;$J1202,'Hours Log'!$A:$A,"&lt;"&amp;$J1202+7))</f>
        <v/>
      </c>
      <c r="J1202">
        <f>IF(COUNT('Hours Log'!$A$4:$A$5000)=0,"",IF(MIN('Hours Log'!$A$4:$A$5000)+7*(ROW()-10)&gt;MAX('Hours Log'!$A$4:$A$5000),"",MIN('Hours Log'!$A$4:$A$5000)+7*(ROW()-10)))</f>
        <v/>
      </c>
    </row>
    <row r="1203">
      <c r="A1203">
        <f>IF($J1203="","",YEAR($J1203-WEEKDAY($J1203,2)+4)&amp;"-W"&amp;TEXT(WEEKNUM($J1203,21),"00"))</f>
        <v/>
      </c>
      <c r="B1203" s="41">
        <f>IF($J1203="","",COUNTIFS(Roster!$D$4:$D$500,"Active",Roster!$C$4:$C$500,"&lt;="&amp;$J1203))</f>
        <v/>
      </c>
      <c r="C1203">
        <f>IF($J1203="","",SUMIFS('Hours Log'!$C:$C,'Hours Log'!$A:$A,"&gt;="&amp;$J1203,'Hours Log'!$A:$A,"&lt;"&amp;$J1203+7)+SUMIFS('Hours Log'!$D:$D,'Hours Log'!$A:$A,"&gt;="&amp;$J1203,'Hours Log'!$A:$A,"&lt;"&amp;$J1203+7))</f>
        <v/>
      </c>
      <c r="D1203">
        <f>IF($J1203="","",SUMIFS('Hours Log'!$D:$D,'Hours Log'!$A:$A,"&gt;="&amp;$J1203,'Hours Log'!$A:$A,"&lt;"&amp;$J1203+7))</f>
        <v/>
      </c>
      <c r="E1203">
        <f>IF($J1203="","",IFERROR(C1203/(B1203*40),0))</f>
        <v/>
      </c>
      <c r="F1203">
        <f>IF($J1203="","",0)</f>
        <v/>
      </c>
      <c r="G1203">
        <f>IF($J1203="","",SUMIFS('Hours Log'!$E:$E,'Hours Log'!$A:$A,"&gt;="&amp;$J1203,'Hours Log'!$A:$A,"&lt;"&amp;$J1203+7))</f>
        <v/>
      </c>
      <c r="J1203">
        <f>IF(COUNT('Hours Log'!$A$4:$A$5000)=0,"",IF(MIN('Hours Log'!$A$4:$A$5000)+7*(ROW()-10)&gt;MAX('Hours Log'!$A$4:$A$5000),"",MIN('Hours Log'!$A$4:$A$5000)+7*(ROW()-10)))</f>
        <v/>
      </c>
    </row>
    <row r="1204">
      <c r="A1204">
        <f>IF($J1204="","",YEAR($J1204-WEEKDAY($J1204,2)+4)&amp;"-W"&amp;TEXT(WEEKNUM($J1204,21),"00"))</f>
        <v/>
      </c>
      <c r="B1204" s="41">
        <f>IF($J1204="","",COUNTIFS(Roster!$D$4:$D$500,"Active",Roster!$C$4:$C$500,"&lt;="&amp;$J1204))</f>
        <v/>
      </c>
      <c r="C1204">
        <f>IF($J1204="","",SUMIFS('Hours Log'!$C:$C,'Hours Log'!$A:$A,"&gt;="&amp;$J1204,'Hours Log'!$A:$A,"&lt;"&amp;$J1204+7)+SUMIFS('Hours Log'!$D:$D,'Hours Log'!$A:$A,"&gt;="&amp;$J1204,'Hours Log'!$A:$A,"&lt;"&amp;$J1204+7))</f>
        <v/>
      </c>
      <c r="D1204">
        <f>IF($J1204="","",SUMIFS('Hours Log'!$D:$D,'Hours Log'!$A:$A,"&gt;="&amp;$J1204,'Hours Log'!$A:$A,"&lt;"&amp;$J1204+7))</f>
        <v/>
      </c>
      <c r="E1204">
        <f>IF($J1204="","",IFERROR(C1204/(B1204*40),0))</f>
        <v/>
      </c>
      <c r="F1204">
        <f>IF($J1204="","",0)</f>
        <v/>
      </c>
      <c r="G1204">
        <f>IF($J1204="","",SUMIFS('Hours Log'!$E:$E,'Hours Log'!$A:$A,"&gt;="&amp;$J1204,'Hours Log'!$A:$A,"&lt;"&amp;$J1204+7))</f>
        <v/>
      </c>
      <c r="J1204">
        <f>IF(COUNT('Hours Log'!$A$4:$A$5000)=0,"",IF(MIN('Hours Log'!$A$4:$A$5000)+7*(ROW()-10)&gt;MAX('Hours Log'!$A$4:$A$5000),"",MIN('Hours Log'!$A$4:$A$5000)+7*(ROW()-10)))</f>
        <v/>
      </c>
    </row>
    <row r="1205">
      <c r="A1205">
        <f>IF($J1205="","",YEAR($J1205-WEEKDAY($J1205,2)+4)&amp;"-W"&amp;TEXT(WEEKNUM($J1205,21),"00"))</f>
        <v/>
      </c>
      <c r="B1205" s="41">
        <f>IF($J1205="","",COUNTIFS(Roster!$D$4:$D$500,"Active",Roster!$C$4:$C$500,"&lt;="&amp;$J1205))</f>
        <v/>
      </c>
      <c r="C1205">
        <f>IF($J1205="","",SUMIFS('Hours Log'!$C:$C,'Hours Log'!$A:$A,"&gt;="&amp;$J1205,'Hours Log'!$A:$A,"&lt;"&amp;$J1205+7)+SUMIFS('Hours Log'!$D:$D,'Hours Log'!$A:$A,"&gt;="&amp;$J1205,'Hours Log'!$A:$A,"&lt;"&amp;$J1205+7))</f>
        <v/>
      </c>
      <c r="D1205">
        <f>IF($J1205="","",SUMIFS('Hours Log'!$D:$D,'Hours Log'!$A:$A,"&gt;="&amp;$J1205,'Hours Log'!$A:$A,"&lt;"&amp;$J1205+7))</f>
        <v/>
      </c>
      <c r="E1205">
        <f>IF($J1205="","",IFERROR(C1205/(B1205*40),0))</f>
        <v/>
      </c>
      <c r="F1205">
        <f>IF($J1205="","",0)</f>
        <v/>
      </c>
      <c r="G1205">
        <f>IF($J1205="","",SUMIFS('Hours Log'!$E:$E,'Hours Log'!$A:$A,"&gt;="&amp;$J1205,'Hours Log'!$A:$A,"&lt;"&amp;$J1205+7))</f>
        <v/>
      </c>
      <c r="J1205">
        <f>IF(COUNT('Hours Log'!$A$4:$A$5000)=0,"",IF(MIN('Hours Log'!$A$4:$A$5000)+7*(ROW()-10)&gt;MAX('Hours Log'!$A$4:$A$5000),"",MIN('Hours Log'!$A$4:$A$5000)+7*(ROW()-10)))</f>
        <v/>
      </c>
    </row>
    <row r="1206">
      <c r="A1206">
        <f>IF($J1206="","",YEAR($J1206-WEEKDAY($J1206,2)+4)&amp;"-W"&amp;TEXT(WEEKNUM($J1206,21),"00"))</f>
        <v/>
      </c>
      <c r="B1206" s="41">
        <f>IF($J1206="","",COUNTIFS(Roster!$D$4:$D$500,"Active",Roster!$C$4:$C$500,"&lt;="&amp;$J1206))</f>
        <v/>
      </c>
      <c r="C1206">
        <f>IF($J1206="","",SUMIFS('Hours Log'!$C:$C,'Hours Log'!$A:$A,"&gt;="&amp;$J1206,'Hours Log'!$A:$A,"&lt;"&amp;$J1206+7)+SUMIFS('Hours Log'!$D:$D,'Hours Log'!$A:$A,"&gt;="&amp;$J1206,'Hours Log'!$A:$A,"&lt;"&amp;$J1206+7))</f>
        <v/>
      </c>
      <c r="D1206">
        <f>IF($J1206="","",SUMIFS('Hours Log'!$D:$D,'Hours Log'!$A:$A,"&gt;="&amp;$J1206,'Hours Log'!$A:$A,"&lt;"&amp;$J1206+7))</f>
        <v/>
      </c>
      <c r="E1206">
        <f>IF($J1206="","",IFERROR(C1206/(B1206*40),0))</f>
        <v/>
      </c>
      <c r="F1206">
        <f>IF($J1206="","",0)</f>
        <v/>
      </c>
      <c r="G1206">
        <f>IF($J1206="","",SUMIFS('Hours Log'!$E:$E,'Hours Log'!$A:$A,"&gt;="&amp;$J1206,'Hours Log'!$A:$A,"&lt;"&amp;$J1206+7))</f>
        <v/>
      </c>
      <c r="J1206">
        <f>IF(COUNT('Hours Log'!$A$4:$A$5000)=0,"",IF(MIN('Hours Log'!$A$4:$A$5000)+7*(ROW()-10)&gt;MAX('Hours Log'!$A$4:$A$5000),"",MIN('Hours Log'!$A$4:$A$5000)+7*(ROW()-10)))</f>
        <v/>
      </c>
    </row>
    <row r="1207">
      <c r="A1207">
        <f>IF($J1207="","",YEAR($J1207-WEEKDAY($J1207,2)+4)&amp;"-W"&amp;TEXT(WEEKNUM($J1207,21),"00"))</f>
        <v/>
      </c>
      <c r="B1207" s="41">
        <f>IF($J1207="","",COUNTIFS(Roster!$D$4:$D$500,"Active",Roster!$C$4:$C$500,"&lt;="&amp;$J1207))</f>
        <v/>
      </c>
      <c r="C1207">
        <f>IF($J1207="","",SUMIFS('Hours Log'!$C:$C,'Hours Log'!$A:$A,"&gt;="&amp;$J1207,'Hours Log'!$A:$A,"&lt;"&amp;$J1207+7)+SUMIFS('Hours Log'!$D:$D,'Hours Log'!$A:$A,"&gt;="&amp;$J1207,'Hours Log'!$A:$A,"&lt;"&amp;$J1207+7))</f>
        <v/>
      </c>
      <c r="D1207">
        <f>IF($J1207="","",SUMIFS('Hours Log'!$D:$D,'Hours Log'!$A:$A,"&gt;="&amp;$J1207,'Hours Log'!$A:$A,"&lt;"&amp;$J1207+7))</f>
        <v/>
      </c>
      <c r="E1207">
        <f>IF($J1207="","",IFERROR(C1207/(B1207*40),0))</f>
        <v/>
      </c>
      <c r="F1207">
        <f>IF($J1207="","",0)</f>
        <v/>
      </c>
      <c r="G1207">
        <f>IF($J1207="","",SUMIFS('Hours Log'!$E:$E,'Hours Log'!$A:$A,"&gt;="&amp;$J1207,'Hours Log'!$A:$A,"&lt;"&amp;$J1207+7))</f>
        <v/>
      </c>
      <c r="J1207">
        <f>IF(COUNT('Hours Log'!$A$4:$A$5000)=0,"",IF(MIN('Hours Log'!$A$4:$A$5000)+7*(ROW()-10)&gt;MAX('Hours Log'!$A$4:$A$5000),"",MIN('Hours Log'!$A$4:$A$5000)+7*(ROW()-10)))</f>
        <v/>
      </c>
    </row>
    <row r="1208">
      <c r="A1208">
        <f>IF($J1208="","",YEAR($J1208-WEEKDAY($J1208,2)+4)&amp;"-W"&amp;TEXT(WEEKNUM($J1208,21),"00"))</f>
        <v/>
      </c>
      <c r="B1208" s="41">
        <f>IF($J1208="","",COUNTIFS(Roster!$D$4:$D$500,"Active",Roster!$C$4:$C$500,"&lt;="&amp;$J1208))</f>
        <v/>
      </c>
      <c r="C1208">
        <f>IF($J1208="","",SUMIFS('Hours Log'!$C:$C,'Hours Log'!$A:$A,"&gt;="&amp;$J1208,'Hours Log'!$A:$A,"&lt;"&amp;$J1208+7)+SUMIFS('Hours Log'!$D:$D,'Hours Log'!$A:$A,"&gt;="&amp;$J1208,'Hours Log'!$A:$A,"&lt;"&amp;$J1208+7))</f>
        <v/>
      </c>
      <c r="D1208">
        <f>IF($J1208="","",SUMIFS('Hours Log'!$D:$D,'Hours Log'!$A:$A,"&gt;="&amp;$J1208,'Hours Log'!$A:$A,"&lt;"&amp;$J1208+7))</f>
        <v/>
      </c>
      <c r="E1208">
        <f>IF($J1208="","",IFERROR(C1208/(B1208*40),0))</f>
        <v/>
      </c>
      <c r="F1208">
        <f>IF($J1208="","",0)</f>
        <v/>
      </c>
      <c r="G1208">
        <f>IF($J1208="","",SUMIFS('Hours Log'!$E:$E,'Hours Log'!$A:$A,"&gt;="&amp;$J1208,'Hours Log'!$A:$A,"&lt;"&amp;$J1208+7))</f>
        <v/>
      </c>
      <c r="J1208">
        <f>IF(COUNT('Hours Log'!$A$4:$A$5000)=0,"",IF(MIN('Hours Log'!$A$4:$A$5000)+7*(ROW()-10)&gt;MAX('Hours Log'!$A$4:$A$5000),"",MIN('Hours Log'!$A$4:$A$5000)+7*(ROW()-10)))</f>
        <v/>
      </c>
    </row>
    <row r="1209">
      <c r="A1209">
        <f>IF($J1209="","",YEAR($J1209-WEEKDAY($J1209,2)+4)&amp;"-W"&amp;TEXT(WEEKNUM($J1209,21),"00"))</f>
        <v/>
      </c>
      <c r="B1209" s="41">
        <f>IF($J1209="","",COUNTIFS(Roster!$D$4:$D$500,"Active",Roster!$C$4:$C$500,"&lt;="&amp;$J1209))</f>
        <v/>
      </c>
      <c r="C1209">
        <f>IF($J1209="","",SUMIFS('Hours Log'!$C:$C,'Hours Log'!$A:$A,"&gt;="&amp;$J1209,'Hours Log'!$A:$A,"&lt;"&amp;$J1209+7)+SUMIFS('Hours Log'!$D:$D,'Hours Log'!$A:$A,"&gt;="&amp;$J1209,'Hours Log'!$A:$A,"&lt;"&amp;$J1209+7))</f>
        <v/>
      </c>
      <c r="D1209">
        <f>IF($J1209="","",SUMIFS('Hours Log'!$D:$D,'Hours Log'!$A:$A,"&gt;="&amp;$J1209,'Hours Log'!$A:$A,"&lt;"&amp;$J1209+7))</f>
        <v/>
      </c>
      <c r="E1209">
        <f>IF($J1209="","",IFERROR(C1209/(B1209*40),0))</f>
        <v/>
      </c>
      <c r="F1209">
        <f>IF($J1209="","",0)</f>
        <v/>
      </c>
      <c r="G1209">
        <f>IF($J1209="","",SUMIFS('Hours Log'!$E:$E,'Hours Log'!$A:$A,"&gt;="&amp;$J1209,'Hours Log'!$A:$A,"&lt;"&amp;$J1209+7))</f>
        <v/>
      </c>
      <c r="J1209">
        <f>IF(COUNT('Hours Log'!$A$4:$A$5000)=0,"",IF(MIN('Hours Log'!$A$4:$A$5000)+7*(ROW()-10)&gt;MAX('Hours Log'!$A$4:$A$5000),"",MIN('Hours Log'!$A$4:$A$5000)+7*(ROW()-10)))</f>
        <v/>
      </c>
    </row>
    <row r="1210">
      <c r="A1210">
        <f>IF($J1210="","",YEAR($J1210-WEEKDAY($J1210,2)+4)&amp;"-W"&amp;TEXT(WEEKNUM($J1210,21),"00"))</f>
        <v/>
      </c>
      <c r="B1210" s="41">
        <f>IF($J1210="","",COUNTIFS(Roster!$D$4:$D$500,"Active",Roster!$C$4:$C$500,"&lt;="&amp;$J1210))</f>
        <v/>
      </c>
      <c r="C1210">
        <f>IF($J1210="","",SUMIFS('Hours Log'!$C:$C,'Hours Log'!$A:$A,"&gt;="&amp;$J1210,'Hours Log'!$A:$A,"&lt;"&amp;$J1210+7)+SUMIFS('Hours Log'!$D:$D,'Hours Log'!$A:$A,"&gt;="&amp;$J1210,'Hours Log'!$A:$A,"&lt;"&amp;$J1210+7))</f>
        <v/>
      </c>
      <c r="D1210">
        <f>IF($J1210="","",SUMIFS('Hours Log'!$D:$D,'Hours Log'!$A:$A,"&gt;="&amp;$J1210,'Hours Log'!$A:$A,"&lt;"&amp;$J1210+7))</f>
        <v/>
      </c>
      <c r="E1210">
        <f>IF($J1210="","",IFERROR(C1210/(B1210*40),0))</f>
        <v/>
      </c>
      <c r="F1210">
        <f>IF($J1210="","",0)</f>
        <v/>
      </c>
      <c r="G1210">
        <f>IF($J1210="","",SUMIFS('Hours Log'!$E:$E,'Hours Log'!$A:$A,"&gt;="&amp;$J1210,'Hours Log'!$A:$A,"&lt;"&amp;$J1210+7))</f>
        <v/>
      </c>
      <c r="J1210">
        <f>IF(COUNT('Hours Log'!$A$4:$A$5000)=0,"",IF(MIN('Hours Log'!$A$4:$A$5000)+7*(ROW()-10)&gt;MAX('Hours Log'!$A$4:$A$5000),"",MIN('Hours Log'!$A$4:$A$5000)+7*(ROW()-10)))</f>
        <v/>
      </c>
    </row>
    <row r="1211">
      <c r="A1211">
        <f>IF($J1211="","",YEAR($J1211-WEEKDAY($J1211,2)+4)&amp;"-W"&amp;TEXT(WEEKNUM($J1211,21),"00"))</f>
        <v/>
      </c>
      <c r="B1211" s="41">
        <f>IF($J1211="","",COUNTIFS(Roster!$D$4:$D$500,"Active",Roster!$C$4:$C$500,"&lt;="&amp;$J1211))</f>
        <v/>
      </c>
      <c r="C1211">
        <f>IF($J1211="","",SUMIFS('Hours Log'!$C:$C,'Hours Log'!$A:$A,"&gt;="&amp;$J1211,'Hours Log'!$A:$A,"&lt;"&amp;$J1211+7)+SUMIFS('Hours Log'!$D:$D,'Hours Log'!$A:$A,"&gt;="&amp;$J1211,'Hours Log'!$A:$A,"&lt;"&amp;$J1211+7))</f>
        <v/>
      </c>
      <c r="D1211">
        <f>IF($J1211="","",SUMIFS('Hours Log'!$D:$D,'Hours Log'!$A:$A,"&gt;="&amp;$J1211,'Hours Log'!$A:$A,"&lt;"&amp;$J1211+7))</f>
        <v/>
      </c>
      <c r="E1211">
        <f>IF($J1211="","",IFERROR(C1211/(B1211*40),0))</f>
        <v/>
      </c>
      <c r="F1211">
        <f>IF($J1211="","",0)</f>
        <v/>
      </c>
      <c r="G1211">
        <f>IF($J1211="","",SUMIFS('Hours Log'!$E:$E,'Hours Log'!$A:$A,"&gt;="&amp;$J1211,'Hours Log'!$A:$A,"&lt;"&amp;$J1211+7))</f>
        <v/>
      </c>
      <c r="J1211">
        <f>IF(COUNT('Hours Log'!$A$4:$A$5000)=0,"",IF(MIN('Hours Log'!$A$4:$A$5000)+7*(ROW()-10)&gt;MAX('Hours Log'!$A$4:$A$5000),"",MIN('Hours Log'!$A$4:$A$5000)+7*(ROW()-10)))</f>
        <v/>
      </c>
    </row>
    <row r="1212">
      <c r="A1212">
        <f>IF($J1212="","",YEAR($J1212-WEEKDAY($J1212,2)+4)&amp;"-W"&amp;TEXT(WEEKNUM($J1212,21),"00"))</f>
        <v/>
      </c>
      <c r="B1212" s="41">
        <f>IF($J1212="","",COUNTIFS(Roster!$D$4:$D$500,"Active",Roster!$C$4:$C$500,"&lt;="&amp;$J1212))</f>
        <v/>
      </c>
      <c r="C1212">
        <f>IF($J1212="","",SUMIFS('Hours Log'!$C:$C,'Hours Log'!$A:$A,"&gt;="&amp;$J1212,'Hours Log'!$A:$A,"&lt;"&amp;$J1212+7)+SUMIFS('Hours Log'!$D:$D,'Hours Log'!$A:$A,"&gt;="&amp;$J1212,'Hours Log'!$A:$A,"&lt;"&amp;$J1212+7))</f>
        <v/>
      </c>
      <c r="D1212">
        <f>IF($J1212="","",SUMIFS('Hours Log'!$D:$D,'Hours Log'!$A:$A,"&gt;="&amp;$J1212,'Hours Log'!$A:$A,"&lt;"&amp;$J1212+7))</f>
        <v/>
      </c>
      <c r="E1212">
        <f>IF($J1212="","",IFERROR(C1212/(B1212*40),0))</f>
        <v/>
      </c>
      <c r="F1212">
        <f>IF($J1212="","",0)</f>
        <v/>
      </c>
      <c r="G1212">
        <f>IF($J1212="","",SUMIFS('Hours Log'!$E:$E,'Hours Log'!$A:$A,"&gt;="&amp;$J1212,'Hours Log'!$A:$A,"&lt;"&amp;$J1212+7))</f>
        <v/>
      </c>
      <c r="J1212">
        <f>IF(COUNT('Hours Log'!$A$4:$A$5000)=0,"",IF(MIN('Hours Log'!$A$4:$A$5000)+7*(ROW()-10)&gt;MAX('Hours Log'!$A$4:$A$5000),"",MIN('Hours Log'!$A$4:$A$5000)+7*(ROW()-10)))</f>
        <v/>
      </c>
    </row>
    <row r="1213">
      <c r="A1213">
        <f>IF($J1213="","",YEAR($J1213-WEEKDAY($J1213,2)+4)&amp;"-W"&amp;TEXT(WEEKNUM($J1213,21),"00"))</f>
        <v/>
      </c>
      <c r="B1213" s="41">
        <f>IF($J1213="","",COUNTIFS(Roster!$D$4:$D$500,"Active",Roster!$C$4:$C$500,"&lt;="&amp;$J1213))</f>
        <v/>
      </c>
      <c r="C1213">
        <f>IF($J1213="","",SUMIFS('Hours Log'!$C:$C,'Hours Log'!$A:$A,"&gt;="&amp;$J1213,'Hours Log'!$A:$A,"&lt;"&amp;$J1213+7)+SUMIFS('Hours Log'!$D:$D,'Hours Log'!$A:$A,"&gt;="&amp;$J1213,'Hours Log'!$A:$A,"&lt;"&amp;$J1213+7))</f>
        <v/>
      </c>
      <c r="D1213">
        <f>IF($J1213="","",SUMIFS('Hours Log'!$D:$D,'Hours Log'!$A:$A,"&gt;="&amp;$J1213,'Hours Log'!$A:$A,"&lt;"&amp;$J1213+7))</f>
        <v/>
      </c>
      <c r="E1213">
        <f>IF($J1213="","",IFERROR(C1213/(B1213*40),0))</f>
        <v/>
      </c>
      <c r="F1213">
        <f>IF($J1213="","",0)</f>
        <v/>
      </c>
      <c r="G1213">
        <f>IF($J1213="","",SUMIFS('Hours Log'!$E:$E,'Hours Log'!$A:$A,"&gt;="&amp;$J1213,'Hours Log'!$A:$A,"&lt;"&amp;$J1213+7))</f>
        <v/>
      </c>
      <c r="J1213">
        <f>IF(COUNT('Hours Log'!$A$4:$A$5000)=0,"",IF(MIN('Hours Log'!$A$4:$A$5000)+7*(ROW()-10)&gt;MAX('Hours Log'!$A$4:$A$5000),"",MIN('Hours Log'!$A$4:$A$5000)+7*(ROW()-10)))</f>
        <v/>
      </c>
    </row>
    <row r="1214">
      <c r="A1214">
        <f>IF($J1214="","",YEAR($J1214-WEEKDAY($J1214,2)+4)&amp;"-W"&amp;TEXT(WEEKNUM($J1214,21),"00"))</f>
        <v/>
      </c>
      <c r="B1214" s="41">
        <f>IF($J1214="","",COUNTIFS(Roster!$D$4:$D$500,"Active",Roster!$C$4:$C$500,"&lt;="&amp;$J1214))</f>
        <v/>
      </c>
      <c r="C1214">
        <f>IF($J1214="","",SUMIFS('Hours Log'!$C:$C,'Hours Log'!$A:$A,"&gt;="&amp;$J1214,'Hours Log'!$A:$A,"&lt;"&amp;$J1214+7)+SUMIFS('Hours Log'!$D:$D,'Hours Log'!$A:$A,"&gt;="&amp;$J1214,'Hours Log'!$A:$A,"&lt;"&amp;$J1214+7))</f>
        <v/>
      </c>
      <c r="D1214">
        <f>IF($J1214="","",SUMIFS('Hours Log'!$D:$D,'Hours Log'!$A:$A,"&gt;="&amp;$J1214,'Hours Log'!$A:$A,"&lt;"&amp;$J1214+7))</f>
        <v/>
      </c>
      <c r="E1214">
        <f>IF($J1214="","",IFERROR(C1214/(B1214*40),0))</f>
        <v/>
      </c>
      <c r="F1214">
        <f>IF($J1214="","",0)</f>
        <v/>
      </c>
      <c r="G1214">
        <f>IF($J1214="","",SUMIFS('Hours Log'!$E:$E,'Hours Log'!$A:$A,"&gt;="&amp;$J1214,'Hours Log'!$A:$A,"&lt;"&amp;$J1214+7))</f>
        <v/>
      </c>
      <c r="J1214">
        <f>IF(COUNT('Hours Log'!$A$4:$A$5000)=0,"",IF(MIN('Hours Log'!$A$4:$A$5000)+7*(ROW()-10)&gt;MAX('Hours Log'!$A$4:$A$5000),"",MIN('Hours Log'!$A$4:$A$5000)+7*(ROW()-10)))</f>
        <v/>
      </c>
    </row>
    <row r="1215">
      <c r="A1215">
        <f>IF($J1215="","",YEAR($J1215-WEEKDAY($J1215,2)+4)&amp;"-W"&amp;TEXT(WEEKNUM($J1215,21),"00"))</f>
        <v/>
      </c>
      <c r="B1215" s="41">
        <f>IF($J1215="","",COUNTIFS(Roster!$D$4:$D$500,"Active",Roster!$C$4:$C$500,"&lt;="&amp;$J1215))</f>
        <v/>
      </c>
      <c r="C1215">
        <f>IF($J1215="","",SUMIFS('Hours Log'!$C:$C,'Hours Log'!$A:$A,"&gt;="&amp;$J1215,'Hours Log'!$A:$A,"&lt;"&amp;$J1215+7)+SUMIFS('Hours Log'!$D:$D,'Hours Log'!$A:$A,"&gt;="&amp;$J1215,'Hours Log'!$A:$A,"&lt;"&amp;$J1215+7))</f>
        <v/>
      </c>
      <c r="D1215">
        <f>IF($J1215="","",SUMIFS('Hours Log'!$D:$D,'Hours Log'!$A:$A,"&gt;="&amp;$J1215,'Hours Log'!$A:$A,"&lt;"&amp;$J1215+7))</f>
        <v/>
      </c>
      <c r="E1215">
        <f>IF($J1215="","",IFERROR(C1215/(B1215*40),0))</f>
        <v/>
      </c>
      <c r="F1215">
        <f>IF($J1215="","",0)</f>
        <v/>
      </c>
      <c r="G1215">
        <f>IF($J1215="","",SUMIFS('Hours Log'!$E:$E,'Hours Log'!$A:$A,"&gt;="&amp;$J1215,'Hours Log'!$A:$A,"&lt;"&amp;$J1215+7))</f>
        <v/>
      </c>
      <c r="J1215">
        <f>IF(COUNT('Hours Log'!$A$4:$A$5000)=0,"",IF(MIN('Hours Log'!$A$4:$A$5000)+7*(ROW()-10)&gt;MAX('Hours Log'!$A$4:$A$5000),"",MIN('Hours Log'!$A$4:$A$5000)+7*(ROW()-10)))</f>
        <v/>
      </c>
    </row>
    <row r="1216">
      <c r="A1216">
        <f>IF($J1216="","",YEAR($J1216-WEEKDAY($J1216,2)+4)&amp;"-W"&amp;TEXT(WEEKNUM($J1216,21),"00"))</f>
        <v/>
      </c>
      <c r="B1216" s="41">
        <f>IF($J1216="","",COUNTIFS(Roster!$D$4:$D$500,"Active",Roster!$C$4:$C$500,"&lt;="&amp;$J1216))</f>
        <v/>
      </c>
      <c r="C1216">
        <f>IF($J1216="","",SUMIFS('Hours Log'!$C:$C,'Hours Log'!$A:$A,"&gt;="&amp;$J1216,'Hours Log'!$A:$A,"&lt;"&amp;$J1216+7)+SUMIFS('Hours Log'!$D:$D,'Hours Log'!$A:$A,"&gt;="&amp;$J1216,'Hours Log'!$A:$A,"&lt;"&amp;$J1216+7))</f>
        <v/>
      </c>
      <c r="D1216">
        <f>IF($J1216="","",SUMIFS('Hours Log'!$D:$D,'Hours Log'!$A:$A,"&gt;="&amp;$J1216,'Hours Log'!$A:$A,"&lt;"&amp;$J1216+7))</f>
        <v/>
      </c>
      <c r="E1216">
        <f>IF($J1216="","",IFERROR(C1216/(B1216*40),0))</f>
        <v/>
      </c>
      <c r="F1216">
        <f>IF($J1216="","",0)</f>
        <v/>
      </c>
      <c r="G1216">
        <f>IF($J1216="","",SUMIFS('Hours Log'!$E:$E,'Hours Log'!$A:$A,"&gt;="&amp;$J1216,'Hours Log'!$A:$A,"&lt;"&amp;$J1216+7))</f>
        <v/>
      </c>
      <c r="J1216">
        <f>IF(COUNT('Hours Log'!$A$4:$A$5000)=0,"",IF(MIN('Hours Log'!$A$4:$A$5000)+7*(ROW()-10)&gt;MAX('Hours Log'!$A$4:$A$5000),"",MIN('Hours Log'!$A$4:$A$5000)+7*(ROW()-10)))</f>
        <v/>
      </c>
    </row>
    <row r="1217">
      <c r="A1217">
        <f>IF($J1217="","",YEAR($J1217-WEEKDAY($J1217,2)+4)&amp;"-W"&amp;TEXT(WEEKNUM($J1217,21),"00"))</f>
        <v/>
      </c>
      <c r="B1217" s="41">
        <f>IF($J1217="","",COUNTIFS(Roster!$D$4:$D$500,"Active",Roster!$C$4:$C$500,"&lt;="&amp;$J1217))</f>
        <v/>
      </c>
      <c r="C1217">
        <f>IF($J1217="","",SUMIFS('Hours Log'!$C:$C,'Hours Log'!$A:$A,"&gt;="&amp;$J1217,'Hours Log'!$A:$A,"&lt;"&amp;$J1217+7)+SUMIFS('Hours Log'!$D:$D,'Hours Log'!$A:$A,"&gt;="&amp;$J1217,'Hours Log'!$A:$A,"&lt;"&amp;$J1217+7))</f>
        <v/>
      </c>
      <c r="D1217">
        <f>IF($J1217="","",SUMIFS('Hours Log'!$D:$D,'Hours Log'!$A:$A,"&gt;="&amp;$J1217,'Hours Log'!$A:$A,"&lt;"&amp;$J1217+7))</f>
        <v/>
      </c>
      <c r="E1217">
        <f>IF($J1217="","",IFERROR(C1217/(B1217*40),0))</f>
        <v/>
      </c>
      <c r="F1217">
        <f>IF($J1217="","",0)</f>
        <v/>
      </c>
      <c r="G1217">
        <f>IF($J1217="","",SUMIFS('Hours Log'!$E:$E,'Hours Log'!$A:$A,"&gt;="&amp;$J1217,'Hours Log'!$A:$A,"&lt;"&amp;$J1217+7))</f>
        <v/>
      </c>
      <c r="J1217">
        <f>IF(COUNT('Hours Log'!$A$4:$A$5000)=0,"",IF(MIN('Hours Log'!$A$4:$A$5000)+7*(ROW()-10)&gt;MAX('Hours Log'!$A$4:$A$5000),"",MIN('Hours Log'!$A$4:$A$5000)+7*(ROW()-10)))</f>
        <v/>
      </c>
    </row>
    <row r="1218">
      <c r="A1218">
        <f>IF($J1218="","",YEAR($J1218-WEEKDAY($J1218,2)+4)&amp;"-W"&amp;TEXT(WEEKNUM($J1218,21),"00"))</f>
        <v/>
      </c>
      <c r="B1218" s="41">
        <f>IF($J1218="","",COUNTIFS(Roster!$D$4:$D$500,"Active",Roster!$C$4:$C$500,"&lt;="&amp;$J1218))</f>
        <v/>
      </c>
      <c r="C1218">
        <f>IF($J1218="","",SUMIFS('Hours Log'!$C:$C,'Hours Log'!$A:$A,"&gt;="&amp;$J1218,'Hours Log'!$A:$A,"&lt;"&amp;$J1218+7)+SUMIFS('Hours Log'!$D:$D,'Hours Log'!$A:$A,"&gt;="&amp;$J1218,'Hours Log'!$A:$A,"&lt;"&amp;$J1218+7))</f>
        <v/>
      </c>
      <c r="D1218">
        <f>IF($J1218="","",SUMIFS('Hours Log'!$D:$D,'Hours Log'!$A:$A,"&gt;="&amp;$J1218,'Hours Log'!$A:$A,"&lt;"&amp;$J1218+7))</f>
        <v/>
      </c>
      <c r="E1218">
        <f>IF($J1218="","",IFERROR(C1218/(B1218*40),0))</f>
        <v/>
      </c>
      <c r="F1218">
        <f>IF($J1218="","",0)</f>
        <v/>
      </c>
      <c r="G1218">
        <f>IF($J1218="","",SUMIFS('Hours Log'!$E:$E,'Hours Log'!$A:$A,"&gt;="&amp;$J1218,'Hours Log'!$A:$A,"&lt;"&amp;$J1218+7))</f>
        <v/>
      </c>
      <c r="J1218">
        <f>IF(COUNT('Hours Log'!$A$4:$A$5000)=0,"",IF(MIN('Hours Log'!$A$4:$A$5000)+7*(ROW()-10)&gt;MAX('Hours Log'!$A$4:$A$5000),"",MIN('Hours Log'!$A$4:$A$5000)+7*(ROW()-10)))</f>
        <v/>
      </c>
    </row>
    <row r="1219">
      <c r="A1219">
        <f>IF($J1219="","",YEAR($J1219-WEEKDAY($J1219,2)+4)&amp;"-W"&amp;TEXT(WEEKNUM($J1219,21),"00"))</f>
        <v/>
      </c>
      <c r="B1219" s="41">
        <f>IF($J1219="","",COUNTIFS(Roster!$D$4:$D$500,"Active",Roster!$C$4:$C$500,"&lt;="&amp;$J1219))</f>
        <v/>
      </c>
      <c r="C1219">
        <f>IF($J1219="","",SUMIFS('Hours Log'!$C:$C,'Hours Log'!$A:$A,"&gt;="&amp;$J1219,'Hours Log'!$A:$A,"&lt;"&amp;$J1219+7)+SUMIFS('Hours Log'!$D:$D,'Hours Log'!$A:$A,"&gt;="&amp;$J1219,'Hours Log'!$A:$A,"&lt;"&amp;$J1219+7))</f>
        <v/>
      </c>
      <c r="D1219">
        <f>IF($J1219="","",SUMIFS('Hours Log'!$D:$D,'Hours Log'!$A:$A,"&gt;="&amp;$J1219,'Hours Log'!$A:$A,"&lt;"&amp;$J1219+7))</f>
        <v/>
      </c>
      <c r="E1219">
        <f>IF($J1219="","",IFERROR(C1219/(B1219*40),0))</f>
        <v/>
      </c>
      <c r="F1219">
        <f>IF($J1219="","",0)</f>
        <v/>
      </c>
      <c r="G1219">
        <f>IF($J1219="","",SUMIFS('Hours Log'!$E:$E,'Hours Log'!$A:$A,"&gt;="&amp;$J1219,'Hours Log'!$A:$A,"&lt;"&amp;$J1219+7))</f>
        <v/>
      </c>
      <c r="J1219">
        <f>IF(COUNT('Hours Log'!$A$4:$A$5000)=0,"",IF(MIN('Hours Log'!$A$4:$A$5000)+7*(ROW()-10)&gt;MAX('Hours Log'!$A$4:$A$5000),"",MIN('Hours Log'!$A$4:$A$5000)+7*(ROW()-10)))</f>
        <v/>
      </c>
    </row>
    <row r="1220">
      <c r="A1220">
        <f>IF($J1220="","",YEAR($J1220-WEEKDAY($J1220,2)+4)&amp;"-W"&amp;TEXT(WEEKNUM($J1220,21),"00"))</f>
        <v/>
      </c>
      <c r="B1220" s="41">
        <f>IF($J1220="","",COUNTIFS(Roster!$D$4:$D$500,"Active",Roster!$C$4:$C$500,"&lt;="&amp;$J1220))</f>
        <v/>
      </c>
      <c r="C1220">
        <f>IF($J1220="","",SUMIFS('Hours Log'!$C:$C,'Hours Log'!$A:$A,"&gt;="&amp;$J1220,'Hours Log'!$A:$A,"&lt;"&amp;$J1220+7)+SUMIFS('Hours Log'!$D:$D,'Hours Log'!$A:$A,"&gt;="&amp;$J1220,'Hours Log'!$A:$A,"&lt;"&amp;$J1220+7))</f>
        <v/>
      </c>
      <c r="D1220">
        <f>IF($J1220="","",SUMIFS('Hours Log'!$D:$D,'Hours Log'!$A:$A,"&gt;="&amp;$J1220,'Hours Log'!$A:$A,"&lt;"&amp;$J1220+7))</f>
        <v/>
      </c>
      <c r="E1220">
        <f>IF($J1220="","",IFERROR(C1220/(B1220*40),0))</f>
        <v/>
      </c>
      <c r="F1220">
        <f>IF($J1220="","",0)</f>
        <v/>
      </c>
      <c r="G1220">
        <f>IF($J1220="","",SUMIFS('Hours Log'!$E:$E,'Hours Log'!$A:$A,"&gt;="&amp;$J1220,'Hours Log'!$A:$A,"&lt;"&amp;$J1220+7))</f>
        <v/>
      </c>
      <c r="J1220">
        <f>IF(COUNT('Hours Log'!$A$4:$A$5000)=0,"",IF(MIN('Hours Log'!$A$4:$A$5000)+7*(ROW()-10)&gt;MAX('Hours Log'!$A$4:$A$5000),"",MIN('Hours Log'!$A$4:$A$5000)+7*(ROW()-10)))</f>
        <v/>
      </c>
    </row>
    <row r="1221">
      <c r="A1221">
        <f>IF($J1221="","",YEAR($J1221-WEEKDAY($J1221,2)+4)&amp;"-W"&amp;TEXT(WEEKNUM($J1221,21),"00"))</f>
        <v/>
      </c>
      <c r="B1221" s="41">
        <f>IF($J1221="","",COUNTIFS(Roster!$D$4:$D$500,"Active",Roster!$C$4:$C$500,"&lt;="&amp;$J1221))</f>
        <v/>
      </c>
      <c r="C1221">
        <f>IF($J1221="","",SUMIFS('Hours Log'!$C:$C,'Hours Log'!$A:$A,"&gt;="&amp;$J1221,'Hours Log'!$A:$A,"&lt;"&amp;$J1221+7)+SUMIFS('Hours Log'!$D:$D,'Hours Log'!$A:$A,"&gt;="&amp;$J1221,'Hours Log'!$A:$A,"&lt;"&amp;$J1221+7))</f>
        <v/>
      </c>
      <c r="D1221">
        <f>IF($J1221="","",SUMIFS('Hours Log'!$D:$D,'Hours Log'!$A:$A,"&gt;="&amp;$J1221,'Hours Log'!$A:$A,"&lt;"&amp;$J1221+7))</f>
        <v/>
      </c>
      <c r="E1221">
        <f>IF($J1221="","",IFERROR(C1221/(B1221*40),0))</f>
        <v/>
      </c>
      <c r="F1221">
        <f>IF($J1221="","",0)</f>
        <v/>
      </c>
      <c r="G1221">
        <f>IF($J1221="","",SUMIFS('Hours Log'!$E:$E,'Hours Log'!$A:$A,"&gt;="&amp;$J1221,'Hours Log'!$A:$A,"&lt;"&amp;$J1221+7))</f>
        <v/>
      </c>
      <c r="J1221">
        <f>IF(COUNT('Hours Log'!$A$4:$A$5000)=0,"",IF(MIN('Hours Log'!$A$4:$A$5000)+7*(ROW()-10)&gt;MAX('Hours Log'!$A$4:$A$5000),"",MIN('Hours Log'!$A$4:$A$5000)+7*(ROW()-10)))</f>
        <v/>
      </c>
    </row>
    <row r="1222">
      <c r="A1222">
        <f>IF($J1222="","",YEAR($J1222-WEEKDAY($J1222,2)+4)&amp;"-W"&amp;TEXT(WEEKNUM($J1222,21),"00"))</f>
        <v/>
      </c>
      <c r="B1222" s="41">
        <f>IF($J1222="","",COUNTIFS(Roster!$D$4:$D$500,"Active",Roster!$C$4:$C$500,"&lt;="&amp;$J1222))</f>
        <v/>
      </c>
      <c r="C1222">
        <f>IF($J1222="","",SUMIFS('Hours Log'!$C:$C,'Hours Log'!$A:$A,"&gt;="&amp;$J1222,'Hours Log'!$A:$A,"&lt;"&amp;$J1222+7)+SUMIFS('Hours Log'!$D:$D,'Hours Log'!$A:$A,"&gt;="&amp;$J1222,'Hours Log'!$A:$A,"&lt;"&amp;$J1222+7))</f>
        <v/>
      </c>
      <c r="D1222">
        <f>IF($J1222="","",SUMIFS('Hours Log'!$D:$D,'Hours Log'!$A:$A,"&gt;="&amp;$J1222,'Hours Log'!$A:$A,"&lt;"&amp;$J1222+7))</f>
        <v/>
      </c>
      <c r="E1222">
        <f>IF($J1222="","",IFERROR(C1222/(B1222*40),0))</f>
        <v/>
      </c>
      <c r="F1222">
        <f>IF($J1222="","",0)</f>
        <v/>
      </c>
      <c r="G1222">
        <f>IF($J1222="","",SUMIFS('Hours Log'!$E:$E,'Hours Log'!$A:$A,"&gt;="&amp;$J1222,'Hours Log'!$A:$A,"&lt;"&amp;$J1222+7))</f>
        <v/>
      </c>
      <c r="J1222">
        <f>IF(COUNT('Hours Log'!$A$4:$A$5000)=0,"",IF(MIN('Hours Log'!$A$4:$A$5000)+7*(ROW()-10)&gt;MAX('Hours Log'!$A$4:$A$5000),"",MIN('Hours Log'!$A$4:$A$5000)+7*(ROW()-10)))</f>
        <v/>
      </c>
    </row>
    <row r="1223">
      <c r="A1223">
        <f>IF($J1223="","",YEAR($J1223-WEEKDAY($J1223,2)+4)&amp;"-W"&amp;TEXT(WEEKNUM($J1223,21),"00"))</f>
        <v/>
      </c>
      <c r="B1223" s="41">
        <f>IF($J1223="","",COUNTIFS(Roster!$D$4:$D$500,"Active",Roster!$C$4:$C$500,"&lt;="&amp;$J1223))</f>
        <v/>
      </c>
      <c r="C1223">
        <f>IF($J1223="","",SUMIFS('Hours Log'!$C:$C,'Hours Log'!$A:$A,"&gt;="&amp;$J1223,'Hours Log'!$A:$A,"&lt;"&amp;$J1223+7)+SUMIFS('Hours Log'!$D:$D,'Hours Log'!$A:$A,"&gt;="&amp;$J1223,'Hours Log'!$A:$A,"&lt;"&amp;$J1223+7))</f>
        <v/>
      </c>
      <c r="D1223">
        <f>IF($J1223="","",SUMIFS('Hours Log'!$D:$D,'Hours Log'!$A:$A,"&gt;="&amp;$J1223,'Hours Log'!$A:$A,"&lt;"&amp;$J1223+7))</f>
        <v/>
      </c>
      <c r="E1223">
        <f>IF($J1223="","",IFERROR(C1223/(B1223*40),0))</f>
        <v/>
      </c>
      <c r="F1223">
        <f>IF($J1223="","",0)</f>
        <v/>
      </c>
      <c r="G1223">
        <f>IF($J1223="","",SUMIFS('Hours Log'!$E:$E,'Hours Log'!$A:$A,"&gt;="&amp;$J1223,'Hours Log'!$A:$A,"&lt;"&amp;$J1223+7))</f>
        <v/>
      </c>
      <c r="J1223">
        <f>IF(COUNT('Hours Log'!$A$4:$A$5000)=0,"",IF(MIN('Hours Log'!$A$4:$A$5000)+7*(ROW()-10)&gt;MAX('Hours Log'!$A$4:$A$5000),"",MIN('Hours Log'!$A$4:$A$5000)+7*(ROW()-10)))</f>
        <v/>
      </c>
    </row>
    <row r="1224">
      <c r="A1224">
        <f>IF($J1224="","",YEAR($J1224-WEEKDAY($J1224,2)+4)&amp;"-W"&amp;TEXT(WEEKNUM($J1224,21),"00"))</f>
        <v/>
      </c>
      <c r="B1224" s="41">
        <f>IF($J1224="","",COUNTIFS(Roster!$D$4:$D$500,"Active",Roster!$C$4:$C$500,"&lt;="&amp;$J1224))</f>
        <v/>
      </c>
      <c r="C1224">
        <f>IF($J1224="","",SUMIFS('Hours Log'!$C:$C,'Hours Log'!$A:$A,"&gt;="&amp;$J1224,'Hours Log'!$A:$A,"&lt;"&amp;$J1224+7)+SUMIFS('Hours Log'!$D:$D,'Hours Log'!$A:$A,"&gt;="&amp;$J1224,'Hours Log'!$A:$A,"&lt;"&amp;$J1224+7))</f>
        <v/>
      </c>
      <c r="D1224">
        <f>IF($J1224="","",SUMIFS('Hours Log'!$D:$D,'Hours Log'!$A:$A,"&gt;="&amp;$J1224,'Hours Log'!$A:$A,"&lt;"&amp;$J1224+7))</f>
        <v/>
      </c>
      <c r="E1224">
        <f>IF($J1224="","",IFERROR(C1224/(B1224*40),0))</f>
        <v/>
      </c>
      <c r="F1224">
        <f>IF($J1224="","",0)</f>
        <v/>
      </c>
      <c r="G1224">
        <f>IF($J1224="","",SUMIFS('Hours Log'!$E:$E,'Hours Log'!$A:$A,"&gt;="&amp;$J1224,'Hours Log'!$A:$A,"&lt;"&amp;$J1224+7))</f>
        <v/>
      </c>
      <c r="J1224">
        <f>IF(COUNT('Hours Log'!$A$4:$A$5000)=0,"",IF(MIN('Hours Log'!$A$4:$A$5000)+7*(ROW()-10)&gt;MAX('Hours Log'!$A$4:$A$5000),"",MIN('Hours Log'!$A$4:$A$5000)+7*(ROW()-10)))</f>
        <v/>
      </c>
    </row>
    <row r="1225">
      <c r="A1225">
        <f>IF($J1225="","",YEAR($J1225-WEEKDAY($J1225,2)+4)&amp;"-W"&amp;TEXT(WEEKNUM($J1225,21),"00"))</f>
        <v/>
      </c>
      <c r="B1225" s="41">
        <f>IF($J1225="","",COUNTIFS(Roster!$D$4:$D$500,"Active",Roster!$C$4:$C$500,"&lt;="&amp;$J1225))</f>
        <v/>
      </c>
      <c r="C1225">
        <f>IF($J1225="","",SUMIFS('Hours Log'!$C:$C,'Hours Log'!$A:$A,"&gt;="&amp;$J1225,'Hours Log'!$A:$A,"&lt;"&amp;$J1225+7)+SUMIFS('Hours Log'!$D:$D,'Hours Log'!$A:$A,"&gt;="&amp;$J1225,'Hours Log'!$A:$A,"&lt;"&amp;$J1225+7))</f>
        <v/>
      </c>
      <c r="D1225">
        <f>IF($J1225="","",SUMIFS('Hours Log'!$D:$D,'Hours Log'!$A:$A,"&gt;="&amp;$J1225,'Hours Log'!$A:$A,"&lt;"&amp;$J1225+7))</f>
        <v/>
      </c>
      <c r="E1225">
        <f>IF($J1225="","",IFERROR(C1225/(B1225*40),0))</f>
        <v/>
      </c>
      <c r="F1225">
        <f>IF($J1225="","",0)</f>
        <v/>
      </c>
      <c r="G1225">
        <f>IF($J1225="","",SUMIFS('Hours Log'!$E:$E,'Hours Log'!$A:$A,"&gt;="&amp;$J1225,'Hours Log'!$A:$A,"&lt;"&amp;$J1225+7))</f>
        <v/>
      </c>
      <c r="J1225">
        <f>IF(COUNT('Hours Log'!$A$4:$A$5000)=0,"",IF(MIN('Hours Log'!$A$4:$A$5000)+7*(ROW()-10)&gt;MAX('Hours Log'!$A$4:$A$5000),"",MIN('Hours Log'!$A$4:$A$5000)+7*(ROW()-10)))</f>
        <v/>
      </c>
    </row>
    <row r="1226">
      <c r="A1226">
        <f>IF($J1226="","",YEAR($J1226-WEEKDAY($J1226,2)+4)&amp;"-W"&amp;TEXT(WEEKNUM($J1226,21),"00"))</f>
        <v/>
      </c>
      <c r="B1226" s="41">
        <f>IF($J1226="","",COUNTIFS(Roster!$D$4:$D$500,"Active",Roster!$C$4:$C$500,"&lt;="&amp;$J1226))</f>
        <v/>
      </c>
      <c r="C1226">
        <f>IF($J1226="","",SUMIFS('Hours Log'!$C:$C,'Hours Log'!$A:$A,"&gt;="&amp;$J1226,'Hours Log'!$A:$A,"&lt;"&amp;$J1226+7)+SUMIFS('Hours Log'!$D:$D,'Hours Log'!$A:$A,"&gt;="&amp;$J1226,'Hours Log'!$A:$A,"&lt;"&amp;$J1226+7))</f>
        <v/>
      </c>
      <c r="D1226">
        <f>IF($J1226="","",SUMIFS('Hours Log'!$D:$D,'Hours Log'!$A:$A,"&gt;="&amp;$J1226,'Hours Log'!$A:$A,"&lt;"&amp;$J1226+7))</f>
        <v/>
      </c>
      <c r="E1226">
        <f>IF($J1226="","",IFERROR(C1226/(B1226*40),0))</f>
        <v/>
      </c>
      <c r="F1226">
        <f>IF($J1226="","",0)</f>
        <v/>
      </c>
      <c r="G1226">
        <f>IF($J1226="","",SUMIFS('Hours Log'!$E:$E,'Hours Log'!$A:$A,"&gt;="&amp;$J1226,'Hours Log'!$A:$A,"&lt;"&amp;$J1226+7))</f>
        <v/>
      </c>
      <c r="J1226">
        <f>IF(COUNT('Hours Log'!$A$4:$A$5000)=0,"",IF(MIN('Hours Log'!$A$4:$A$5000)+7*(ROW()-10)&gt;MAX('Hours Log'!$A$4:$A$5000),"",MIN('Hours Log'!$A$4:$A$5000)+7*(ROW()-10)))</f>
        <v/>
      </c>
    </row>
    <row r="1227">
      <c r="A1227">
        <f>IF($J1227="","",YEAR($J1227-WEEKDAY($J1227,2)+4)&amp;"-W"&amp;TEXT(WEEKNUM($J1227,21),"00"))</f>
        <v/>
      </c>
      <c r="B1227" s="41">
        <f>IF($J1227="","",COUNTIFS(Roster!$D$4:$D$500,"Active",Roster!$C$4:$C$500,"&lt;="&amp;$J1227))</f>
        <v/>
      </c>
      <c r="C1227">
        <f>IF($J1227="","",SUMIFS('Hours Log'!$C:$C,'Hours Log'!$A:$A,"&gt;="&amp;$J1227,'Hours Log'!$A:$A,"&lt;"&amp;$J1227+7)+SUMIFS('Hours Log'!$D:$D,'Hours Log'!$A:$A,"&gt;="&amp;$J1227,'Hours Log'!$A:$A,"&lt;"&amp;$J1227+7))</f>
        <v/>
      </c>
      <c r="D1227">
        <f>IF($J1227="","",SUMIFS('Hours Log'!$D:$D,'Hours Log'!$A:$A,"&gt;="&amp;$J1227,'Hours Log'!$A:$A,"&lt;"&amp;$J1227+7))</f>
        <v/>
      </c>
      <c r="E1227">
        <f>IF($J1227="","",IFERROR(C1227/(B1227*40),0))</f>
        <v/>
      </c>
      <c r="F1227">
        <f>IF($J1227="","",0)</f>
        <v/>
      </c>
      <c r="G1227">
        <f>IF($J1227="","",SUMIFS('Hours Log'!$E:$E,'Hours Log'!$A:$A,"&gt;="&amp;$J1227,'Hours Log'!$A:$A,"&lt;"&amp;$J1227+7))</f>
        <v/>
      </c>
      <c r="J1227">
        <f>IF(COUNT('Hours Log'!$A$4:$A$5000)=0,"",IF(MIN('Hours Log'!$A$4:$A$5000)+7*(ROW()-10)&gt;MAX('Hours Log'!$A$4:$A$5000),"",MIN('Hours Log'!$A$4:$A$5000)+7*(ROW()-10)))</f>
        <v/>
      </c>
    </row>
    <row r="1228">
      <c r="A1228">
        <f>IF($J1228="","",YEAR($J1228-WEEKDAY($J1228,2)+4)&amp;"-W"&amp;TEXT(WEEKNUM($J1228,21),"00"))</f>
        <v/>
      </c>
      <c r="B1228" s="41">
        <f>IF($J1228="","",COUNTIFS(Roster!$D$4:$D$500,"Active",Roster!$C$4:$C$500,"&lt;="&amp;$J1228))</f>
        <v/>
      </c>
      <c r="C1228">
        <f>IF($J1228="","",SUMIFS('Hours Log'!$C:$C,'Hours Log'!$A:$A,"&gt;="&amp;$J1228,'Hours Log'!$A:$A,"&lt;"&amp;$J1228+7)+SUMIFS('Hours Log'!$D:$D,'Hours Log'!$A:$A,"&gt;="&amp;$J1228,'Hours Log'!$A:$A,"&lt;"&amp;$J1228+7))</f>
        <v/>
      </c>
      <c r="D1228">
        <f>IF($J1228="","",SUMIFS('Hours Log'!$D:$D,'Hours Log'!$A:$A,"&gt;="&amp;$J1228,'Hours Log'!$A:$A,"&lt;"&amp;$J1228+7))</f>
        <v/>
      </c>
      <c r="E1228">
        <f>IF($J1228="","",IFERROR(C1228/(B1228*40),0))</f>
        <v/>
      </c>
      <c r="F1228">
        <f>IF($J1228="","",0)</f>
        <v/>
      </c>
      <c r="G1228">
        <f>IF($J1228="","",SUMIFS('Hours Log'!$E:$E,'Hours Log'!$A:$A,"&gt;="&amp;$J1228,'Hours Log'!$A:$A,"&lt;"&amp;$J1228+7))</f>
        <v/>
      </c>
      <c r="J1228">
        <f>IF(COUNT('Hours Log'!$A$4:$A$5000)=0,"",IF(MIN('Hours Log'!$A$4:$A$5000)+7*(ROW()-10)&gt;MAX('Hours Log'!$A$4:$A$5000),"",MIN('Hours Log'!$A$4:$A$5000)+7*(ROW()-10)))</f>
        <v/>
      </c>
    </row>
    <row r="1229">
      <c r="A1229">
        <f>IF($J1229="","",YEAR($J1229-WEEKDAY($J1229,2)+4)&amp;"-W"&amp;TEXT(WEEKNUM($J1229,21),"00"))</f>
        <v/>
      </c>
      <c r="B1229" s="41">
        <f>IF($J1229="","",COUNTIFS(Roster!$D$4:$D$500,"Active",Roster!$C$4:$C$500,"&lt;="&amp;$J1229))</f>
        <v/>
      </c>
      <c r="C1229">
        <f>IF($J1229="","",SUMIFS('Hours Log'!$C:$C,'Hours Log'!$A:$A,"&gt;="&amp;$J1229,'Hours Log'!$A:$A,"&lt;"&amp;$J1229+7)+SUMIFS('Hours Log'!$D:$D,'Hours Log'!$A:$A,"&gt;="&amp;$J1229,'Hours Log'!$A:$A,"&lt;"&amp;$J1229+7))</f>
        <v/>
      </c>
      <c r="D1229">
        <f>IF($J1229="","",SUMIFS('Hours Log'!$D:$D,'Hours Log'!$A:$A,"&gt;="&amp;$J1229,'Hours Log'!$A:$A,"&lt;"&amp;$J1229+7))</f>
        <v/>
      </c>
      <c r="E1229">
        <f>IF($J1229="","",IFERROR(C1229/(B1229*40),0))</f>
        <v/>
      </c>
      <c r="F1229">
        <f>IF($J1229="","",0)</f>
        <v/>
      </c>
      <c r="G1229">
        <f>IF($J1229="","",SUMIFS('Hours Log'!$E:$E,'Hours Log'!$A:$A,"&gt;="&amp;$J1229,'Hours Log'!$A:$A,"&lt;"&amp;$J1229+7))</f>
        <v/>
      </c>
      <c r="J1229">
        <f>IF(COUNT('Hours Log'!$A$4:$A$5000)=0,"",IF(MIN('Hours Log'!$A$4:$A$5000)+7*(ROW()-10)&gt;MAX('Hours Log'!$A$4:$A$5000),"",MIN('Hours Log'!$A$4:$A$5000)+7*(ROW()-10)))</f>
        <v/>
      </c>
    </row>
    <row r="1230">
      <c r="A1230">
        <f>IF($J1230="","",YEAR($J1230-WEEKDAY($J1230,2)+4)&amp;"-W"&amp;TEXT(WEEKNUM($J1230,21),"00"))</f>
        <v/>
      </c>
      <c r="B1230" s="41">
        <f>IF($J1230="","",COUNTIFS(Roster!$D$4:$D$500,"Active",Roster!$C$4:$C$500,"&lt;="&amp;$J1230))</f>
        <v/>
      </c>
      <c r="C1230">
        <f>IF($J1230="","",SUMIFS('Hours Log'!$C:$C,'Hours Log'!$A:$A,"&gt;="&amp;$J1230,'Hours Log'!$A:$A,"&lt;"&amp;$J1230+7)+SUMIFS('Hours Log'!$D:$D,'Hours Log'!$A:$A,"&gt;="&amp;$J1230,'Hours Log'!$A:$A,"&lt;"&amp;$J1230+7))</f>
        <v/>
      </c>
      <c r="D1230">
        <f>IF($J1230="","",SUMIFS('Hours Log'!$D:$D,'Hours Log'!$A:$A,"&gt;="&amp;$J1230,'Hours Log'!$A:$A,"&lt;"&amp;$J1230+7))</f>
        <v/>
      </c>
      <c r="E1230">
        <f>IF($J1230="","",IFERROR(C1230/(B1230*40),0))</f>
        <v/>
      </c>
      <c r="F1230">
        <f>IF($J1230="","",0)</f>
        <v/>
      </c>
      <c r="G1230">
        <f>IF($J1230="","",SUMIFS('Hours Log'!$E:$E,'Hours Log'!$A:$A,"&gt;="&amp;$J1230,'Hours Log'!$A:$A,"&lt;"&amp;$J1230+7))</f>
        <v/>
      </c>
      <c r="J1230">
        <f>IF(COUNT('Hours Log'!$A$4:$A$5000)=0,"",IF(MIN('Hours Log'!$A$4:$A$5000)+7*(ROW()-10)&gt;MAX('Hours Log'!$A$4:$A$5000),"",MIN('Hours Log'!$A$4:$A$5000)+7*(ROW()-10)))</f>
        <v/>
      </c>
    </row>
    <row r="1231">
      <c r="A1231">
        <f>IF($J1231="","",YEAR($J1231-WEEKDAY($J1231,2)+4)&amp;"-W"&amp;TEXT(WEEKNUM($J1231,21),"00"))</f>
        <v/>
      </c>
      <c r="B1231" s="41">
        <f>IF($J1231="","",COUNTIFS(Roster!$D$4:$D$500,"Active",Roster!$C$4:$C$500,"&lt;="&amp;$J1231))</f>
        <v/>
      </c>
      <c r="C1231">
        <f>IF($J1231="","",SUMIFS('Hours Log'!$C:$C,'Hours Log'!$A:$A,"&gt;="&amp;$J1231,'Hours Log'!$A:$A,"&lt;"&amp;$J1231+7)+SUMIFS('Hours Log'!$D:$D,'Hours Log'!$A:$A,"&gt;="&amp;$J1231,'Hours Log'!$A:$A,"&lt;"&amp;$J1231+7))</f>
        <v/>
      </c>
      <c r="D1231">
        <f>IF($J1231="","",SUMIFS('Hours Log'!$D:$D,'Hours Log'!$A:$A,"&gt;="&amp;$J1231,'Hours Log'!$A:$A,"&lt;"&amp;$J1231+7))</f>
        <v/>
      </c>
      <c r="E1231">
        <f>IF($J1231="","",IFERROR(C1231/(B1231*40),0))</f>
        <v/>
      </c>
      <c r="F1231">
        <f>IF($J1231="","",0)</f>
        <v/>
      </c>
      <c r="G1231">
        <f>IF($J1231="","",SUMIFS('Hours Log'!$E:$E,'Hours Log'!$A:$A,"&gt;="&amp;$J1231,'Hours Log'!$A:$A,"&lt;"&amp;$J1231+7))</f>
        <v/>
      </c>
      <c r="J1231">
        <f>IF(COUNT('Hours Log'!$A$4:$A$5000)=0,"",IF(MIN('Hours Log'!$A$4:$A$5000)+7*(ROW()-10)&gt;MAX('Hours Log'!$A$4:$A$5000),"",MIN('Hours Log'!$A$4:$A$5000)+7*(ROW()-10)))</f>
        <v/>
      </c>
    </row>
    <row r="1232">
      <c r="A1232">
        <f>IF($J1232="","",YEAR($J1232-WEEKDAY($J1232,2)+4)&amp;"-W"&amp;TEXT(WEEKNUM($J1232,21),"00"))</f>
        <v/>
      </c>
      <c r="B1232" s="41">
        <f>IF($J1232="","",COUNTIFS(Roster!$D$4:$D$500,"Active",Roster!$C$4:$C$500,"&lt;="&amp;$J1232))</f>
        <v/>
      </c>
      <c r="C1232">
        <f>IF($J1232="","",SUMIFS('Hours Log'!$C:$C,'Hours Log'!$A:$A,"&gt;="&amp;$J1232,'Hours Log'!$A:$A,"&lt;"&amp;$J1232+7)+SUMIFS('Hours Log'!$D:$D,'Hours Log'!$A:$A,"&gt;="&amp;$J1232,'Hours Log'!$A:$A,"&lt;"&amp;$J1232+7))</f>
        <v/>
      </c>
      <c r="D1232">
        <f>IF($J1232="","",SUMIFS('Hours Log'!$D:$D,'Hours Log'!$A:$A,"&gt;="&amp;$J1232,'Hours Log'!$A:$A,"&lt;"&amp;$J1232+7))</f>
        <v/>
      </c>
      <c r="E1232">
        <f>IF($J1232="","",IFERROR(C1232/(B1232*40),0))</f>
        <v/>
      </c>
      <c r="F1232">
        <f>IF($J1232="","",0)</f>
        <v/>
      </c>
      <c r="G1232">
        <f>IF($J1232="","",SUMIFS('Hours Log'!$E:$E,'Hours Log'!$A:$A,"&gt;="&amp;$J1232,'Hours Log'!$A:$A,"&lt;"&amp;$J1232+7))</f>
        <v/>
      </c>
      <c r="J1232">
        <f>IF(COUNT('Hours Log'!$A$4:$A$5000)=0,"",IF(MIN('Hours Log'!$A$4:$A$5000)+7*(ROW()-10)&gt;MAX('Hours Log'!$A$4:$A$5000),"",MIN('Hours Log'!$A$4:$A$5000)+7*(ROW()-10)))</f>
        <v/>
      </c>
    </row>
    <row r="1233">
      <c r="A1233">
        <f>IF($J1233="","",YEAR($J1233-WEEKDAY($J1233,2)+4)&amp;"-W"&amp;TEXT(WEEKNUM($J1233,21),"00"))</f>
        <v/>
      </c>
      <c r="B1233" s="41">
        <f>IF($J1233="","",COUNTIFS(Roster!$D$4:$D$500,"Active",Roster!$C$4:$C$500,"&lt;="&amp;$J1233))</f>
        <v/>
      </c>
      <c r="C1233">
        <f>IF($J1233="","",SUMIFS('Hours Log'!$C:$C,'Hours Log'!$A:$A,"&gt;="&amp;$J1233,'Hours Log'!$A:$A,"&lt;"&amp;$J1233+7)+SUMIFS('Hours Log'!$D:$D,'Hours Log'!$A:$A,"&gt;="&amp;$J1233,'Hours Log'!$A:$A,"&lt;"&amp;$J1233+7))</f>
        <v/>
      </c>
      <c r="D1233">
        <f>IF($J1233="","",SUMIFS('Hours Log'!$D:$D,'Hours Log'!$A:$A,"&gt;="&amp;$J1233,'Hours Log'!$A:$A,"&lt;"&amp;$J1233+7))</f>
        <v/>
      </c>
      <c r="E1233">
        <f>IF($J1233="","",IFERROR(C1233/(B1233*40),0))</f>
        <v/>
      </c>
      <c r="F1233">
        <f>IF($J1233="","",0)</f>
        <v/>
      </c>
      <c r="G1233">
        <f>IF($J1233="","",SUMIFS('Hours Log'!$E:$E,'Hours Log'!$A:$A,"&gt;="&amp;$J1233,'Hours Log'!$A:$A,"&lt;"&amp;$J1233+7))</f>
        <v/>
      </c>
      <c r="J1233">
        <f>IF(COUNT('Hours Log'!$A$4:$A$5000)=0,"",IF(MIN('Hours Log'!$A$4:$A$5000)+7*(ROW()-10)&gt;MAX('Hours Log'!$A$4:$A$5000),"",MIN('Hours Log'!$A$4:$A$5000)+7*(ROW()-10)))</f>
        <v/>
      </c>
    </row>
    <row r="1234">
      <c r="A1234">
        <f>IF($J1234="","",YEAR($J1234-WEEKDAY($J1234,2)+4)&amp;"-W"&amp;TEXT(WEEKNUM($J1234,21),"00"))</f>
        <v/>
      </c>
      <c r="B1234" s="41">
        <f>IF($J1234="","",COUNTIFS(Roster!$D$4:$D$500,"Active",Roster!$C$4:$C$500,"&lt;="&amp;$J1234))</f>
        <v/>
      </c>
      <c r="C1234">
        <f>IF($J1234="","",SUMIFS('Hours Log'!$C:$C,'Hours Log'!$A:$A,"&gt;="&amp;$J1234,'Hours Log'!$A:$A,"&lt;"&amp;$J1234+7)+SUMIFS('Hours Log'!$D:$D,'Hours Log'!$A:$A,"&gt;="&amp;$J1234,'Hours Log'!$A:$A,"&lt;"&amp;$J1234+7))</f>
        <v/>
      </c>
      <c r="D1234">
        <f>IF($J1234="","",SUMIFS('Hours Log'!$D:$D,'Hours Log'!$A:$A,"&gt;="&amp;$J1234,'Hours Log'!$A:$A,"&lt;"&amp;$J1234+7))</f>
        <v/>
      </c>
      <c r="E1234">
        <f>IF($J1234="","",IFERROR(C1234/(B1234*40),0))</f>
        <v/>
      </c>
      <c r="F1234">
        <f>IF($J1234="","",0)</f>
        <v/>
      </c>
      <c r="G1234">
        <f>IF($J1234="","",SUMIFS('Hours Log'!$E:$E,'Hours Log'!$A:$A,"&gt;="&amp;$J1234,'Hours Log'!$A:$A,"&lt;"&amp;$J1234+7))</f>
        <v/>
      </c>
      <c r="J1234">
        <f>IF(COUNT('Hours Log'!$A$4:$A$5000)=0,"",IF(MIN('Hours Log'!$A$4:$A$5000)+7*(ROW()-10)&gt;MAX('Hours Log'!$A$4:$A$5000),"",MIN('Hours Log'!$A$4:$A$5000)+7*(ROW()-10)))</f>
        <v/>
      </c>
    </row>
    <row r="1235">
      <c r="A1235">
        <f>IF($J1235="","",YEAR($J1235-WEEKDAY($J1235,2)+4)&amp;"-W"&amp;TEXT(WEEKNUM($J1235,21),"00"))</f>
        <v/>
      </c>
      <c r="B1235" s="41">
        <f>IF($J1235="","",COUNTIFS(Roster!$D$4:$D$500,"Active",Roster!$C$4:$C$500,"&lt;="&amp;$J1235))</f>
        <v/>
      </c>
      <c r="C1235">
        <f>IF($J1235="","",SUMIFS('Hours Log'!$C:$C,'Hours Log'!$A:$A,"&gt;="&amp;$J1235,'Hours Log'!$A:$A,"&lt;"&amp;$J1235+7)+SUMIFS('Hours Log'!$D:$D,'Hours Log'!$A:$A,"&gt;="&amp;$J1235,'Hours Log'!$A:$A,"&lt;"&amp;$J1235+7))</f>
        <v/>
      </c>
      <c r="D1235">
        <f>IF($J1235="","",SUMIFS('Hours Log'!$D:$D,'Hours Log'!$A:$A,"&gt;="&amp;$J1235,'Hours Log'!$A:$A,"&lt;"&amp;$J1235+7))</f>
        <v/>
      </c>
      <c r="E1235">
        <f>IF($J1235="","",IFERROR(C1235/(B1235*40),0))</f>
        <v/>
      </c>
      <c r="F1235">
        <f>IF($J1235="","",0)</f>
        <v/>
      </c>
      <c r="G1235">
        <f>IF($J1235="","",SUMIFS('Hours Log'!$E:$E,'Hours Log'!$A:$A,"&gt;="&amp;$J1235,'Hours Log'!$A:$A,"&lt;"&amp;$J1235+7))</f>
        <v/>
      </c>
      <c r="J1235">
        <f>IF(COUNT('Hours Log'!$A$4:$A$5000)=0,"",IF(MIN('Hours Log'!$A$4:$A$5000)+7*(ROW()-10)&gt;MAX('Hours Log'!$A$4:$A$5000),"",MIN('Hours Log'!$A$4:$A$5000)+7*(ROW()-10)))</f>
        <v/>
      </c>
    </row>
    <row r="1236">
      <c r="A1236">
        <f>IF($J1236="","",YEAR($J1236-WEEKDAY($J1236,2)+4)&amp;"-W"&amp;TEXT(WEEKNUM($J1236,21),"00"))</f>
        <v/>
      </c>
      <c r="B1236" s="41">
        <f>IF($J1236="","",COUNTIFS(Roster!$D$4:$D$500,"Active",Roster!$C$4:$C$500,"&lt;="&amp;$J1236))</f>
        <v/>
      </c>
      <c r="C1236">
        <f>IF($J1236="","",SUMIFS('Hours Log'!$C:$C,'Hours Log'!$A:$A,"&gt;="&amp;$J1236,'Hours Log'!$A:$A,"&lt;"&amp;$J1236+7)+SUMIFS('Hours Log'!$D:$D,'Hours Log'!$A:$A,"&gt;="&amp;$J1236,'Hours Log'!$A:$A,"&lt;"&amp;$J1236+7))</f>
        <v/>
      </c>
      <c r="D1236">
        <f>IF($J1236="","",SUMIFS('Hours Log'!$D:$D,'Hours Log'!$A:$A,"&gt;="&amp;$J1236,'Hours Log'!$A:$A,"&lt;"&amp;$J1236+7))</f>
        <v/>
      </c>
      <c r="E1236">
        <f>IF($J1236="","",IFERROR(C1236/(B1236*40),0))</f>
        <v/>
      </c>
      <c r="F1236">
        <f>IF($J1236="","",0)</f>
        <v/>
      </c>
      <c r="G1236">
        <f>IF($J1236="","",SUMIFS('Hours Log'!$E:$E,'Hours Log'!$A:$A,"&gt;="&amp;$J1236,'Hours Log'!$A:$A,"&lt;"&amp;$J1236+7))</f>
        <v/>
      </c>
      <c r="J1236">
        <f>IF(COUNT('Hours Log'!$A$4:$A$5000)=0,"",IF(MIN('Hours Log'!$A$4:$A$5000)+7*(ROW()-10)&gt;MAX('Hours Log'!$A$4:$A$5000),"",MIN('Hours Log'!$A$4:$A$5000)+7*(ROW()-10)))</f>
        <v/>
      </c>
    </row>
    <row r="1237">
      <c r="A1237">
        <f>IF($J1237="","",YEAR($J1237-WEEKDAY($J1237,2)+4)&amp;"-W"&amp;TEXT(WEEKNUM($J1237,21),"00"))</f>
        <v/>
      </c>
      <c r="B1237" s="41">
        <f>IF($J1237="","",COUNTIFS(Roster!$D$4:$D$500,"Active",Roster!$C$4:$C$500,"&lt;="&amp;$J1237))</f>
        <v/>
      </c>
      <c r="C1237">
        <f>IF($J1237="","",SUMIFS('Hours Log'!$C:$C,'Hours Log'!$A:$A,"&gt;="&amp;$J1237,'Hours Log'!$A:$A,"&lt;"&amp;$J1237+7)+SUMIFS('Hours Log'!$D:$D,'Hours Log'!$A:$A,"&gt;="&amp;$J1237,'Hours Log'!$A:$A,"&lt;"&amp;$J1237+7))</f>
        <v/>
      </c>
      <c r="D1237">
        <f>IF($J1237="","",SUMIFS('Hours Log'!$D:$D,'Hours Log'!$A:$A,"&gt;="&amp;$J1237,'Hours Log'!$A:$A,"&lt;"&amp;$J1237+7))</f>
        <v/>
      </c>
      <c r="E1237">
        <f>IF($J1237="","",IFERROR(C1237/(B1237*40),0))</f>
        <v/>
      </c>
      <c r="F1237">
        <f>IF($J1237="","",0)</f>
        <v/>
      </c>
      <c r="G1237">
        <f>IF($J1237="","",SUMIFS('Hours Log'!$E:$E,'Hours Log'!$A:$A,"&gt;="&amp;$J1237,'Hours Log'!$A:$A,"&lt;"&amp;$J1237+7))</f>
        <v/>
      </c>
      <c r="J1237">
        <f>IF(COUNT('Hours Log'!$A$4:$A$5000)=0,"",IF(MIN('Hours Log'!$A$4:$A$5000)+7*(ROW()-10)&gt;MAX('Hours Log'!$A$4:$A$5000),"",MIN('Hours Log'!$A$4:$A$5000)+7*(ROW()-10)))</f>
        <v/>
      </c>
    </row>
    <row r="1238">
      <c r="A1238">
        <f>IF($J1238="","",YEAR($J1238-WEEKDAY($J1238,2)+4)&amp;"-W"&amp;TEXT(WEEKNUM($J1238,21),"00"))</f>
        <v/>
      </c>
      <c r="B1238" s="41">
        <f>IF($J1238="","",COUNTIFS(Roster!$D$4:$D$500,"Active",Roster!$C$4:$C$500,"&lt;="&amp;$J1238))</f>
        <v/>
      </c>
      <c r="C1238">
        <f>IF($J1238="","",SUMIFS('Hours Log'!$C:$C,'Hours Log'!$A:$A,"&gt;="&amp;$J1238,'Hours Log'!$A:$A,"&lt;"&amp;$J1238+7)+SUMIFS('Hours Log'!$D:$D,'Hours Log'!$A:$A,"&gt;="&amp;$J1238,'Hours Log'!$A:$A,"&lt;"&amp;$J1238+7))</f>
        <v/>
      </c>
      <c r="D1238">
        <f>IF($J1238="","",SUMIFS('Hours Log'!$D:$D,'Hours Log'!$A:$A,"&gt;="&amp;$J1238,'Hours Log'!$A:$A,"&lt;"&amp;$J1238+7))</f>
        <v/>
      </c>
      <c r="E1238">
        <f>IF($J1238="","",IFERROR(C1238/(B1238*40),0))</f>
        <v/>
      </c>
      <c r="F1238">
        <f>IF($J1238="","",0)</f>
        <v/>
      </c>
      <c r="G1238">
        <f>IF($J1238="","",SUMIFS('Hours Log'!$E:$E,'Hours Log'!$A:$A,"&gt;="&amp;$J1238,'Hours Log'!$A:$A,"&lt;"&amp;$J1238+7))</f>
        <v/>
      </c>
      <c r="J1238">
        <f>IF(COUNT('Hours Log'!$A$4:$A$5000)=0,"",IF(MIN('Hours Log'!$A$4:$A$5000)+7*(ROW()-10)&gt;MAX('Hours Log'!$A$4:$A$5000),"",MIN('Hours Log'!$A$4:$A$5000)+7*(ROW()-10)))</f>
        <v/>
      </c>
    </row>
    <row r="1239">
      <c r="A1239">
        <f>IF($J1239="","",YEAR($J1239-WEEKDAY($J1239,2)+4)&amp;"-W"&amp;TEXT(WEEKNUM($J1239,21),"00"))</f>
        <v/>
      </c>
      <c r="B1239" s="41">
        <f>IF($J1239="","",COUNTIFS(Roster!$D$4:$D$500,"Active",Roster!$C$4:$C$500,"&lt;="&amp;$J1239))</f>
        <v/>
      </c>
      <c r="C1239">
        <f>IF($J1239="","",SUMIFS('Hours Log'!$C:$C,'Hours Log'!$A:$A,"&gt;="&amp;$J1239,'Hours Log'!$A:$A,"&lt;"&amp;$J1239+7)+SUMIFS('Hours Log'!$D:$D,'Hours Log'!$A:$A,"&gt;="&amp;$J1239,'Hours Log'!$A:$A,"&lt;"&amp;$J1239+7))</f>
        <v/>
      </c>
      <c r="D1239">
        <f>IF($J1239="","",SUMIFS('Hours Log'!$D:$D,'Hours Log'!$A:$A,"&gt;="&amp;$J1239,'Hours Log'!$A:$A,"&lt;"&amp;$J1239+7))</f>
        <v/>
      </c>
      <c r="E1239">
        <f>IF($J1239="","",IFERROR(C1239/(B1239*40),0))</f>
        <v/>
      </c>
      <c r="F1239">
        <f>IF($J1239="","",0)</f>
        <v/>
      </c>
      <c r="G1239">
        <f>IF($J1239="","",SUMIFS('Hours Log'!$E:$E,'Hours Log'!$A:$A,"&gt;="&amp;$J1239,'Hours Log'!$A:$A,"&lt;"&amp;$J1239+7))</f>
        <v/>
      </c>
      <c r="J1239">
        <f>IF(COUNT('Hours Log'!$A$4:$A$5000)=0,"",IF(MIN('Hours Log'!$A$4:$A$5000)+7*(ROW()-10)&gt;MAX('Hours Log'!$A$4:$A$5000),"",MIN('Hours Log'!$A$4:$A$5000)+7*(ROW()-10)))</f>
        <v/>
      </c>
    </row>
    <row r="1240">
      <c r="A1240">
        <f>IF($J1240="","",YEAR($J1240-WEEKDAY($J1240,2)+4)&amp;"-W"&amp;TEXT(WEEKNUM($J1240,21),"00"))</f>
        <v/>
      </c>
      <c r="B1240" s="41">
        <f>IF($J1240="","",COUNTIFS(Roster!$D$4:$D$500,"Active",Roster!$C$4:$C$500,"&lt;="&amp;$J1240))</f>
        <v/>
      </c>
      <c r="C1240">
        <f>IF($J1240="","",SUMIFS('Hours Log'!$C:$C,'Hours Log'!$A:$A,"&gt;="&amp;$J1240,'Hours Log'!$A:$A,"&lt;"&amp;$J1240+7)+SUMIFS('Hours Log'!$D:$D,'Hours Log'!$A:$A,"&gt;="&amp;$J1240,'Hours Log'!$A:$A,"&lt;"&amp;$J1240+7))</f>
        <v/>
      </c>
      <c r="D1240">
        <f>IF($J1240="","",SUMIFS('Hours Log'!$D:$D,'Hours Log'!$A:$A,"&gt;="&amp;$J1240,'Hours Log'!$A:$A,"&lt;"&amp;$J1240+7))</f>
        <v/>
      </c>
      <c r="E1240">
        <f>IF($J1240="","",IFERROR(C1240/(B1240*40),0))</f>
        <v/>
      </c>
      <c r="F1240">
        <f>IF($J1240="","",0)</f>
        <v/>
      </c>
      <c r="G1240">
        <f>IF($J1240="","",SUMIFS('Hours Log'!$E:$E,'Hours Log'!$A:$A,"&gt;="&amp;$J1240,'Hours Log'!$A:$A,"&lt;"&amp;$J1240+7))</f>
        <v/>
      </c>
      <c r="J1240">
        <f>IF(COUNT('Hours Log'!$A$4:$A$5000)=0,"",IF(MIN('Hours Log'!$A$4:$A$5000)+7*(ROW()-10)&gt;MAX('Hours Log'!$A$4:$A$5000),"",MIN('Hours Log'!$A$4:$A$5000)+7*(ROW()-10)))</f>
        <v/>
      </c>
    </row>
    <row r="1241">
      <c r="A1241">
        <f>IF($J1241="","",YEAR($J1241-WEEKDAY($J1241,2)+4)&amp;"-W"&amp;TEXT(WEEKNUM($J1241,21),"00"))</f>
        <v/>
      </c>
      <c r="B1241" s="41">
        <f>IF($J1241="","",COUNTIFS(Roster!$D$4:$D$500,"Active",Roster!$C$4:$C$500,"&lt;="&amp;$J1241))</f>
        <v/>
      </c>
      <c r="C1241">
        <f>IF($J1241="","",SUMIFS('Hours Log'!$C:$C,'Hours Log'!$A:$A,"&gt;="&amp;$J1241,'Hours Log'!$A:$A,"&lt;"&amp;$J1241+7)+SUMIFS('Hours Log'!$D:$D,'Hours Log'!$A:$A,"&gt;="&amp;$J1241,'Hours Log'!$A:$A,"&lt;"&amp;$J1241+7))</f>
        <v/>
      </c>
      <c r="D1241">
        <f>IF($J1241="","",SUMIFS('Hours Log'!$D:$D,'Hours Log'!$A:$A,"&gt;="&amp;$J1241,'Hours Log'!$A:$A,"&lt;"&amp;$J1241+7))</f>
        <v/>
      </c>
      <c r="E1241">
        <f>IF($J1241="","",IFERROR(C1241/(B1241*40),0))</f>
        <v/>
      </c>
      <c r="F1241">
        <f>IF($J1241="","",0)</f>
        <v/>
      </c>
      <c r="G1241">
        <f>IF($J1241="","",SUMIFS('Hours Log'!$E:$E,'Hours Log'!$A:$A,"&gt;="&amp;$J1241,'Hours Log'!$A:$A,"&lt;"&amp;$J1241+7))</f>
        <v/>
      </c>
      <c r="J1241">
        <f>IF(COUNT('Hours Log'!$A$4:$A$5000)=0,"",IF(MIN('Hours Log'!$A$4:$A$5000)+7*(ROW()-10)&gt;MAX('Hours Log'!$A$4:$A$5000),"",MIN('Hours Log'!$A$4:$A$5000)+7*(ROW()-10)))</f>
        <v/>
      </c>
    </row>
    <row r="1242">
      <c r="A1242">
        <f>IF($J1242="","",YEAR($J1242-WEEKDAY($J1242,2)+4)&amp;"-W"&amp;TEXT(WEEKNUM($J1242,21),"00"))</f>
        <v/>
      </c>
      <c r="B1242" s="41">
        <f>IF($J1242="","",COUNTIFS(Roster!$D$4:$D$500,"Active",Roster!$C$4:$C$500,"&lt;="&amp;$J1242))</f>
        <v/>
      </c>
      <c r="C1242">
        <f>IF($J1242="","",SUMIFS('Hours Log'!$C:$C,'Hours Log'!$A:$A,"&gt;="&amp;$J1242,'Hours Log'!$A:$A,"&lt;"&amp;$J1242+7)+SUMIFS('Hours Log'!$D:$D,'Hours Log'!$A:$A,"&gt;="&amp;$J1242,'Hours Log'!$A:$A,"&lt;"&amp;$J1242+7))</f>
        <v/>
      </c>
      <c r="D1242">
        <f>IF($J1242="","",SUMIFS('Hours Log'!$D:$D,'Hours Log'!$A:$A,"&gt;="&amp;$J1242,'Hours Log'!$A:$A,"&lt;"&amp;$J1242+7))</f>
        <v/>
      </c>
      <c r="E1242">
        <f>IF($J1242="","",IFERROR(C1242/(B1242*40),0))</f>
        <v/>
      </c>
      <c r="F1242">
        <f>IF($J1242="","",0)</f>
        <v/>
      </c>
      <c r="G1242">
        <f>IF($J1242="","",SUMIFS('Hours Log'!$E:$E,'Hours Log'!$A:$A,"&gt;="&amp;$J1242,'Hours Log'!$A:$A,"&lt;"&amp;$J1242+7))</f>
        <v/>
      </c>
      <c r="J1242">
        <f>IF(COUNT('Hours Log'!$A$4:$A$5000)=0,"",IF(MIN('Hours Log'!$A$4:$A$5000)+7*(ROW()-10)&gt;MAX('Hours Log'!$A$4:$A$5000),"",MIN('Hours Log'!$A$4:$A$5000)+7*(ROW()-10)))</f>
        <v/>
      </c>
    </row>
    <row r="1243">
      <c r="A1243">
        <f>IF($J1243="","",YEAR($J1243-WEEKDAY($J1243,2)+4)&amp;"-W"&amp;TEXT(WEEKNUM($J1243,21),"00"))</f>
        <v/>
      </c>
      <c r="B1243" s="41">
        <f>IF($J1243="","",COUNTIFS(Roster!$D$4:$D$500,"Active",Roster!$C$4:$C$500,"&lt;="&amp;$J1243))</f>
        <v/>
      </c>
      <c r="C1243">
        <f>IF($J1243="","",SUMIFS('Hours Log'!$C:$C,'Hours Log'!$A:$A,"&gt;="&amp;$J1243,'Hours Log'!$A:$A,"&lt;"&amp;$J1243+7)+SUMIFS('Hours Log'!$D:$D,'Hours Log'!$A:$A,"&gt;="&amp;$J1243,'Hours Log'!$A:$A,"&lt;"&amp;$J1243+7))</f>
        <v/>
      </c>
      <c r="D1243">
        <f>IF($J1243="","",SUMIFS('Hours Log'!$D:$D,'Hours Log'!$A:$A,"&gt;="&amp;$J1243,'Hours Log'!$A:$A,"&lt;"&amp;$J1243+7))</f>
        <v/>
      </c>
      <c r="E1243">
        <f>IF($J1243="","",IFERROR(C1243/(B1243*40),0))</f>
        <v/>
      </c>
      <c r="F1243">
        <f>IF($J1243="","",0)</f>
        <v/>
      </c>
      <c r="G1243">
        <f>IF($J1243="","",SUMIFS('Hours Log'!$E:$E,'Hours Log'!$A:$A,"&gt;="&amp;$J1243,'Hours Log'!$A:$A,"&lt;"&amp;$J1243+7))</f>
        <v/>
      </c>
      <c r="J1243">
        <f>IF(COUNT('Hours Log'!$A$4:$A$5000)=0,"",IF(MIN('Hours Log'!$A$4:$A$5000)+7*(ROW()-10)&gt;MAX('Hours Log'!$A$4:$A$5000),"",MIN('Hours Log'!$A$4:$A$5000)+7*(ROW()-10)))</f>
        <v/>
      </c>
    </row>
    <row r="1244">
      <c r="A1244">
        <f>IF($J1244="","",YEAR($J1244-WEEKDAY($J1244,2)+4)&amp;"-W"&amp;TEXT(WEEKNUM($J1244,21),"00"))</f>
        <v/>
      </c>
      <c r="B1244" s="41">
        <f>IF($J1244="","",COUNTIFS(Roster!$D$4:$D$500,"Active",Roster!$C$4:$C$500,"&lt;="&amp;$J1244))</f>
        <v/>
      </c>
      <c r="C1244">
        <f>IF($J1244="","",SUMIFS('Hours Log'!$C:$C,'Hours Log'!$A:$A,"&gt;="&amp;$J1244,'Hours Log'!$A:$A,"&lt;"&amp;$J1244+7)+SUMIFS('Hours Log'!$D:$D,'Hours Log'!$A:$A,"&gt;="&amp;$J1244,'Hours Log'!$A:$A,"&lt;"&amp;$J1244+7))</f>
        <v/>
      </c>
      <c r="D1244">
        <f>IF($J1244="","",SUMIFS('Hours Log'!$D:$D,'Hours Log'!$A:$A,"&gt;="&amp;$J1244,'Hours Log'!$A:$A,"&lt;"&amp;$J1244+7))</f>
        <v/>
      </c>
      <c r="E1244">
        <f>IF($J1244="","",IFERROR(C1244/(B1244*40),0))</f>
        <v/>
      </c>
      <c r="F1244">
        <f>IF($J1244="","",0)</f>
        <v/>
      </c>
      <c r="G1244">
        <f>IF($J1244="","",SUMIFS('Hours Log'!$E:$E,'Hours Log'!$A:$A,"&gt;="&amp;$J1244,'Hours Log'!$A:$A,"&lt;"&amp;$J1244+7))</f>
        <v/>
      </c>
      <c r="J1244">
        <f>IF(COUNT('Hours Log'!$A$4:$A$5000)=0,"",IF(MIN('Hours Log'!$A$4:$A$5000)+7*(ROW()-10)&gt;MAX('Hours Log'!$A$4:$A$5000),"",MIN('Hours Log'!$A$4:$A$5000)+7*(ROW()-10)))</f>
        <v/>
      </c>
    </row>
    <row r="1245">
      <c r="A1245">
        <f>IF($J1245="","",YEAR($J1245-WEEKDAY($J1245,2)+4)&amp;"-W"&amp;TEXT(WEEKNUM($J1245,21),"00"))</f>
        <v/>
      </c>
      <c r="B1245" s="41">
        <f>IF($J1245="","",COUNTIFS(Roster!$D$4:$D$500,"Active",Roster!$C$4:$C$500,"&lt;="&amp;$J1245))</f>
        <v/>
      </c>
      <c r="C1245">
        <f>IF($J1245="","",SUMIFS('Hours Log'!$C:$C,'Hours Log'!$A:$A,"&gt;="&amp;$J1245,'Hours Log'!$A:$A,"&lt;"&amp;$J1245+7)+SUMIFS('Hours Log'!$D:$D,'Hours Log'!$A:$A,"&gt;="&amp;$J1245,'Hours Log'!$A:$A,"&lt;"&amp;$J1245+7))</f>
        <v/>
      </c>
      <c r="D1245">
        <f>IF($J1245="","",SUMIFS('Hours Log'!$D:$D,'Hours Log'!$A:$A,"&gt;="&amp;$J1245,'Hours Log'!$A:$A,"&lt;"&amp;$J1245+7))</f>
        <v/>
      </c>
      <c r="E1245">
        <f>IF($J1245="","",IFERROR(C1245/(B1245*40),0))</f>
        <v/>
      </c>
      <c r="F1245">
        <f>IF($J1245="","",0)</f>
        <v/>
      </c>
      <c r="G1245">
        <f>IF($J1245="","",SUMIFS('Hours Log'!$E:$E,'Hours Log'!$A:$A,"&gt;="&amp;$J1245,'Hours Log'!$A:$A,"&lt;"&amp;$J1245+7))</f>
        <v/>
      </c>
      <c r="J1245">
        <f>IF(COUNT('Hours Log'!$A$4:$A$5000)=0,"",IF(MIN('Hours Log'!$A$4:$A$5000)+7*(ROW()-10)&gt;MAX('Hours Log'!$A$4:$A$5000),"",MIN('Hours Log'!$A$4:$A$5000)+7*(ROW()-10)))</f>
        <v/>
      </c>
    </row>
    <row r="1246">
      <c r="A1246">
        <f>IF($J1246="","",YEAR($J1246-WEEKDAY($J1246,2)+4)&amp;"-W"&amp;TEXT(WEEKNUM($J1246,21),"00"))</f>
        <v/>
      </c>
      <c r="B1246" s="41">
        <f>IF($J1246="","",COUNTIFS(Roster!$D$4:$D$500,"Active",Roster!$C$4:$C$500,"&lt;="&amp;$J1246))</f>
        <v/>
      </c>
      <c r="C1246">
        <f>IF($J1246="","",SUMIFS('Hours Log'!$C:$C,'Hours Log'!$A:$A,"&gt;="&amp;$J1246,'Hours Log'!$A:$A,"&lt;"&amp;$J1246+7)+SUMIFS('Hours Log'!$D:$D,'Hours Log'!$A:$A,"&gt;="&amp;$J1246,'Hours Log'!$A:$A,"&lt;"&amp;$J1246+7))</f>
        <v/>
      </c>
      <c r="D1246">
        <f>IF($J1246="","",SUMIFS('Hours Log'!$D:$D,'Hours Log'!$A:$A,"&gt;="&amp;$J1246,'Hours Log'!$A:$A,"&lt;"&amp;$J1246+7))</f>
        <v/>
      </c>
      <c r="E1246">
        <f>IF($J1246="","",IFERROR(C1246/(B1246*40),0))</f>
        <v/>
      </c>
      <c r="F1246">
        <f>IF($J1246="","",0)</f>
        <v/>
      </c>
      <c r="G1246">
        <f>IF($J1246="","",SUMIFS('Hours Log'!$E:$E,'Hours Log'!$A:$A,"&gt;="&amp;$J1246,'Hours Log'!$A:$A,"&lt;"&amp;$J1246+7))</f>
        <v/>
      </c>
      <c r="J1246">
        <f>IF(COUNT('Hours Log'!$A$4:$A$5000)=0,"",IF(MIN('Hours Log'!$A$4:$A$5000)+7*(ROW()-10)&gt;MAX('Hours Log'!$A$4:$A$5000),"",MIN('Hours Log'!$A$4:$A$5000)+7*(ROW()-10)))</f>
        <v/>
      </c>
    </row>
    <row r="1247">
      <c r="A1247">
        <f>IF($J1247="","",YEAR($J1247-WEEKDAY($J1247,2)+4)&amp;"-W"&amp;TEXT(WEEKNUM($J1247,21),"00"))</f>
        <v/>
      </c>
      <c r="B1247" s="41">
        <f>IF($J1247="","",COUNTIFS(Roster!$D$4:$D$500,"Active",Roster!$C$4:$C$500,"&lt;="&amp;$J1247))</f>
        <v/>
      </c>
      <c r="C1247">
        <f>IF($J1247="","",SUMIFS('Hours Log'!$C:$C,'Hours Log'!$A:$A,"&gt;="&amp;$J1247,'Hours Log'!$A:$A,"&lt;"&amp;$J1247+7)+SUMIFS('Hours Log'!$D:$D,'Hours Log'!$A:$A,"&gt;="&amp;$J1247,'Hours Log'!$A:$A,"&lt;"&amp;$J1247+7))</f>
        <v/>
      </c>
      <c r="D1247">
        <f>IF($J1247="","",SUMIFS('Hours Log'!$D:$D,'Hours Log'!$A:$A,"&gt;="&amp;$J1247,'Hours Log'!$A:$A,"&lt;"&amp;$J1247+7))</f>
        <v/>
      </c>
      <c r="E1247">
        <f>IF($J1247="","",IFERROR(C1247/(B1247*40),0))</f>
        <v/>
      </c>
      <c r="F1247">
        <f>IF($J1247="","",0)</f>
        <v/>
      </c>
      <c r="G1247">
        <f>IF($J1247="","",SUMIFS('Hours Log'!$E:$E,'Hours Log'!$A:$A,"&gt;="&amp;$J1247,'Hours Log'!$A:$A,"&lt;"&amp;$J1247+7))</f>
        <v/>
      </c>
      <c r="J1247">
        <f>IF(COUNT('Hours Log'!$A$4:$A$5000)=0,"",IF(MIN('Hours Log'!$A$4:$A$5000)+7*(ROW()-10)&gt;MAX('Hours Log'!$A$4:$A$5000),"",MIN('Hours Log'!$A$4:$A$5000)+7*(ROW()-10)))</f>
        <v/>
      </c>
    </row>
    <row r="1248">
      <c r="A1248">
        <f>IF($J1248="","",YEAR($J1248-WEEKDAY($J1248,2)+4)&amp;"-W"&amp;TEXT(WEEKNUM($J1248,21),"00"))</f>
        <v/>
      </c>
      <c r="B1248" s="41">
        <f>IF($J1248="","",COUNTIFS(Roster!$D$4:$D$500,"Active",Roster!$C$4:$C$500,"&lt;="&amp;$J1248))</f>
        <v/>
      </c>
      <c r="C1248">
        <f>IF($J1248="","",SUMIFS('Hours Log'!$C:$C,'Hours Log'!$A:$A,"&gt;="&amp;$J1248,'Hours Log'!$A:$A,"&lt;"&amp;$J1248+7)+SUMIFS('Hours Log'!$D:$D,'Hours Log'!$A:$A,"&gt;="&amp;$J1248,'Hours Log'!$A:$A,"&lt;"&amp;$J1248+7))</f>
        <v/>
      </c>
      <c r="D1248">
        <f>IF($J1248="","",SUMIFS('Hours Log'!$D:$D,'Hours Log'!$A:$A,"&gt;="&amp;$J1248,'Hours Log'!$A:$A,"&lt;"&amp;$J1248+7))</f>
        <v/>
      </c>
      <c r="E1248">
        <f>IF($J1248="","",IFERROR(C1248/(B1248*40),0))</f>
        <v/>
      </c>
      <c r="F1248">
        <f>IF($J1248="","",0)</f>
        <v/>
      </c>
      <c r="G1248">
        <f>IF($J1248="","",SUMIFS('Hours Log'!$E:$E,'Hours Log'!$A:$A,"&gt;="&amp;$J1248,'Hours Log'!$A:$A,"&lt;"&amp;$J1248+7))</f>
        <v/>
      </c>
      <c r="J1248">
        <f>IF(COUNT('Hours Log'!$A$4:$A$5000)=0,"",IF(MIN('Hours Log'!$A$4:$A$5000)+7*(ROW()-10)&gt;MAX('Hours Log'!$A$4:$A$5000),"",MIN('Hours Log'!$A$4:$A$5000)+7*(ROW()-10)))</f>
        <v/>
      </c>
    </row>
    <row r="1249">
      <c r="A1249">
        <f>IF($J1249="","",YEAR($J1249-WEEKDAY($J1249,2)+4)&amp;"-W"&amp;TEXT(WEEKNUM($J1249,21),"00"))</f>
        <v/>
      </c>
      <c r="B1249" s="41">
        <f>IF($J1249="","",COUNTIFS(Roster!$D$4:$D$500,"Active",Roster!$C$4:$C$500,"&lt;="&amp;$J1249))</f>
        <v/>
      </c>
      <c r="C1249">
        <f>IF($J1249="","",SUMIFS('Hours Log'!$C:$C,'Hours Log'!$A:$A,"&gt;="&amp;$J1249,'Hours Log'!$A:$A,"&lt;"&amp;$J1249+7)+SUMIFS('Hours Log'!$D:$D,'Hours Log'!$A:$A,"&gt;="&amp;$J1249,'Hours Log'!$A:$A,"&lt;"&amp;$J1249+7))</f>
        <v/>
      </c>
      <c r="D1249">
        <f>IF($J1249="","",SUMIFS('Hours Log'!$D:$D,'Hours Log'!$A:$A,"&gt;="&amp;$J1249,'Hours Log'!$A:$A,"&lt;"&amp;$J1249+7))</f>
        <v/>
      </c>
      <c r="E1249">
        <f>IF($J1249="","",IFERROR(C1249/(B1249*40),0))</f>
        <v/>
      </c>
      <c r="F1249">
        <f>IF($J1249="","",0)</f>
        <v/>
      </c>
      <c r="G1249">
        <f>IF($J1249="","",SUMIFS('Hours Log'!$E:$E,'Hours Log'!$A:$A,"&gt;="&amp;$J1249,'Hours Log'!$A:$A,"&lt;"&amp;$J1249+7))</f>
        <v/>
      </c>
      <c r="J1249">
        <f>IF(COUNT('Hours Log'!$A$4:$A$5000)=0,"",IF(MIN('Hours Log'!$A$4:$A$5000)+7*(ROW()-10)&gt;MAX('Hours Log'!$A$4:$A$5000),"",MIN('Hours Log'!$A$4:$A$5000)+7*(ROW()-10)))</f>
        <v/>
      </c>
    </row>
    <row r="1250">
      <c r="A1250">
        <f>IF($J1250="","",YEAR($J1250-WEEKDAY($J1250,2)+4)&amp;"-W"&amp;TEXT(WEEKNUM($J1250,21),"00"))</f>
        <v/>
      </c>
      <c r="B1250" s="41">
        <f>IF($J1250="","",COUNTIFS(Roster!$D$4:$D$500,"Active",Roster!$C$4:$C$500,"&lt;="&amp;$J1250))</f>
        <v/>
      </c>
      <c r="C1250">
        <f>IF($J1250="","",SUMIFS('Hours Log'!$C:$C,'Hours Log'!$A:$A,"&gt;="&amp;$J1250,'Hours Log'!$A:$A,"&lt;"&amp;$J1250+7)+SUMIFS('Hours Log'!$D:$D,'Hours Log'!$A:$A,"&gt;="&amp;$J1250,'Hours Log'!$A:$A,"&lt;"&amp;$J1250+7))</f>
        <v/>
      </c>
      <c r="D1250">
        <f>IF($J1250="","",SUMIFS('Hours Log'!$D:$D,'Hours Log'!$A:$A,"&gt;="&amp;$J1250,'Hours Log'!$A:$A,"&lt;"&amp;$J1250+7))</f>
        <v/>
      </c>
      <c r="E1250">
        <f>IF($J1250="","",IFERROR(C1250/(B1250*40),0))</f>
        <v/>
      </c>
      <c r="F1250">
        <f>IF($J1250="","",0)</f>
        <v/>
      </c>
      <c r="G1250">
        <f>IF($J1250="","",SUMIFS('Hours Log'!$E:$E,'Hours Log'!$A:$A,"&gt;="&amp;$J1250,'Hours Log'!$A:$A,"&lt;"&amp;$J1250+7))</f>
        <v/>
      </c>
      <c r="J1250">
        <f>IF(COUNT('Hours Log'!$A$4:$A$5000)=0,"",IF(MIN('Hours Log'!$A$4:$A$5000)+7*(ROW()-10)&gt;MAX('Hours Log'!$A$4:$A$5000),"",MIN('Hours Log'!$A$4:$A$5000)+7*(ROW()-10)))</f>
        <v/>
      </c>
    </row>
    <row r="1251">
      <c r="A1251">
        <f>IF($J1251="","",YEAR($J1251-WEEKDAY($J1251,2)+4)&amp;"-W"&amp;TEXT(WEEKNUM($J1251,21),"00"))</f>
        <v/>
      </c>
      <c r="B1251" s="41">
        <f>IF($J1251="","",COUNTIFS(Roster!$D$4:$D$500,"Active",Roster!$C$4:$C$500,"&lt;="&amp;$J1251))</f>
        <v/>
      </c>
      <c r="C1251">
        <f>IF($J1251="","",SUMIFS('Hours Log'!$C:$C,'Hours Log'!$A:$A,"&gt;="&amp;$J1251,'Hours Log'!$A:$A,"&lt;"&amp;$J1251+7)+SUMIFS('Hours Log'!$D:$D,'Hours Log'!$A:$A,"&gt;="&amp;$J1251,'Hours Log'!$A:$A,"&lt;"&amp;$J1251+7))</f>
        <v/>
      </c>
      <c r="D1251">
        <f>IF($J1251="","",SUMIFS('Hours Log'!$D:$D,'Hours Log'!$A:$A,"&gt;="&amp;$J1251,'Hours Log'!$A:$A,"&lt;"&amp;$J1251+7))</f>
        <v/>
      </c>
      <c r="E1251">
        <f>IF($J1251="","",IFERROR(C1251/(B1251*40),0))</f>
        <v/>
      </c>
      <c r="F1251">
        <f>IF($J1251="","",0)</f>
        <v/>
      </c>
      <c r="G1251">
        <f>IF($J1251="","",SUMIFS('Hours Log'!$E:$E,'Hours Log'!$A:$A,"&gt;="&amp;$J1251,'Hours Log'!$A:$A,"&lt;"&amp;$J1251+7))</f>
        <v/>
      </c>
      <c r="J1251">
        <f>IF(COUNT('Hours Log'!$A$4:$A$5000)=0,"",IF(MIN('Hours Log'!$A$4:$A$5000)+7*(ROW()-10)&gt;MAX('Hours Log'!$A$4:$A$5000),"",MIN('Hours Log'!$A$4:$A$5000)+7*(ROW()-10)))</f>
        <v/>
      </c>
    </row>
    <row r="1252">
      <c r="A1252">
        <f>IF($J1252="","",YEAR($J1252-WEEKDAY($J1252,2)+4)&amp;"-W"&amp;TEXT(WEEKNUM($J1252,21),"00"))</f>
        <v/>
      </c>
      <c r="B1252" s="41">
        <f>IF($J1252="","",COUNTIFS(Roster!$D$4:$D$500,"Active",Roster!$C$4:$C$500,"&lt;="&amp;$J1252))</f>
        <v/>
      </c>
      <c r="C1252">
        <f>IF($J1252="","",SUMIFS('Hours Log'!$C:$C,'Hours Log'!$A:$A,"&gt;="&amp;$J1252,'Hours Log'!$A:$A,"&lt;"&amp;$J1252+7)+SUMIFS('Hours Log'!$D:$D,'Hours Log'!$A:$A,"&gt;="&amp;$J1252,'Hours Log'!$A:$A,"&lt;"&amp;$J1252+7))</f>
        <v/>
      </c>
      <c r="D1252">
        <f>IF($J1252="","",SUMIFS('Hours Log'!$D:$D,'Hours Log'!$A:$A,"&gt;="&amp;$J1252,'Hours Log'!$A:$A,"&lt;"&amp;$J1252+7))</f>
        <v/>
      </c>
      <c r="E1252">
        <f>IF($J1252="","",IFERROR(C1252/(B1252*40),0))</f>
        <v/>
      </c>
      <c r="F1252">
        <f>IF($J1252="","",0)</f>
        <v/>
      </c>
      <c r="G1252">
        <f>IF($J1252="","",SUMIFS('Hours Log'!$E:$E,'Hours Log'!$A:$A,"&gt;="&amp;$J1252,'Hours Log'!$A:$A,"&lt;"&amp;$J1252+7))</f>
        <v/>
      </c>
      <c r="J1252">
        <f>IF(COUNT('Hours Log'!$A$4:$A$5000)=0,"",IF(MIN('Hours Log'!$A$4:$A$5000)+7*(ROW()-10)&gt;MAX('Hours Log'!$A$4:$A$5000),"",MIN('Hours Log'!$A$4:$A$5000)+7*(ROW()-10)))</f>
        <v/>
      </c>
    </row>
    <row r="1253">
      <c r="A1253">
        <f>IF($J1253="","",YEAR($J1253-WEEKDAY($J1253,2)+4)&amp;"-W"&amp;TEXT(WEEKNUM($J1253,21),"00"))</f>
        <v/>
      </c>
      <c r="B1253" s="41">
        <f>IF($J1253="","",COUNTIFS(Roster!$D$4:$D$500,"Active",Roster!$C$4:$C$500,"&lt;="&amp;$J1253))</f>
        <v/>
      </c>
      <c r="C1253">
        <f>IF($J1253="","",SUMIFS('Hours Log'!$C:$C,'Hours Log'!$A:$A,"&gt;="&amp;$J1253,'Hours Log'!$A:$A,"&lt;"&amp;$J1253+7)+SUMIFS('Hours Log'!$D:$D,'Hours Log'!$A:$A,"&gt;="&amp;$J1253,'Hours Log'!$A:$A,"&lt;"&amp;$J1253+7))</f>
        <v/>
      </c>
      <c r="D1253">
        <f>IF($J1253="","",SUMIFS('Hours Log'!$D:$D,'Hours Log'!$A:$A,"&gt;="&amp;$J1253,'Hours Log'!$A:$A,"&lt;"&amp;$J1253+7))</f>
        <v/>
      </c>
      <c r="E1253">
        <f>IF($J1253="","",IFERROR(C1253/(B1253*40),0))</f>
        <v/>
      </c>
      <c r="F1253">
        <f>IF($J1253="","",0)</f>
        <v/>
      </c>
      <c r="G1253">
        <f>IF($J1253="","",SUMIFS('Hours Log'!$E:$E,'Hours Log'!$A:$A,"&gt;="&amp;$J1253,'Hours Log'!$A:$A,"&lt;"&amp;$J1253+7))</f>
        <v/>
      </c>
      <c r="J1253">
        <f>IF(COUNT('Hours Log'!$A$4:$A$5000)=0,"",IF(MIN('Hours Log'!$A$4:$A$5000)+7*(ROW()-10)&gt;MAX('Hours Log'!$A$4:$A$5000),"",MIN('Hours Log'!$A$4:$A$5000)+7*(ROW()-10)))</f>
        <v/>
      </c>
    </row>
    <row r="1254">
      <c r="A1254">
        <f>IF($J1254="","",YEAR($J1254-WEEKDAY($J1254,2)+4)&amp;"-W"&amp;TEXT(WEEKNUM($J1254,21),"00"))</f>
        <v/>
      </c>
      <c r="B1254" s="41">
        <f>IF($J1254="","",COUNTIFS(Roster!$D$4:$D$500,"Active",Roster!$C$4:$C$500,"&lt;="&amp;$J1254))</f>
        <v/>
      </c>
      <c r="C1254">
        <f>IF($J1254="","",SUMIFS('Hours Log'!$C:$C,'Hours Log'!$A:$A,"&gt;="&amp;$J1254,'Hours Log'!$A:$A,"&lt;"&amp;$J1254+7)+SUMIFS('Hours Log'!$D:$D,'Hours Log'!$A:$A,"&gt;="&amp;$J1254,'Hours Log'!$A:$A,"&lt;"&amp;$J1254+7))</f>
        <v/>
      </c>
      <c r="D1254">
        <f>IF($J1254="","",SUMIFS('Hours Log'!$D:$D,'Hours Log'!$A:$A,"&gt;="&amp;$J1254,'Hours Log'!$A:$A,"&lt;"&amp;$J1254+7))</f>
        <v/>
      </c>
      <c r="E1254">
        <f>IF($J1254="","",IFERROR(C1254/(B1254*40),0))</f>
        <v/>
      </c>
      <c r="F1254">
        <f>IF($J1254="","",0)</f>
        <v/>
      </c>
      <c r="G1254">
        <f>IF($J1254="","",SUMIFS('Hours Log'!$E:$E,'Hours Log'!$A:$A,"&gt;="&amp;$J1254,'Hours Log'!$A:$A,"&lt;"&amp;$J1254+7))</f>
        <v/>
      </c>
      <c r="J1254">
        <f>IF(COUNT('Hours Log'!$A$4:$A$5000)=0,"",IF(MIN('Hours Log'!$A$4:$A$5000)+7*(ROW()-10)&gt;MAX('Hours Log'!$A$4:$A$5000),"",MIN('Hours Log'!$A$4:$A$5000)+7*(ROW()-10)))</f>
        <v/>
      </c>
    </row>
    <row r="1255">
      <c r="A1255">
        <f>IF($J1255="","",YEAR($J1255-WEEKDAY($J1255,2)+4)&amp;"-W"&amp;TEXT(WEEKNUM($J1255,21),"00"))</f>
        <v/>
      </c>
      <c r="B1255" s="41">
        <f>IF($J1255="","",COUNTIFS(Roster!$D$4:$D$500,"Active",Roster!$C$4:$C$500,"&lt;="&amp;$J1255))</f>
        <v/>
      </c>
      <c r="C1255">
        <f>IF($J1255="","",SUMIFS('Hours Log'!$C:$C,'Hours Log'!$A:$A,"&gt;="&amp;$J1255,'Hours Log'!$A:$A,"&lt;"&amp;$J1255+7)+SUMIFS('Hours Log'!$D:$D,'Hours Log'!$A:$A,"&gt;="&amp;$J1255,'Hours Log'!$A:$A,"&lt;"&amp;$J1255+7))</f>
        <v/>
      </c>
      <c r="D1255">
        <f>IF($J1255="","",SUMIFS('Hours Log'!$D:$D,'Hours Log'!$A:$A,"&gt;="&amp;$J1255,'Hours Log'!$A:$A,"&lt;"&amp;$J1255+7))</f>
        <v/>
      </c>
      <c r="E1255">
        <f>IF($J1255="","",IFERROR(C1255/(B1255*40),0))</f>
        <v/>
      </c>
      <c r="F1255">
        <f>IF($J1255="","",0)</f>
        <v/>
      </c>
      <c r="G1255">
        <f>IF($J1255="","",SUMIFS('Hours Log'!$E:$E,'Hours Log'!$A:$A,"&gt;="&amp;$J1255,'Hours Log'!$A:$A,"&lt;"&amp;$J1255+7))</f>
        <v/>
      </c>
      <c r="J1255">
        <f>IF(COUNT('Hours Log'!$A$4:$A$5000)=0,"",IF(MIN('Hours Log'!$A$4:$A$5000)+7*(ROW()-10)&gt;MAX('Hours Log'!$A$4:$A$5000),"",MIN('Hours Log'!$A$4:$A$5000)+7*(ROW()-10)))</f>
        <v/>
      </c>
    </row>
    <row r="1256">
      <c r="A1256">
        <f>IF($J1256="","",YEAR($J1256-WEEKDAY($J1256,2)+4)&amp;"-W"&amp;TEXT(WEEKNUM($J1256,21),"00"))</f>
        <v/>
      </c>
      <c r="B1256" s="41">
        <f>IF($J1256="","",COUNTIFS(Roster!$D$4:$D$500,"Active",Roster!$C$4:$C$500,"&lt;="&amp;$J1256))</f>
        <v/>
      </c>
      <c r="C1256">
        <f>IF($J1256="","",SUMIFS('Hours Log'!$C:$C,'Hours Log'!$A:$A,"&gt;="&amp;$J1256,'Hours Log'!$A:$A,"&lt;"&amp;$J1256+7)+SUMIFS('Hours Log'!$D:$D,'Hours Log'!$A:$A,"&gt;="&amp;$J1256,'Hours Log'!$A:$A,"&lt;"&amp;$J1256+7))</f>
        <v/>
      </c>
      <c r="D1256">
        <f>IF($J1256="","",SUMIFS('Hours Log'!$D:$D,'Hours Log'!$A:$A,"&gt;="&amp;$J1256,'Hours Log'!$A:$A,"&lt;"&amp;$J1256+7))</f>
        <v/>
      </c>
      <c r="E1256">
        <f>IF($J1256="","",IFERROR(C1256/(B1256*40),0))</f>
        <v/>
      </c>
      <c r="F1256">
        <f>IF($J1256="","",0)</f>
        <v/>
      </c>
      <c r="G1256">
        <f>IF($J1256="","",SUMIFS('Hours Log'!$E:$E,'Hours Log'!$A:$A,"&gt;="&amp;$J1256,'Hours Log'!$A:$A,"&lt;"&amp;$J1256+7))</f>
        <v/>
      </c>
      <c r="J1256">
        <f>IF(COUNT('Hours Log'!$A$4:$A$5000)=0,"",IF(MIN('Hours Log'!$A$4:$A$5000)+7*(ROW()-10)&gt;MAX('Hours Log'!$A$4:$A$5000),"",MIN('Hours Log'!$A$4:$A$5000)+7*(ROW()-10)))</f>
        <v/>
      </c>
    </row>
    <row r="1257">
      <c r="A1257">
        <f>IF($J1257="","",YEAR($J1257-WEEKDAY($J1257,2)+4)&amp;"-W"&amp;TEXT(WEEKNUM($J1257,21),"00"))</f>
        <v/>
      </c>
      <c r="B1257" s="41">
        <f>IF($J1257="","",COUNTIFS(Roster!$D$4:$D$500,"Active",Roster!$C$4:$C$500,"&lt;="&amp;$J1257))</f>
        <v/>
      </c>
      <c r="C1257">
        <f>IF($J1257="","",SUMIFS('Hours Log'!$C:$C,'Hours Log'!$A:$A,"&gt;="&amp;$J1257,'Hours Log'!$A:$A,"&lt;"&amp;$J1257+7)+SUMIFS('Hours Log'!$D:$D,'Hours Log'!$A:$A,"&gt;="&amp;$J1257,'Hours Log'!$A:$A,"&lt;"&amp;$J1257+7))</f>
        <v/>
      </c>
      <c r="D1257">
        <f>IF($J1257="","",SUMIFS('Hours Log'!$D:$D,'Hours Log'!$A:$A,"&gt;="&amp;$J1257,'Hours Log'!$A:$A,"&lt;"&amp;$J1257+7))</f>
        <v/>
      </c>
      <c r="E1257">
        <f>IF($J1257="","",IFERROR(C1257/(B1257*40),0))</f>
        <v/>
      </c>
      <c r="F1257">
        <f>IF($J1257="","",0)</f>
        <v/>
      </c>
      <c r="G1257">
        <f>IF($J1257="","",SUMIFS('Hours Log'!$E:$E,'Hours Log'!$A:$A,"&gt;="&amp;$J1257,'Hours Log'!$A:$A,"&lt;"&amp;$J1257+7))</f>
        <v/>
      </c>
      <c r="J1257">
        <f>IF(COUNT('Hours Log'!$A$4:$A$5000)=0,"",IF(MIN('Hours Log'!$A$4:$A$5000)+7*(ROW()-10)&gt;MAX('Hours Log'!$A$4:$A$5000),"",MIN('Hours Log'!$A$4:$A$5000)+7*(ROW()-10)))</f>
        <v/>
      </c>
    </row>
    <row r="1258">
      <c r="A1258">
        <f>IF($J1258="","",YEAR($J1258-WEEKDAY($J1258,2)+4)&amp;"-W"&amp;TEXT(WEEKNUM($J1258,21),"00"))</f>
        <v/>
      </c>
      <c r="B1258" s="41">
        <f>IF($J1258="","",COUNTIFS(Roster!$D$4:$D$500,"Active",Roster!$C$4:$C$500,"&lt;="&amp;$J1258))</f>
        <v/>
      </c>
      <c r="C1258">
        <f>IF($J1258="","",SUMIFS('Hours Log'!$C:$C,'Hours Log'!$A:$A,"&gt;="&amp;$J1258,'Hours Log'!$A:$A,"&lt;"&amp;$J1258+7)+SUMIFS('Hours Log'!$D:$D,'Hours Log'!$A:$A,"&gt;="&amp;$J1258,'Hours Log'!$A:$A,"&lt;"&amp;$J1258+7))</f>
        <v/>
      </c>
      <c r="D1258">
        <f>IF($J1258="","",SUMIFS('Hours Log'!$D:$D,'Hours Log'!$A:$A,"&gt;="&amp;$J1258,'Hours Log'!$A:$A,"&lt;"&amp;$J1258+7))</f>
        <v/>
      </c>
      <c r="E1258">
        <f>IF($J1258="","",IFERROR(C1258/(B1258*40),0))</f>
        <v/>
      </c>
      <c r="F1258">
        <f>IF($J1258="","",0)</f>
        <v/>
      </c>
      <c r="G1258">
        <f>IF($J1258="","",SUMIFS('Hours Log'!$E:$E,'Hours Log'!$A:$A,"&gt;="&amp;$J1258,'Hours Log'!$A:$A,"&lt;"&amp;$J1258+7))</f>
        <v/>
      </c>
      <c r="J1258">
        <f>IF(COUNT('Hours Log'!$A$4:$A$5000)=0,"",IF(MIN('Hours Log'!$A$4:$A$5000)+7*(ROW()-10)&gt;MAX('Hours Log'!$A$4:$A$5000),"",MIN('Hours Log'!$A$4:$A$5000)+7*(ROW()-10)))</f>
        <v/>
      </c>
    </row>
    <row r="1259">
      <c r="A1259">
        <f>IF($J1259="","",YEAR($J1259-WEEKDAY($J1259,2)+4)&amp;"-W"&amp;TEXT(WEEKNUM($J1259,21),"00"))</f>
        <v/>
      </c>
      <c r="B1259" s="41">
        <f>IF($J1259="","",COUNTIFS(Roster!$D$4:$D$500,"Active",Roster!$C$4:$C$500,"&lt;="&amp;$J1259))</f>
        <v/>
      </c>
      <c r="C1259">
        <f>IF($J1259="","",SUMIFS('Hours Log'!$C:$C,'Hours Log'!$A:$A,"&gt;="&amp;$J1259,'Hours Log'!$A:$A,"&lt;"&amp;$J1259+7)+SUMIFS('Hours Log'!$D:$D,'Hours Log'!$A:$A,"&gt;="&amp;$J1259,'Hours Log'!$A:$A,"&lt;"&amp;$J1259+7))</f>
        <v/>
      </c>
      <c r="D1259">
        <f>IF($J1259="","",SUMIFS('Hours Log'!$D:$D,'Hours Log'!$A:$A,"&gt;="&amp;$J1259,'Hours Log'!$A:$A,"&lt;"&amp;$J1259+7))</f>
        <v/>
      </c>
      <c r="E1259">
        <f>IF($J1259="","",IFERROR(C1259/(B1259*40),0))</f>
        <v/>
      </c>
      <c r="F1259">
        <f>IF($J1259="","",0)</f>
        <v/>
      </c>
      <c r="G1259">
        <f>IF($J1259="","",SUMIFS('Hours Log'!$E:$E,'Hours Log'!$A:$A,"&gt;="&amp;$J1259,'Hours Log'!$A:$A,"&lt;"&amp;$J1259+7))</f>
        <v/>
      </c>
      <c r="J1259">
        <f>IF(COUNT('Hours Log'!$A$4:$A$5000)=0,"",IF(MIN('Hours Log'!$A$4:$A$5000)+7*(ROW()-10)&gt;MAX('Hours Log'!$A$4:$A$5000),"",MIN('Hours Log'!$A$4:$A$5000)+7*(ROW()-10)))</f>
        <v/>
      </c>
    </row>
    <row r="1260">
      <c r="A1260">
        <f>IF($J1260="","",YEAR($J1260-WEEKDAY($J1260,2)+4)&amp;"-W"&amp;TEXT(WEEKNUM($J1260,21),"00"))</f>
        <v/>
      </c>
      <c r="B1260" s="41">
        <f>IF($J1260="","",COUNTIFS(Roster!$D$4:$D$500,"Active",Roster!$C$4:$C$500,"&lt;="&amp;$J1260))</f>
        <v/>
      </c>
      <c r="C1260">
        <f>IF($J1260="","",SUMIFS('Hours Log'!$C:$C,'Hours Log'!$A:$A,"&gt;="&amp;$J1260,'Hours Log'!$A:$A,"&lt;"&amp;$J1260+7)+SUMIFS('Hours Log'!$D:$D,'Hours Log'!$A:$A,"&gt;="&amp;$J1260,'Hours Log'!$A:$A,"&lt;"&amp;$J1260+7))</f>
        <v/>
      </c>
      <c r="D1260">
        <f>IF($J1260="","",SUMIFS('Hours Log'!$D:$D,'Hours Log'!$A:$A,"&gt;="&amp;$J1260,'Hours Log'!$A:$A,"&lt;"&amp;$J1260+7))</f>
        <v/>
      </c>
      <c r="E1260">
        <f>IF($J1260="","",IFERROR(C1260/(B1260*40),0))</f>
        <v/>
      </c>
      <c r="F1260">
        <f>IF($J1260="","",0)</f>
        <v/>
      </c>
      <c r="G1260">
        <f>IF($J1260="","",SUMIFS('Hours Log'!$E:$E,'Hours Log'!$A:$A,"&gt;="&amp;$J1260,'Hours Log'!$A:$A,"&lt;"&amp;$J1260+7))</f>
        <v/>
      </c>
      <c r="J1260">
        <f>IF(COUNT('Hours Log'!$A$4:$A$5000)=0,"",IF(MIN('Hours Log'!$A$4:$A$5000)+7*(ROW()-10)&gt;MAX('Hours Log'!$A$4:$A$5000),"",MIN('Hours Log'!$A$4:$A$5000)+7*(ROW()-10)))</f>
        <v/>
      </c>
    </row>
    <row r="1261">
      <c r="A1261">
        <f>IF($J1261="","",YEAR($J1261-WEEKDAY($J1261,2)+4)&amp;"-W"&amp;TEXT(WEEKNUM($J1261,21),"00"))</f>
        <v/>
      </c>
      <c r="B1261" s="41">
        <f>IF($J1261="","",COUNTIFS(Roster!$D$4:$D$500,"Active",Roster!$C$4:$C$500,"&lt;="&amp;$J1261))</f>
        <v/>
      </c>
      <c r="C1261">
        <f>IF($J1261="","",SUMIFS('Hours Log'!$C:$C,'Hours Log'!$A:$A,"&gt;="&amp;$J1261,'Hours Log'!$A:$A,"&lt;"&amp;$J1261+7)+SUMIFS('Hours Log'!$D:$D,'Hours Log'!$A:$A,"&gt;="&amp;$J1261,'Hours Log'!$A:$A,"&lt;"&amp;$J1261+7))</f>
        <v/>
      </c>
      <c r="D1261">
        <f>IF($J1261="","",SUMIFS('Hours Log'!$D:$D,'Hours Log'!$A:$A,"&gt;="&amp;$J1261,'Hours Log'!$A:$A,"&lt;"&amp;$J1261+7))</f>
        <v/>
      </c>
      <c r="E1261">
        <f>IF($J1261="","",IFERROR(C1261/(B1261*40),0))</f>
        <v/>
      </c>
      <c r="F1261">
        <f>IF($J1261="","",0)</f>
        <v/>
      </c>
      <c r="G1261">
        <f>IF($J1261="","",SUMIFS('Hours Log'!$E:$E,'Hours Log'!$A:$A,"&gt;="&amp;$J1261,'Hours Log'!$A:$A,"&lt;"&amp;$J1261+7))</f>
        <v/>
      </c>
      <c r="J1261">
        <f>IF(COUNT('Hours Log'!$A$4:$A$5000)=0,"",IF(MIN('Hours Log'!$A$4:$A$5000)+7*(ROW()-10)&gt;MAX('Hours Log'!$A$4:$A$5000),"",MIN('Hours Log'!$A$4:$A$5000)+7*(ROW()-10)))</f>
        <v/>
      </c>
    </row>
    <row r="1262">
      <c r="A1262">
        <f>IF($J1262="","",YEAR($J1262-WEEKDAY($J1262,2)+4)&amp;"-W"&amp;TEXT(WEEKNUM($J1262,21),"00"))</f>
        <v/>
      </c>
      <c r="B1262" s="41">
        <f>IF($J1262="","",COUNTIFS(Roster!$D$4:$D$500,"Active",Roster!$C$4:$C$500,"&lt;="&amp;$J1262))</f>
        <v/>
      </c>
      <c r="C1262">
        <f>IF($J1262="","",SUMIFS('Hours Log'!$C:$C,'Hours Log'!$A:$A,"&gt;="&amp;$J1262,'Hours Log'!$A:$A,"&lt;"&amp;$J1262+7)+SUMIFS('Hours Log'!$D:$D,'Hours Log'!$A:$A,"&gt;="&amp;$J1262,'Hours Log'!$A:$A,"&lt;"&amp;$J1262+7))</f>
        <v/>
      </c>
      <c r="D1262">
        <f>IF($J1262="","",SUMIFS('Hours Log'!$D:$D,'Hours Log'!$A:$A,"&gt;="&amp;$J1262,'Hours Log'!$A:$A,"&lt;"&amp;$J1262+7))</f>
        <v/>
      </c>
      <c r="E1262">
        <f>IF($J1262="","",IFERROR(C1262/(B1262*40),0))</f>
        <v/>
      </c>
      <c r="F1262">
        <f>IF($J1262="","",0)</f>
        <v/>
      </c>
      <c r="G1262">
        <f>IF($J1262="","",SUMIFS('Hours Log'!$E:$E,'Hours Log'!$A:$A,"&gt;="&amp;$J1262,'Hours Log'!$A:$A,"&lt;"&amp;$J1262+7))</f>
        <v/>
      </c>
      <c r="J1262">
        <f>IF(COUNT('Hours Log'!$A$4:$A$5000)=0,"",IF(MIN('Hours Log'!$A$4:$A$5000)+7*(ROW()-10)&gt;MAX('Hours Log'!$A$4:$A$5000),"",MIN('Hours Log'!$A$4:$A$5000)+7*(ROW()-10)))</f>
        <v/>
      </c>
    </row>
    <row r="1263">
      <c r="A1263">
        <f>IF($J1263="","",YEAR($J1263-WEEKDAY($J1263,2)+4)&amp;"-W"&amp;TEXT(WEEKNUM($J1263,21),"00"))</f>
        <v/>
      </c>
      <c r="B1263" s="41">
        <f>IF($J1263="","",COUNTIFS(Roster!$D$4:$D$500,"Active",Roster!$C$4:$C$500,"&lt;="&amp;$J1263))</f>
        <v/>
      </c>
      <c r="C1263">
        <f>IF($J1263="","",SUMIFS('Hours Log'!$C:$C,'Hours Log'!$A:$A,"&gt;="&amp;$J1263,'Hours Log'!$A:$A,"&lt;"&amp;$J1263+7)+SUMIFS('Hours Log'!$D:$D,'Hours Log'!$A:$A,"&gt;="&amp;$J1263,'Hours Log'!$A:$A,"&lt;"&amp;$J1263+7))</f>
        <v/>
      </c>
      <c r="D1263">
        <f>IF($J1263="","",SUMIFS('Hours Log'!$D:$D,'Hours Log'!$A:$A,"&gt;="&amp;$J1263,'Hours Log'!$A:$A,"&lt;"&amp;$J1263+7))</f>
        <v/>
      </c>
      <c r="E1263">
        <f>IF($J1263="","",IFERROR(C1263/(B1263*40),0))</f>
        <v/>
      </c>
      <c r="F1263">
        <f>IF($J1263="","",0)</f>
        <v/>
      </c>
      <c r="G1263">
        <f>IF($J1263="","",SUMIFS('Hours Log'!$E:$E,'Hours Log'!$A:$A,"&gt;="&amp;$J1263,'Hours Log'!$A:$A,"&lt;"&amp;$J1263+7))</f>
        <v/>
      </c>
      <c r="J1263">
        <f>IF(COUNT('Hours Log'!$A$4:$A$5000)=0,"",IF(MIN('Hours Log'!$A$4:$A$5000)+7*(ROW()-10)&gt;MAX('Hours Log'!$A$4:$A$5000),"",MIN('Hours Log'!$A$4:$A$5000)+7*(ROW()-10)))</f>
        <v/>
      </c>
    </row>
    <row r="1264">
      <c r="A1264">
        <f>IF($J1264="","",YEAR($J1264-WEEKDAY($J1264,2)+4)&amp;"-W"&amp;TEXT(WEEKNUM($J1264,21),"00"))</f>
        <v/>
      </c>
      <c r="B1264" s="41">
        <f>IF($J1264="","",COUNTIFS(Roster!$D$4:$D$500,"Active",Roster!$C$4:$C$500,"&lt;="&amp;$J1264))</f>
        <v/>
      </c>
      <c r="C1264">
        <f>IF($J1264="","",SUMIFS('Hours Log'!$C:$C,'Hours Log'!$A:$A,"&gt;="&amp;$J1264,'Hours Log'!$A:$A,"&lt;"&amp;$J1264+7)+SUMIFS('Hours Log'!$D:$D,'Hours Log'!$A:$A,"&gt;="&amp;$J1264,'Hours Log'!$A:$A,"&lt;"&amp;$J1264+7))</f>
        <v/>
      </c>
      <c r="D1264">
        <f>IF($J1264="","",SUMIFS('Hours Log'!$D:$D,'Hours Log'!$A:$A,"&gt;="&amp;$J1264,'Hours Log'!$A:$A,"&lt;"&amp;$J1264+7))</f>
        <v/>
      </c>
      <c r="E1264">
        <f>IF($J1264="","",IFERROR(C1264/(B1264*40),0))</f>
        <v/>
      </c>
      <c r="F1264">
        <f>IF($J1264="","",0)</f>
        <v/>
      </c>
      <c r="G1264">
        <f>IF($J1264="","",SUMIFS('Hours Log'!$E:$E,'Hours Log'!$A:$A,"&gt;="&amp;$J1264,'Hours Log'!$A:$A,"&lt;"&amp;$J1264+7))</f>
        <v/>
      </c>
      <c r="J1264">
        <f>IF(COUNT('Hours Log'!$A$4:$A$5000)=0,"",IF(MIN('Hours Log'!$A$4:$A$5000)+7*(ROW()-10)&gt;MAX('Hours Log'!$A$4:$A$5000),"",MIN('Hours Log'!$A$4:$A$5000)+7*(ROW()-10)))</f>
        <v/>
      </c>
    </row>
    <row r="1265">
      <c r="A1265">
        <f>IF($J1265="","",YEAR($J1265-WEEKDAY($J1265,2)+4)&amp;"-W"&amp;TEXT(WEEKNUM($J1265,21),"00"))</f>
        <v/>
      </c>
      <c r="B1265" s="41">
        <f>IF($J1265="","",COUNTIFS(Roster!$D$4:$D$500,"Active",Roster!$C$4:$C$500,"&lt;="&amp;$J1265))</f>
        <v/>
      </c>
      <c r="C1265">
        <f>IF($J1265="","",SUMIFS('Hours Log'!$C:$C,'Hours Log'!$A:$A,"&gt;="&amp;$J1265,'Hours Log'!$A:$A,"&lt;"&amp;$J1265+7)+SUMIFS('Hours Log'!$D:$D,'Hours Log'!$A:$A,"&gt;="&amp;$J1265,'Hours Log'!$A:$A,"&lt;"&amp;$J1265+7))</f>
        <v/>
      </c>
      <c r="D1265">
        <f>IF($J1265="","",SUMIFS('Hours Log'!$D:$D,'Hours Log'!$A:$A,"&gt;="&amp;$J1265,'Hours Log'!$A:$A,"&lt;"&amp;$J1265+7))</f>
        <v/>
      </c>
      <c r="E1265">
        <f>IF($J1265="","",IFERROR(C1265/(B1265*40),0))</f>
        <v/>
      </c>
      <c r="F1265">
        <f>IF($J1265="","",0)</f>
        <v/>
      </c>
      <c r="G1265">
        <f>IF($J1265="","",SUMIFS('Hours Log'!$E:$E,'Hours Log'!$A:$A,"&gt;="&amp;$J1265,'Hours Log'!$A:$A,"&lt;"&amp;$J1265+7))</f>
        <v/>
      </c>
      <c r="J1265">
        <f>IF(COUNT('Hours Log'!$A$4:$A$5000)=0,"",IF(MIN('Hours Log'!$A$4:$A$5000)+7*(ROW()-10)&gt;MAX('Hours Log'!$A$4:$A$5000),"",MIN('Hours Log'!$A$4:$A$5000)+7*(ROW()-10)))</f>
        <v/>
      </c>
    </row>
    <row r="1266">
      <c r="A1266">
        <f>IF($J1266="","",YEAR($J1266-WEEKDAY($J1266,2)+4)&amp;"-W"&amp;TEXT(WEEKNUM($J1266,21),"00"))</f>
        <v/>
      </c>
      <c r="B1266" s="41">
        <f>IF($J1266="","",COUNTIFS(Roster!$D$4:$D$500,"Active",Roster!$C$4:$C$500,"&lt;="&amp;$J1266))</f>
        <v/>
      </c>
      <c r="C1266">
        <f>IF($J1266="","",SUMIFS('Hours Log'!$C:$C,'Hours Log'!$A:$A,"&gt;="&amp;$J1266,'Hours Log'!$A:$A,"&lt;"&amp;$J1266+7)+SUMIFS('Hours Log'!$D:$D,'Hours Log'!$A:$A,"&gt;="&amp;$J1266,'Hours Log'!$A:$A,"&lt;"&amp;$J1266+7))</f>
        <v/>
      </c>
      <c r="D1266">
        <f>IF($J1266="","",SUMIFS('Hours Log'!$D:$D,'Hours Log'!$A:$A,"&gt;="&amp;$J1266,'Hours Log'!$A:$A,"&lt;"&amp;$J1266+7))</f>
        <v/>
      </c>
      <c r="E1266">
        <f>IF($J1266="","",IFERROR(C1266/(B1266*40),0))</f>
        <v/>
      </c>
      <c r="F1266">
        <f>IF($J1266="","",0)</f>
        <v/>
      </c>
      <c r="G1266">
        <f>IF($J1266="","",SUMIFS('Hours Log'!$E:$E,'Hours Log'!$A:$A,"&gt;="&amp;$J1266,'Hours Log'!$A:$A,"&lt;"&amp;$J1266+7))</f>
        <v/>
      </c>
      <c r="J1266">
        <f>IF(COUNT('Hours Log'!$A$4:$A$5000)=0,"",IF(MIN('Hours Log'!$A$4:$A$5000)+7*(ROW()-10)&gt;MAX('Hours Log'!$A$4:$A$5000),"",MIN('Hours Log'!$A$4:$A$5000)+7*(ROW()-10)))</f>
        <v/>
      </c>
    </row>
    <row r="1267">
      <c r="A1267">
        <f>IF($J1267="","",YEAR($J1267-WEEKDAY($J1267,2)+4)&amp;"-W"&amp;TEXT(WEEKNUM($J1267,21),"00"))</f>
        <v/>
      </c>
      <c r="B1267" s="41">
        <f>IF($J1267="","",COUNTIFS(Roster!$D$4:$D$500,"Active",Roster!$C$4:$C$500,"&lt;="&amp;$J1267))</f>
        <v/>
      </c>
      <c r="C1267">
        <f>IF($J1267="","",SUMIFS('Hours Log'!$C:$C,'Hours Log'!$A:$A,"&gt;="&amp;$J1267,'Hours Log'!$A:$A,"&lt;"&amp;$J1267+7)+SUMIFS('Hours Log'!$D:$D,'Hours Log'!$A:$A,"&gt;="&amp;$J1267,'Hours Log'!$A:$A,"&lt;"&amp;$J1267+7))</f>
        <v/>
      </c>
      <c r="D1267">
        <f>IF($J1267="","",SUMIFS('Hours Log'!$D:$D,'Hours Log'!$A:$A,"&gt;="&amp;$J1267,'Hours Log'!$A:$A,"&lt;"&amp;$J1267+7))</f>
        <v/>
      </c>
      <c r="E1267">
        <f>IF($J1267="","",IFERROR(C1267/(B1267*40),0))</f>
        <v/>
      </c>
      <c r="F1267">
        <f>IF($J1267="","",0)</f>
        <v/>
      </c>
      <c r="G1267">
        <f>IF($J1267="","",SUMIFS('Hours Log'!$E:$E,'Hours Log'!$A:$A,"&gt;="&amp;$J1267,'Hours Log'!$A:$A,"&lt;"&amp;$J1267+7))</f>
        <v/>
      </c>
      <c r="J1267">
        <f>IF(COUNT('Hours Log'!$A$4:$A$5000)=0,"",IF(MIN('Hours Log'!$A$4:$A$5000)+7*(ROW()-10)&gt;MAX('Hours Log'!$A$4:$A$5000),"",MIN('Hours Log'!$A$4:$A$5000)+7*(ROW()-10)))</f>
        <v/>
      </c>
    </row>
    <row r="1268">
      <c r="A1268">
        <f>IF($J1268="","",YEAR($J1268-WEEKDAY($J1268,2)+4)&amp;"-W"&amp;TEXT(WEEKNUM($J1268,21),"00"))</f>
        <v/>
      </c>
      <c r="B1268" s="41">
        <f>IF($J1268="","",COUNTIFS(Roster!$D$4:$D$500,"Active",Roster!$C$4:$C$500,"&lt;="&amp;$J1268))</f>
        <v/>
      </c>
      <c r="C1268">
        <f>IF($J1268="","",SUMIFS('Hours Log'!$C:$C,'Hours Log'!$A:$A,"&gt;="&amp;$J1268,'Hours Log'!$A:$A,"&lt;"&amp;$J1268+7)+SUMIFS('Hours Log'!$D:$D,'Hours Log'!$A:$A,"&gt;="&amp;$J1268,'Hours Log'!$A:$A,"&lt;"&amp;$J1268+7))</f>
        <v/>
      </c>
      <c r="D1268">
        <f>IF($J1268="","",SUMIFS('Hours Log'!$D:$D,'Hours Log'!$A:$A,"&gt;="&amp;$J1268,'Hours Log'!$A:$A,"&lt;"&amp;$J1268+7))</f>
        <v/>
      </c>
      <c r="E1268">
        <f>IF($J1268="","",IFERROR(C1268/(B1268*40),0))</f>
        <v/>
      </c>
      <c r="F1268">
        <f>IF($J1268="","",0)</f>
        <v/>
      </c>
      <c r="G1268">
        <f>IF($J1268="","",SUMIFS('Hours Log'!$E:$E,'Hours Log'!$A:$A,"&gt;="&amp;$J1268,'Hours Log'!$A:$A,"&lt;"&amp;$J1268+7))</f>
        <v/>
      </c>
      <c r="J1268">
        <f>IF(COUNT('Hours Log'!$A$4:$A$5000)=0,"",IF(MIN('Hours Log'!$A$4:$A$5000)+7*(ROW()-10)&gt;MAX('Hours Log'!$A$4:$A$5000),"",MIN('Hours Log'!$A$4:$A$5000)+7*(ROW()-10)))</f>
        <v/>
      </c>
    </row>
    <row r="1269">
      <c r="A1269">
        <f>IF($J1269="","",YEAR($J1269-WEEKDAY($J1269,2)+4)&amp;"-W"&amp;TEXT(WEEKNUM($J1269,21),"00"))</f>
        <v/>
      </c>
      <c r="B1269" s="41">
        <f>IF($J1269="","",COUNTIFS(Roster!$D$4:$D$500,"Active",Roster!$C$4:$C$500,"&lt;="&amp;$J1269))</f>
        <v/>
      </c>
      <c r="C1269">
        <f>IF($J1269="","",SUMIFS('Hours Log'!$C:$C,'Hours Log'!$A:$A,"&gt;="&amp;$J1269,'Hours Log'!$A:$A,"&lt;"&amp;$J1269+7)+SUMIFS('Hours Log'!$D:$D,'Hours Log'!$A:$A,"&gt;="&amp;$J1269,'Hours Log'!$A:$A,"&lt;"&amp;$J1269+7))</f>
        <v/>
      </c>
      <c r="D1269">
        <f>IF($J1269="","",SUMIFS('Hours Log'!$D:$D,'Hours Log'!$A:$A,"&gt;="&amp;$J1269,'Hours Log'!$A:$A,"&lt;"&amp;$J1269+7))</f>
        <v/>
      </c>
      <c r="E1269">
        <f>IF($J1269="","",IFERROR(C1269/(B1269*40),0))</f>
        <v/>
      </c>
      <c r="F1269">
        <f>IF($J1269="","",0)</f>
        <v/>
      </c>
      <c r="G1269">
        <f>IF($J1269="","",SUMIFS('Hours Log'!$E:$E,'Hours Log'!$A:$A,"&gt;="&amp;$J1269,'Hours Log'!$A:$A,"&lt;"&amp;$J1269+7))</f>
        <v/>
      </c>
      <c r="J1269">
        <f>IF(COUNT('Hours Log'!$A$4:$A$5000)=0,"",IF(MIN('Hours Log'!$A$4:$A$5000)+7*(ROW()-10)&gt;MAX('Hours Log'!$A$4:$A$5000),"",MIN('Hours Log'!$A$4:$A$5000)+7*(ROW()-10)))</f>
        <v/>
      </c>
    </row>
    <row r="1270">
      <c r="A1270">
        <f>IF($J1270="","",YEAR($J1270-WEEKDAY($J1270,2)+4)&amp;"-W"&amp;TEXT(WEEKNUM($J1270,21),"00"))</f>
        <v/>
      </c>
      <c r="B1270" s="41">
        <f>IF($J1270="","",COUNTIFS(Roster!$D$4:$D$500,"Active",Roster!$C$4:$C$500,"&lt;="&amp;$J1270))</f>
        <v/>
      </c>
      <c r="C1270">
        <f>IF($J1270="","",SUMIFS('Hours Log'!$C:$C,'Hours Log'!$A:$A,"&gt;="&amp;$J1270,'Hours Log'!$A:$A,"&lt;"&amp;$J1270+7)+SUMIFS('Hours Log'!$D:$D,'Hours Log'!$A:$A,"&gt;="&amp;$J1270,'Hours Log'!$A:$A,"&lt;"&amp;$J1270+7))</f>
        <v/>
      </c>
      <c r="D1270">
        <f>IF($J1270="","",SUMIFS('Hours Log'!$D:$D,'Hours Log'!$A:$A,"&gt;="&amp;$J1270,'Hours Log'!$A:$A,"&lt;"&amp;$J1270+7))</f>
        <v/>
      </c>
      <c r="E1270">
        <f>IF($J1270="","",IFERROR(C1270/(B1270*40),0))</f>
        <v/>
      </c>
      <c r="F1270">
        <f>IF($J1270="","",0)</f>
        <v/>
      </c>
      <c r="G1270">
        <f>IF($J1270="","",SUMIFS('Hours Log'!$E:$E,'Hours Log'!$A:$A,"&gt;="&amp;$J1270,'Hours Log'!$A:$A,"&lt;"&amp;$J1270+7))</f>
        <v/>
      </c>
      <c r="J1270">
        <f>IF(COUNT('Hours Log'!$A$4:$A$5000)=0,"",IF(MIN('Hours Log'!$A$4:$A$5000)+7*(ROW()-10)&gt;MAX('Hours Log'!$A$4:$A$5000),"",MIN('Hours Log'!$A$4:$A$5000)+7*(ROW()-10)))</f>
        <v/>
      </c>
    </row>
    <row r="1271">
      <c r="A1271">
        <f>IF($J1271="","",YEAR($J1271-WEEKDAY($J1271,2)+4)&amp;"-W"&amp;TEXT(WEEKNUM($J1271,21),"00"))</f>
        <v/>
      </c>
      <c r="B1271" s="41">
        <f>IF($J1271="","",COUNTIFS(Roster!$D$4:$D$500,"Active",Roster!$C$4:$C$500,"&lt;="&amp;$J1271))</f>
        <v/>
      </c>
      <c r="C1271">
        <f>IF($J1271="","",SUMIFS('Hours Log'!$C:$C,'Hours Log'!$A:$A,"&gt;="&amp;$J1271,'Hours Log'!$A:$A,"&lt;"&amp;$J1271+7)+SUMIFS('Hours Log'!$D:$D,'Hours Log'!$A:$A,"&gt;="&amp;$J1271,'Hours Log'!$A:$A,"&lt;"&amp;$J1271+7))</f>
        <v/>
      </c>
      <c r="D1271">
        <f>IF($J1271="","",SUMIFS('Hours Log'!$D:$D,'Hours Log'!$A:$A,"&gt;="&amp;$J1271,'Hours Log'!$A:$A,"&lt;"&amp;$J1271+7))</f>
        <v/>
      </c>
      <c r="E1271">
        <f>IF($J1271="","",IFERROR(C1271/(B1271*40),0))</f>
        <v/>
      </c>
      <c r="F1271">
        <f>IF($J1271="","",0)</f>
        <v/>
      </c>
      <c r="G1271">
        <f>IF($J1271="","",SUMIFS('Hours Log'!$E:$E,'Hours Log'!$A:$A,"&gt;="&amp;$J1271,'Hours Log'!$A:$A,"&lt;"&amp;$J1271+7))</f>
        <v/>
      </c>
      <c r="J1271">
        <f>IF(COUNT('Hours Log'!$A$4:$A$5000)=0,"",IF(MIN('Hours Log'!$A$4:$A$5000)+7*(ROW()-10)&gt;MAX('Hours Log'!$A$4:$A$5000),"",MIN('Hours Log'!$A$4:$A$5000)+7*(ROW()-10)))</f>
        <v/>
      </c>
    </row>
    <row r="1272">
      <c r="A1272">
        <f>IF($J1272="","",YEAR($J1272-WEEKDAY($J1272,2)+4)&amp;"-W"&amp;TEXT(WEEKNUM($J1272,21),"00"))</f>
        <v/>
      </c>
      <c r="B1272" s="41">
        <f>IF($J1272="","",COUNTIFS(Roster!$D$4:$D$500,"Active",Roster!$C$4:$C$500,"&lt;="&amp;$J1272))</f>
        <v/>
      </c>
      <c r="C1272">
        <f>IF($J1272="","",SUMIFS('Hours Log'!$C:$C,'Hours Log'!$A:$A,"&gt;="&amp;$J1272,'Hours Log'!$A:$A,"&lt;"&amp;$J1272+7)+SUMIFS('Hours Log'!$D:$D,'Hours Log'!$A:$A,"&gt;="&amp;$J1272,'Hours Log'!$A:$A,"&lt;"&amp;$J1272+7))</f>
        <v/>
      </c>
      <c r="D1272">
        <f>IF($J1272="","",SUMIFS('Hours Log'!$D:$D,'Hours Log'!$A:$A,"&gt;="&amp;$J1272,'Hours Log'!$A:$A,"&lt;"&amp;$J1272+7))</f>
        <v/>
      </c>
      <c r="E1272">
        <f>IF($J1272="","",IFERROR(C1272/(B1272*40),0))</f>
        <v/>
      </c>
      <c r="F1272">
        <f>IF($J1272="","",0)</f>
        <v/>
      </c>
      <c r="G1272">
        <f>IF($J1272="","",SUMIFS('Hours Log'!$E:$E,'Hours Log'!$A:$A,"&gt;="&amp;$J1272,'Hours Log'!$A:$A,"&lt;"&amp;$J1272+7))</f>
        <v/>
      </c>
      <c r="J1272">
        <f>IF(COUNT('Hours Log'!$A$4:$A$5000)=0,"",IF(MIN('Hours Log'!$A$4:$A$5000)+7*(ROW()-10)&gt;MAX('Hours Log'!$A$4:$A$5000),"",MIN('Hours Log'!$A$4:$A$5000)+7*(ROW()-10)))</f>
        <v/>
      </c>
    </row>
    <row r="1273">
      <c r="A1273">
        <f>IF($J1273="","",YEAR($J1273-WEEKDAY($J1273,2)+4)&amp;"-W"&amp;TEXT(WEEKNUM($J1273,21),"00"))</f>
        <v/>
      </c>
      <c r="B1273" s="41">
        <f>IF($J1273="","",COUNTIFS(Roster!$D$4:$D$500,"Active",Roster!$C$4:$C$500,"&lt;="&amp;$J1273))</f>
        <v/>
      </c>
      <c r="C1273">
        <f>IF($J1273="","",SUMIFS('Hours Log'!$C:$C,'Hours Log'!$A:$A,"&gt;="&amp;$J1273,'Hours Log'!$A:$A,"&lt;"&amp;$J1273+7)+SUMIFS('Hours Log'!$D:$D,'Hours Log'!$A:$A,"&gt;="&amp;$J1273,'Hours Log'!$A:$A,"&lt;"&amp;$J1273+7))</f>
        <v/>
      </c>
      <c r="D1273">
        <f>IF($J1273="","",SUMIFS('Hours Log'!$D:$D,'Hours Log'!$A:$A,"&gt;="&amp;$J1273,'Hours Log'!$A:$A,"&lt;"&amp;$J1273+7))</f>
        <v/>
      </c>
      <c r="E1273">
        <f>IF($J1273="","",IFERROR(C1273/(B1273*40),0))</f>
        <v/>
      </c>
      <c r="F1273">
        <f>IF($J1273="","",0)</f>
        <v/>
      </c>
      <c r="G1273">
        <f>IF($J1273="","",SUMIFS('Hours Log'!$E:$E,'Hours Log'!$A:$A,"&gt;="&amp;$J1273,'Hours Log'!$A:$A,"&lt;"&amp;$J1273+7))</f>
        <v/>
      </c>
      <c r="J1273">
        <f>IF(COUNT('Hours Log'!$A$4:$A$5000)=0,"",IF(MIN('Hours Log'!$A$4:$A$5000)+7*(ROW()-10)&gt;MAX('Hours Log'!$A$4:$A$5000),"",MIN('Hours Log'!$A$4:$A$5000)+7*(ROW()-10)))</f>
        <v/>
      </c>
    </row>
    <row r="1274">
      <c r="A1274">
        <f>IF($J1274="","",YEAR($J1274-WEEKDAY($J1274,2)+4)&amp;"-W"&amp;TEXT(WEEKNUM($J1274,21),"00"))</f>
        <v/>
      </c>
      <c r="B1274" s="41">
        <f>IF($J1274="","",COUNTIFS(Roster!$D$4:$D$500,"Active",Roster!$C$4:$C$500,"&lt;="&amp;$J1274))</f>
        <v/>
      </c>
      <c r="C1274">
        <f>IF($J1274="","",SUMIFS('Hours Log'!$C:$C,'Hours Log'!$A:$A,"&gt;="&amp;$J1274,'Hours Log'!$A:$A,"&lt;"&amp;$J1274+7)+SUMIFS('Hours Log'!$D:$D,'Hours Log'!$A:$A,"&gt;="&amp;$J1274,'Hours Log'!$A:$A,"&lt;"&amp;$J1274+7))</f>
        <v/>
      </c>
      <c r="D1274">
        <f>IF($J1274="","",SUMIFS('Hours Log'!$D:$D,'Hours Log'!$A:$A,"&gt;="&amp;$J1274,'Hours Log'!$A:$A,"&lt;"&amp;$J1274+7))</f>
        <v/>
      </c>
      <c r="E1274">
        <f>IF($J1274="","",IFERROR(C1274/(B1274*40),0))</f>
        <v/>
      </c>
      <c r="F1274">
        <f>IF($J1274="","",0)</f>
        <v/>
      </c>
      <c r="G1274">
        <f>IF($J1274="","",SUMIFS('Hours Log'!$E:$E,'Hours Log'!$A:$A,"&gt;="&amp;$J1274,'Hours Log'!$A:$A,"&lt;"&amp;$J1274+7))</f>
        <v/>
      </c>
      <c r="J1274">
        <f>IF(COUNT('Hours Log'!$A$4:$A$5000)=0,"",IF(MIN('Hours Log'!$A$4:$A$5000)+7*(ROW()-10)&gt;MAX('Hours Log'!$A$4:$A$5000),"",MIN('Hours Log'!$A$4:$A$5000)+7*(ROW()-10)))</f>
        <v/>
      </c>
    </row>
    <row r="1275">
      <c r="A1275">
        <f>IF($J1275="","",YEAR($J1275-WEEKDAY($J1275,2)+4)&amp;"-W"&amp;TEXT(WEEKNUM($J1275,21),"00"))</f>
        <v/>
      </c>
      <c r="B1275" s="41">
        <f>IF($J1275="","",COUNTIFS(Roster!$D$4:$D$500,"Active",Roster!$C$4:$C$500,"&lt;="&amp;$J1275))</f>
        <v/>
      </c>
      <c r="C1275">
        <f>IF($J1275="","",SUMIFS('Hours Log'!$C:$C,'Hours Log'!$A:$A,"&gt;="&amp;$J1275,'Hours Log'!$A:$A,"&lt;"&amp;$J1275+7)+SUMIFS('Hours Log'!$D:$D,'Hours Log'!$A:$A,"&gt;="&amp;$J1275,'Hours Log'!$A:$A,"&lt;"&amp;$J1275+7))</f>
        <v/>
      </c>
      <c r="D1275">
        <f>IF($J1275="","",SUMIFS('Hours Log'!$D:$D,'Hours Log'!$A:$A,"&gt;="&amp;$J1275,'Hours Log'!$A:$A,"&lt;"&amp;$J1275+7))</f>
        <v/>
      </c>
      <c r="E1275">
        <f>IF($J1275="","",IFERROR(C1275/(B1275*40),0))</f>
        <v/>
      </c>
      <c r="F1275">
        <f>IF($J1275="","",0)</f>
        <v/>
      </c>
      <c r="G1275">
        <f>IF($J1275="","",SUMIFS('Hours Log'!$E:$E,'Hours Log'!$A:$A,"&gt;="&amp;$J1275,'Hours Log'!$A:$A,"&lt;"&amp;$J1275+7))</f>
        <v/>
      </c>
      <c r="J1275">
        <f>IF(COUNT('Hours Log'!$A$4:$A$5000)=0,"",IF(MIN('Hours Log'!$A$4:$A$5000)+7*(ROW()-10)&gt;MAX('Hours Log'!$A$4:$A$5000),"",MIN('Hours Log'!$A$4:$A$5000)+7*(ROW()-10)))</f>
        <v/>
      </c>
    </row>
    <row r="1276">
      <c r="A1276">
        <f>IF($J1276="","",YEAR($J1276-WEEKDAY($J1276,2)+4)&amp;"-W"&amp;TEXT(WEEKNUM($J1276,21),"00"))</f>
        <v/>
      </c>
      <c r="B1276" s="41">
        <f>IF($J1276="","",COUNTIFS(Roster!$D$4:$D$500,"Active",Roster!$C$4:$C$500,"&lt;="&amp;$J1276))</f>
        <v/>
      </c>
      <c r="C1276">
        <f>IF($J1276="","",SUMIFS('Hours Log'!$C:$C,'Hours Log'!$A:$A,"&gt;="&amp;$J1276,'Hours Log'!$A:$A,"&lt;"&amp;$J1276+7)+SUMIFS('Hours Log'!$D:$D,'Hours Log'!$A:$A,"&gt;="&amp;$J1276,'Hours Log'!$A:$A,"&lt;"&amp;$J1276+7))</f>
        <v/>
      </c>
      <c r="D1276">
        <f>IF($J1276="","",SUMIFS('Hours Log'!$D:$D,'Hours Log'!$A:$A,"&gt;="&amp;$J1276,'Hours Log'!$A:$A,"&lt;"&amp;$J1276+7))</f>
        <v/>
      </c>
      <c r="E1276">
        <f>IF($J1276="","",IFERROR(C1276/(B1276*40),0))</f>
        <v/>
      </c>
      <c r="F1276">
        <f>IF($J1276="","",0)</f>
        <v/>
      </c>
      <c r="G1276">
        <f>IF($J1276="","",SUMIFS('Hours Log'!$E:$E,'Hours Log'!$A:$A,"&gt;="&amp;$J1276,'Hours Log'!$A:$A,"&lt;"&amp;$J1276+7))</f>
        <v/>
      </c>
      <c r="J1276">
        <f>IF(COUNT('Hours Log'!$A$4:$A$5000)=0,"",IF(MIN('Hours Log'!$A$4:$A$5000)+7*(ROW()-10)&gt;MAX('Hours Log'!$A$4:$A$5000),"",MIN('Hours Log'!$A$4:$A$5000)+7*(ROW()-10)))</f>
        <v/>
      </c>
    </row>
    <row r="1277">
      <c r="A1277">
        <f>IF($J1277="","",YEAR($J1277-WEEKDAY($J1277,2)+4)&amp;"-W"&amp;TEXT(WEEKNUM($J1277,21),"00"))</f>
        <v/>
      </c>
      <c r="B1277" s="41">
        <f>IF($J1277="","",COUNTIFS(Roster!$D$4:$D$500,"Active",Roster!$C$4:$C$500,"&lt;="&amp;$J1277))</f>
        <v/>
      </c>
      <c r="C1277">
        <f>IF($J1277="","",SUMIFS('Hours Log'!$C:$C,'Hours Log'!$A:$A,"&gt;="&amp;$J1277,'Hours Log'!$A:$A,"&lt;"&amp;$J1277+7)+SUMIFS('Hours Log'!$D:$D,'Hours Log'!$A:$A,"&gt;="&amp;$J1277,'Hours Log'!$A:$A,"&lt;"&amp;$J1277+7))</f>
        <v/>
      </c>
      <c r="D1277">
        <f>IF($J1277="","",SUMIFS('Hours Log'!$D:$D,'Hours Log'!$A:$A,"&gt;="&amp;$J1277,'Hours Log'!$A:$A,"&lt;"&amp;$J1277+7))</f>
        <v/>
      </c>
      <c r="E1277">
        <f>IF($J1277="","",IFERROR(C1277/(B1277*40),0))</f>
        <v/>
      </c>
      <c r="F1277">
        <f>IF($J1277="","",0)</f>
        <v/>
      </c>
      <c r="G1277">
        <f>IF($J1277="","",SUMIFS('Hours Log'!$E:$E,'Hours Log'!$A:$A,"&gt;="&amp;$J1277,'Hours Log'!$A:$A,"&lt;"&amp;$J1277+7))</f>
        <v/>
      </c>
      <c r="J1277">
        <f>IF(COUNT('Hours Log'!$A$4:$A$5000)=0,"",IF(MIN('Hours Log'!$A$4:$A$5000)+7*(ROW()-10)&gt;MAX('Hours Log'!$A$4:$A$5000),"",MIN('Hours Log'!$A$4:$A$5000)+7*(ROW()-10)))</f>
        <v/>
      </c>
    </row>
    <row r="1278">
      <c r="A1278">
        <f>IF($J1278="","",YEAR($J1278-WEEKDAY($J1278,2)+4)&amp;"-W"&amp;TEXT(WEEKNUM($J1278,21),"00"))</f>
        <v/>
      </c>
      <c r="B1278" s="41">
        <f>IF($J1278="","",COUNTIFS(Roster!$D$4:$D$500,"Active",Roster!$C$4:$C$500,"&lt;="&amp;$J1278))</f>
        <v/>
      </c>
      <c r="C1278">
        <f>IF($J1278="","",SUMIFS('Hours Log'!$C:$C,'Hours Log'!$A:$A,"&gt;="&amp;$J1278,'Hours Log'!$A:$A,"&lt;"&amp;$J1278+7)+SUMIFS('Hours Log'!$D:$D,'Hours Log'!$A:$A,"&gt;="&amp;$J1278,'Hours Log'!$A:$A,"&lt;"&amp;$J1278+7))</f>
        <v/>
      </c>
      <c r="D1278">
        <f>IF($J1278="","",SUMIFS('Hours Log'!$D:$D,'Hours Log'!$A:$A,"&gt;="&amp;$J1278,'Hours Log'!$A:$A,"&lt;"&amp;$J1278+7))</f>
        <v/>
      </c>
      <c r="E1278">
        <f>IF($J1278="","",IFERROR(C1278/(B1278*40),0))</f>
        <v/>
      </c>
      <c r="F1278">
        <f>IF($J1278="","",0)</f>
        <v/>
      </c>
      <c r="G1278">
        <f>IF($J1278="","",SUMIFS('Hours Log'!$E:$E,'Hours Log'!$A:$A,"&gt;="&amp;$J1278,'Hours Log'!$A:$A,"&lt;"&amp;$J1278+7))</f>
        <v/>
      </c>
      <c r="J1278">
        <f>IF(COUNT('Hours Log'!$A$4:$A$5000)=0,"",IF(MIN('Hours Log'!$A$4:$A$5000)+7*(ROW()-10)&gt;MAX('Hours Log'!$A$4:$A$5000),"",MIN('Hours Log'!$A$4:$A$5000)+7*(ROW()-10)))</f>
        <v/>
      </c>
    </row>
    <row r="1279">
      <c r="A1279">
        <f>IF($J1279="","",YEAR($J1279-WEEKDAY($J1279,2)+4)&amp;"-W"&amp;TEXT(WEEKNUM($J1279,21),"00"))</f>
        <v/>
      </c>
      <c r="B1279" s="41">
        <f>IF($J1279="","",COUNTIFS(Roster!$D$4:$D$500,"Active",Roster!$C$4:$C$500,"&lt;="&amp;$J1279))</f>
        <v/>
      </c>
      <c r="C1279">
        <f>IF($J1279="","",SUMIFS('Hours Log'!$C:$C,'Hours Log'!$A:$A,"&gt;="&amp;$J1279,'Hours Log'!$A:$A,"&lt;"&amp;$J1279+7)+SUMIFS('Hours Log'!$D:$D,'Hours Log'!$A:$A,"&gt;="&amp;$J1279,'Hours Log'!$A:$A,"&lt;"&amp;$J1279+7))</f>
        <v/>
      </c>
      <c r="D1279">
        <f>IF($J1279="","",SUMIFS('Hours Log'!$D:$D,'Hours Log'!$A:$A,"&gt;="&amp;$J1279,'Hours Log'!$A:$A,"&lt;"&amp;$J1279+7))</f>
        <v/>
      </c>
      <c r="E1279">
        <f>IF($J1279="","",IFERROR(C1279/(B1279*40),0))</f>
        <v/>
      </c>
      <c r="F1279">
        <f>IF($J1279="","",0)</f>
        <v/>
      </c>
      <c r="G1279">
        <f>IF($J1279="","",SUMIFS('Hours Log'!$E:$E,'Hours Log'!$A:$A,"&gt;="&amp;$J1279,'Hours Log'!$A:$A,"&lt;"&amp;$J1279+7))</f>
        <v/>
      </c>
      <c r="J1279">
        <f>IF(COUNT('Hours Log'!$A$4:$A$5000)=0,"",IF(MIN('Hours Log'!$A$4:$A$5000)+7*(ROW()-10)&gt;MAX('Hours Log'!$A$4:$A$5000),"",MIN('Hours Log'!$A$4:$A$5000)+7*(ROW()-10)))</f>
        <v/>
      </c>
    </row>
    <row r="1280">
      <c r="A1280">
        <f>IF($J1280="","",YEAR($J1280-WEEKDAY($J1280,2)+4)&amp;"-W"&amp;TEXT(WEEKNUM($J1280,21),"00"))</f>
        <v/>
      </c>
      <c r="B1280" s="41">
        <f>IF($J1280="","",COUNTIFS(Roster!$D$4:$D$500,"Active",Roster!$C$4:$C$500,"&lt;="&amp;$J1280))</f>
        <v/>
      </c>
      <c r="C1280">
        <f>IF($J1280="","",SUMIFS('Hours Log'!$C:$C,'Hours Log'!$A:$A,"&gt;="&amp;$J1280,'Hours Log'!$A:$A,"&lt;"&amp;$J1280+7)+SUMIFS('Hours Log'!$D:$D,'Hours Log'!$A:$A,"&gt;="&amp;$J1280,'Hours Log'!$A:$A,"&lt;"&amp;$J1280+7))</f>
        <v/>
      </c>
      <c r="D1280">
        <f>IF($J1280="","",SUMIFS('Hours Log'!$D:$D,'Hours Log'!$A:$A,"&gt;="&amp;$J1280,'Hours Log'!$A:$A,"&lt;"&amp;$J1280+7))</f>
        <v/>
      </c>
      <c r="E1280">
        <f>IF($J1280="","",IFERROR(C1280/(B1280*40),0))</f>
        <v/>
      </c>
      <c r="F1280">
        <f>IF($J1280="","",0)</f>
        <v/>
      </c>
      <c r="G1280">
        <f>IF($J1280="","",SUMIFS('Hours Log'!$E:$E,'Hours Log'!$A:$A,"&gt;="&amp;$J1280,'Hours Log'!$A:$A,"&lt;"&amp;$J1280+7))</f>
        <v/>
      </c>
      <c r="J1280">
        <f>IF(COUNT('Hours Log'!$A$4:$A$5000)=0,"",IF(MIN('Hours Log'!$A$4:$A$5000)+7*(ROW()-10)&gt;MAX('Hours Log'!$A$4:$A$5000),"",MIN('Hours Log'!$A$4:$A$5000)+7*(ROW()-10)))</f>
        <v/>
      </c>
    </row>
    <row r="1281">
      <c r="A1281">
        <f>IF($J1281="","",YEAR($J1281-WEEKDAY($J1281,2)+4)&amp;"-W"&amp;TEXT(WEEKNUM($J1281,21),"00"))</f>
        <v/>
      </c>
      <c r="B1281" s="41">
        <f>IF($J1281="","",COUNTIFS(Roster!$D$4:$D$500,"Active",Roster!$C$4:$C$500,"&lt;="&amp;$J1281))</f>
        <v/>
      </c>
      <c r="C1281">
        <f>IF($J1281="","",SUMIFS('Hours Log'!$C:$C,'Hours Log'!$A:$A,"&gt;="&amp;$J1281,'Hours Log'!$A:$A,"&lt;"&amp;$J1281+7)+SUMIFS('Hours Log'!$D:$D,'Hours Log'!$A:$A,"&gt;="&amp;$J1281,'Hours Log'!$A:$A,"&lt;"&amp;$J1281+7))</f>
        <v/>
      </c>
      <c r="D1281">
        <f>IF($J1281="","",SUMIFS('Hours Log'!$D:$D,'Hours Log'!$A:$A,"&gt;="&amp;$J1281,'Hours Log'!$A:$A,"&lt;"&amp;$J1281+7))</f>
        <v/>
      </c>
      <c r="E1281">
        <f>IF($J1281="","",IFERROR(C1281/(B1281*40),0))</f>
        <v/>
      </c>
      <c r="F1281">
        <f>IF($J1281="","",0)</f>
        <v/>
      </c>
      <c r="G1281">
        <f>IF($J1281="","",SUMIFS('Hours Log'!$E:$E,'Hours Log'!$A:$A,"&gt;="&amp;$J1281,'Hours Log'!$A:$A,"&lt;"&amp;$J1281+7))</f>
        <v/>
      </c>
      <c r="J1281">
        <f>IF(COUNT('Hours Log'!$A$4:$A$5000)=0,"",IF(MIN('Hours Log'!$A$4:$A$5000)+7*(ROW()-10)&gt;MAX('Hours Log'!$A$4:$A$5000),"",MIN('Hours Log'!$A$4:$A$5000)+7*(ROW()-10)))</f>
        <v/>
      </c>
    </row>
    <row r="1282">
      <c r="A1282">
        <f>IF($J1282="","",YEAR($J1282-WEEKDAY($J1282,2)+4)&amp;"-W"&amp;TEXT(WEEKNUM($J1282,21),"00"))</f>
        <v/>
      </c>
      <c r="B1282" s="41">
        <f>IF($J1282="","",COUNTIFS(Roster!$D$4:$D$500,"Active",Roster!$C$4:$C$500,"&lt;="&amp;$J1282))</f>
        <v/>
      </c>
      <c r="C1282">
        <f>IF($J1282="","",SUMIFS('Hours Log'!$C:$C,'Hours Log'!$A:$A,"&gt;="&amp;$J1282,'Hours Log'!$A:$A,"&lt;"&amp;$J1282+7)+SUMIFS('Hours Log'!$D:$D,'Hours Log'!$A:$A,"&gt;="&amp;$J1282,'Hours Log'!$A:$A,"&lt;"&amp;$J1282+7))</f>
        <v/>
      </c>
      <c r="D1282">
        <f>IF($J1282="","",SUMIFS('Hours Log'!$D:$D,'Hours Log'!$A:$A,"&gt;="&amp;$J1282,'Hours Log'!$A:$A,"&lt;"&amp;$J1282+7))</f>
        <v/>
      </c>
      <c r="E1282">
        <f>IF($J1282="","",IFERROR(C1282/(B1282*40),0))</f>
        <v/>
      </c>
      <c r="F1282">
        <f>IF($J1282="","",0)</f>
        <v/>
      </c>
      <c r="G1282">
        <f>IF($J1282="","",SUMIFS('Hours Log'!$E:$E,'Hours Log'!$A:$A,"&gt;="&amp;$J1282,'Hours Log'!$A:$A,"&lt;"&amp;$J1282+7))</f>
        <v/>
      </c>
      <c r="J1282">
        <f>IF(COUNT('Hours Log'!$A$4:$A$5000)=0,"",IF(MIN('Hours Log'!$A$4:$A$5000)+7*(ROW()-10)&gt;MAX('Hours Log'!$A$4:$A$5000),"",MIN('Hours Log'!$A$4:$A$5000)+7*(ROW()-10)))</f>
        <v/>
      </c>
    </row>
    <row r="1283">
      <c r="A1283">
        <f>IF($J1283="","",YEAR($J1283-WEEKDAY($J1283,2)+4)&amp;"-W"&amp;TEXT(WEEKNUM($J1283,21),"00"))</f>
        <v/>
      </c>
      <c r="B1283" s="41">
        <f>IF($J1283="","",COUNTIFS(Roster!$D$4:$D$500,"Active",Roster!$C$4:$C$500,"&lt;="&amp;$J1283))</f>
        <v/>
      </c>
      <c r="C1283">
        <f>IF($J1283="","",SUMIFS('Hours Log'!$C:$C,'Hours Log'!$A:$A,"&gt;="&amp;$J1283,'Hours Log'!$A:$A,"&lt;"&amp;$J1283+7)+SUMIFS('Hours Log'!$D:$D,'Hours Log'!$A:$A,"&gt;="&amp;$J1283,'Hours Log'!$A:$A,"&lt;"&amp;$J1283+7))</f>
        <v/>
      </c>
      <c r="D1283">
        <f>IF($J1283="","",SUMIFS('Hours Log'!$D:$D,'Hours Log'!$A:$A,"&gt;="&amp;$J1283,'Hours Log'!$A:$A,"&lt;"&amp;$J1283+7))</f>
        <v/>
      </c>
      <c r="E1283">
        <f>IF($J1283="","",IFERROR(C1283/(B1283*40),0))</f>
        <v/>
      </c>
      <c r="F1283">
        <f>IF($J1283="","",0)</f>
        <v/>
      </c>
      <c r="G1283">
        <f>IF($J1283="","",SUMIFS('Hours Log'!$E:$E,'Hours Log'!$A:$A,"&gt;="&amp;$J1283,'Hours Log'!$A:$A,"&lt;"&amp;$J1283+7))</f>
        <v/>
      </c>
      <c r="J1283">
        <f>IF(COUNT('Hours Log'!$A$4:$A$5000)=0,"",IF(MIN('Hours Log'!$A$4:$A$5000)+7*(ROW()-10)&gt;MAX('Hours Log'!$A$4:$A$5000),"",MIN('Hours Log'!$A$4:$A$5000)+7*(ROW()-10)))</f>
        <v/>
      </c>
    </row>
    <row r="1284">
      <c r="A1284">
        <f>IF($J1284="","",YEAR($J1284-WEEKDAY($J1284,2)+4)&amp;"-W"&amp;TEXT(WEEKNUM($J1284,21),"00"))</f>
        <v/>
      </c>
      <c r="B1284" s="41">
        <f>IF($J1284="","",COUNTIFS(Roster!$D$4:$D$500,"Active",Roster!$C$4:$C$500,"&lt;="&amp;$J1284))</f>
        <v/>
      </c>
      <c r="C1284">
        <f>IF($J1284="","",SUMIFS('Hours Log'!$C:$C,'Hours Log'!$A:$A,"&gt;="&amp;$J1284,'Hours Log'!$A:$A,"&lt;"&amp;$J1284+7)+SUMIFS('Hours Log'!$D:$D,'Hours Log'!$A:$A,"&gt;="&amp;$J1284,'Hours Log'!$A:$A,"&lt;"&amp;$J1284+7))</f>
        <v/>
      </c>
      <c r="D1284">
        <f>IF($J1284="","",SUMIFS('Hours Log'!$D:$D,'Hours Log'!$A:$A,"&gt;="&amp;$J1284,'Hours Log'!$A:$A,"&lt;"&amp;$J1284+7))</f>
        <v/>
      </c>
      <c r="E1284">
        <f>IF($J1284="","",IFERROR(C1284/(B1284*40),0))</f>
        <v/>
      </c>
      <c r="F1284">
        <f>IF($J1284="","",0)</f>
        <v/>
      </c>
      <c r="G1284">
        <f>IF($J1284="","",SUMIFS('Hours Log'!$E:$E,'Hours Log'!$A:$A,"&gt;="&amp;$J1284,'Hours Log'!$A:$A,"&lt;"&amp;$J1284+7))</f>
        <v/>
      </c>
      <c r="J1284">
        <f>IF(COUNT('Hours Log'!$A$4:$A$5000)=0,"",IF(MIN('Hours Log'!$A$4:$A$5000)+7*(ROW()-10)&gt;MAX('Hours Log'!$A$4:$A$5000),"",MIN('Hours Log'!$A$4:$A$5000)+7*(ROW()-10)))</f>
        <v/>
      </c>
    </row>
    <row r="1285">
      <c r="A1285">
        <f>IF($J1285="","",YEAR($J1285-WEEKDAY($J1285,2)+4)&amp;"-W"&amp;TEXT(WEEKNUM($J1285,21),"00"))</f>
        <v/>
      </c>
      <c r="B1285" s="41">
        <f>IF($J1285="","",COUNTIFS(Roster!$D$4:$D$500,"Active",Roster!$C$4:$C$500,"&lt;="&amp;$J1285))</f>
        <v/>
      </c>
      <c r="C1285">
        <f>IF($J1285="","",SUMIFS('Hours Log'!$C:$C,'Hours Log'!$A:$A,"&gt;="&amp;$J1285,'Hours Log'!$A:$A,"&lt;"&amp;$J1285+7)+SUMIFS('Hours Log'!$D:$D,'Hours Log'!$A:$A,"&gt;="&amp;$J1285,'Hours Log'!$A:$A,"&lt;"&amp;$J1285+7))</f>
        <v/>
      </c>
      <c r="D1285">
        <f>IF($J1285="","",SUMIFS('Hours Log'!$D:$D,'Hours Log'!$A:$A,"&gt;="&amp;$J1285,'Hours Log'!$A:$A,"&lt;"&amp;$J1285+7))</f>
        <v/>
      </c>
      <c r="E1285">
        <f>IF($J1285="","",IFERROR(C1285/(B1285*40),0))</f>
        <v/>
      </c>
      <c r="F1285">
        <f>IF($J1285="","",0)</f>
        <v/>
      </c>
      <c r="G1285">
        <f>IF($J1285="","",SUMIFS('Hours Log'!$E:$E,'Hours Log'!$A:$A,"&gt;="&amp;$J1285,'Hours Log'!$A:$A,"&lt;"&amp;$J1285+7))</f>
        <v/>
      </c>
      <c r="J1285">
        <f>IF(COUNT('Hours Log'!$A$4:$A$5000)=0,"",IF(MIN('Hours Log'!$A$4:$A$5000)+7*(ROW()-10)&gt;MAX('Hours Log'!$A$4:$A$5000),"",MIN('Hours Log'!$A$4:$A$5000)+7*(ROW()-10)))</f>
        <v/>
      </c>
    </row>
    <row r="1286">
      <c r="A1286">
        <f>IF($J1286="","",YEAR($J1286-WEEKDAY($J1286,2)+4)&amp;"-W"&amp;TEXT(WEEKNUM($J1286,21),"00"))</f>
        <v/>
      </c>
      <c r="B1286" s="41">
        <f>IF($J1286="","",COUNTIFS(Roster!$D$4:$D$500,"Active",Roster!$C$4:$C$500,"&lt;="&amp;$J1286))</f>
        <v/>
      </c>
      <c r="C1286">
        <f>IF($J1286="","",SUMIFS('Hours Log'!$C:$C,'Hours Log'!$A:$A,"&gt;="&amp;$J1286,'Hours Log'!$A:$A,"&lt;"&amp;$J1286+7)+SUMIFS('Hours Log'!$D:$D,'Hours Log'!$A:$A,"&gt;="&amp;$J1286,'Hours Log'!$A:$A,"&lt;"&amp;$J1286+7))</f>
        <v/>
      </c>
      <c r="D1286">
        <f>IF($J1286="","",SUMIFS('Hours Log'!$D:$D,'Hours Log'!$A:$A,"&gt;="&amp;$J1286,'Hours Log'!$A:$A,"&lt;"&amp;$J1286+7))</f>
        <v/>
      </c>
      <c r="E1286">
        <f>IF($J1286="","",IFERROR(C1286/(B1286*40),0))</f>
        <v/>
      </c>
      <c r="F1286">
        <f>IF($J1286="","",0)</f>
        <v/>
      </c>
      <c r="G1286">
        <f>IF($J1286="","",SUMIFS('Hours Log'!$E:$E,'Hours Log'!$A:$A,"&gt;="&amp;$J1286,'Hours Log'!$A:$A,"&lt;"&amp;$J1286+7))</f>
        <v/>
      </c>
      <c r="J1286">
        <f>IF(COUNT('Hours Log'!$A$4:$A$5000)=0,"",IF(MIN('Hours Log'!$A$4:$A$5000)+7*(ROW()-10)&gt;MAX('Hours Log'!$A$4:$A$5000),"",MIN('Hours Log'!$A$4:$A$5000)+7*(ROW()-10)))</f>
        <v/>
      </c>
    </row>
    <row r="1287">
      <c r="A1287">
        <f>IF($J1287="","",YEAR($J1287-WEEKDAY($J1287,2)+4)&amp;"-W"&amp;TEXT(WEEKNUM($J1287,21),"00"))</f>
        <v/>
      </c>
      <c r="B1287" s="41">
        <f>IF($J1287="","",COUNTIFS(Roster!$D$4:$D$500,"Active",Roster!$C$4:$C$500,"&lt;="&amp;$J1287))</f>
        <v/>
      </c>
      <c r="C1287">
        <f>IF($J1287="","",SUMIFS('Hours Log'!$C:$C,'Hours Log'!$A:$A,"&gt;="&amp;$J1287,'Hours Log'!$A:$A,"&lt;"&amp;$J1287+7)+SUMIFS('Hours Log'!$D:$D,'Hours Log'!$A:$A,"&gt;="&amp;$J1287,'Hours Log'!$A:$A,"&lt;"&amp;$J1287+7))</f>
        <v/>
      </c>
      <c r="D1287">
        <f>IF($J1287="","",SUMIFS('Hours Log'!$D:$D,'Hours Log'!$A:$A,"&gt;="&amp;$J1287,'Hours Log'!$A:$A,"&lt;"&amp;$J1287+7))</f>
        <v/>
      </c>
      <c r="E1287">
        <f>IF($J1287="","",IFERROR(C1287/(B1287*40),0))</f>
        <v/>
      </c>
      <c r="F1287">
        <f>IF($J1287="","",0)</f>
        <v/>
      </c>
      <c r="G1287">
        <f>IF($J1287="","",SUMIFS('Hours Log'!$E:$E,'Hours Log'!$A:$A,"&gt;="&amp;$J1287,'Hours Log'!$A:$A,"&lt;"&amp;$J1287+7))</f>
        <v/>
      </c>
      <c r="J1287">
        <f>IF(COUNT('Hours Log'!$A$4:$A$5000)=0,"",IF(MIN('Hours Log'!$A$4:$A$5000)+7*(ROW()-10)&gt;MAX('Hours Log'!$A$4:$A$5000),"",MIN('Hours Log'!$A$4:$A$5000)+7*(ROW()-10)))</f>
        <v/>
      </c>
    </row>
    <row r="1288">
      <c r="A1288">
        <f>IF($J1288="","",YEAR($J1288-WEEKDAY($J1288,2)+4)&amp;"-W"&amp;TEXT(WEEKNUM($J1288,21),"00"))</f>
        <v/>
      </c>
      <c r="B1288" s="41">
        <f>IF($J1288="","",COUNTIFS(Roster!$D$4:$D$500,"Active",Roster!$C$4:$C$500,"&lt;="&amp;$J1288))</f>
        <v/>
      </c>
      <c r="C1288">
        <f>IF($J1288="","",SUMIFS('Hours Log'!$C:$C,'Hours Log'!$A:$A,"&gt;="&amp;$J1288,'Hours Log'!$A:$A,"&lt;"&amp;$J1288+7)+SUMIFS('Hours Log'!$D:$D,'Hours Log'!$A:$A,"&gt;="&amp;$J1288,'Hours Log'!$A:$A,"&lt;"&amp;$J1288+7))</f>
        <v/>
      </c>
      <c r="D1288">
        <f>IF($J1288="","",SUMIFS('Hours Log'!$D:$D,'Hours Log'!$A:$A,"&gt;="&amp;$J1288,'Hours Log'!$A:$A,"&lt;"&amp;$J1288+7))</f>
        <v/>
      </c>
      <c r="E1288">
        <f>IF($J1288="","",IFERROR(C1288/(B1288*40),0))</f>
        <v/>
      </c>
      <c r="F1288">
        <f>IF($J1288="","",0)</f>
        <v/>
      </c>
      <c r="G1288">
        <f>IF($J1288="","",SUMIFS('Hours Log'!$E:$E,'Hours Log'!$A:$A,"&gt;="&amp;$J1288,'Hours Log'!$A:$A,"&lt;"&amp;$J1288+7))</f>
        <v/>
      </c>
      <c r="J1288">
        <f>IF(COUNT('Hours Log'!$A$4:$A$5000)=0,"",IF(MIN('Hours Log'!$A$4:$A$5000)+7*(ROW()-10)&gt;MAX('Hours Log'!$A$4:$A$5000),"",MIN('Hours Log'!$A$4:$A$5000)+7*(ROW()-10)))</f>
        <v/>
      </c>
    </row>
    <row r="1289">
      <c r="A1289">
        <f>IF($J1289="","",YEAR($J1289-WEEKDAY($J1289,2)+4)&amp;"-W"&amp;TEXT(WEEKNUM($J1289,21),"00"))</f>
        <v/>
      </c>
      <c r="B1289" s="41">
        <f>IF($J1289="","",COUNTIFS(Roster!$D$4:$D$500,"Active",Roster!$C$4:$C$500,"&lt;="&amp;$J1289))</f>
        <v/>
      </c>
      <c r="C1289">
        <f>IF($J1289="","",SUMIFS('Hours Log'!$C:$C,'Hours Log'!$A:$A,"&gt;="&amp;$J1289,'Hours Log'!$A:$A,"&lt;"&amp;$J1289+7)+SUMIFS('Hours Log'!$D:$D,'Hours Log'!$A:$A,"&gt;="&amp;$J1289,'Hours Log'!$A:$A,"&lt;"&amp;$J1289+7))</f>
        <v/>
      </c>
      <c r="D1289">
        <f>IF($J1289="","",SUMIFS('Hours Log'!$D:$D,'Hours Log'!$A:$A,"&gt;="&amp;$J1289,'Hours Log'!$A:$A,"&lt;"&amp;$J1289+7))</f>
        <v/>
      </c>
      <c r="E1289">
        <f>IF($J1289="","",IFERROR(C1289/(B1289*40),0))</f>
        <v/>
      </c>
      <c r="F1289">
        <f>IF($J1289="","",0)</f>
        <v/>
      </c>
      <c r="G1289">
        <f>IF($J1289="","",SUMIFS('Hours Log'!$E:$E,'Hours Log'!$A:$A,"&gt;="&amp;$J1289,'Hours Log'!$A:$A,"&lt;"&amp;$J1289+7))</f>
        <v/>
      </c>
      <c r="J1289">
        <f>IF(COUNT('Hours Log'!$A$4:$A$5000)=0,"",IF(MIN('Hours Log'!$A$4:$A$5000)+7*(ROW()-10)&gt;MAX('Hours Log'!$A$4:$A$5000),"",MIN('Hours Log'!$A$4:$A$5000)+7*(ROW()-10)))</f>
        <v/>
      </c>
    </row>
    <row r="1290">
      <c r="A1290">
        <f>IF($J1290="","",YEAR($J1290-WEEKDAY($J1290,2)+4)&amp;"-W"&amp;TEXT(WEEKNUM($J1290,21),"00"))</f>
        <v/>
      </c>
      <c r="B1290" s="41">
        <f>IF($J1290="","",COUNTIFS(Roster!$D$4:$D$500,"Active",Roster!$C$4:$C$500,"&lt;="&amp;$J1290))</f>
        <v/>
      </c>
      <c r="C1290">
        <f>IF($J1290="","",SUMIFS('Hours Log'!$C:$C,'Hours Log'!$A:$A,"&gt;="&amp;$J1290,'Hours Log'!$A:$A,"&lt;"&amp;$J1290+7)+SUMIFS('Hours Log'!$D:$D,'Hours Log'!$A:$A,"&gt;="&amp;$J1290,'Hours Log'!$A:$A,"&lt;"&amp;$J1290+7))</f>
        <v/>
      </c>
      <c r="D1290">
        <f>IF($J1290="","",SUMIFS('Hours Log'!$D:$D,'Hours Log'!$A:$A,"&gt;="&amp;$J1290,'Hours Log'!$A:$A,"&lt;"&amp;$J1290+7))</f>
        <v/>
      </c>
      <c r="E1290">
        <f>IF($J1290="","",IFERROR(C1290/(B1290*40),0))</f>
        <v/>
      </c>
      <c r="F1290">
        <f>IF($J1290="","",0)</f>
        <v/>
      </c>
      <c r="G1290">
        <f>IF($J1290="","",SUMIFS('Hours Log'!$E:$E,'Hours Log'!$A:$A,"&gt;="&amp;$J1290,'Hours Log'!$A:$A,"&lt;"&amp;$J1290+7))</f>
        <v/>
      </c>
      <c r="J1290">
        <f>IF(COUNT('Hours Log'!$A$4:$A$5000)=0,"",IF(MIN('Hours Log'!$A$4:$A$5000)+7*(ROW()-10)&gt;MAX('Hours Log'!$A$4:$A$5000),"",MIN('Hours Log'!$A$4:$A$5000)+7*(ROW()-10)))</f>
        <v/>
      </c>
    </row>
    <row r="1291">
      <c r="A1291">
        <f>IF($J1291="","",YEAR($J1291-WEEKDAY($J1291,2)+4)&amp;"-W"&amp;TEXT(WEEKNUM($J1291,21),"00"))</f>
        <v/>
      </c>
      <c r="B1291" s="41">
        <f>IF($J1291="","",COUNTIFS(Roster!$D$4:$D$500,"Active",Roster!$C$4:$C$500,"&lt;="&amp;$J1291))</f>
        <v/>
      </c>
      <c r="C1291">
        <f>IF($J1291="","",SUMIFS('Hours Log'!$C:$C,'Hours Log'!$A:$A,"&gt;="&amp;$J1291,'Hours Log'!$A:$A,"&lt;"&amp;$J1291+7)+SUMIFS('Hours Log'!$D:$D,'Hours Log'!$A:$A,"&gt;="&amp;$J1291,'Hours Log'!$A:$A,"&lt;"&amp;$J1291+7))</f>
        <v/>
      </c>
      <c r="D1291">
        <f>IF($J1291="","",SUMIFS('Hours Log'!$D:$D,'Hours Log'!$A:$A,"&gt;="&amp;$J1291,'Hours Log'!$A:$A,"&lt;"&amp;$J1291+7))</f>
        <v/>
      </c>
      <c r="E1291">
        <f>IF($J1291="","",IFERROR(C1291/(B1291*40),0))</f>
        <v/>
      </c>
      <c r="F1291">
        <f>IF($J1291="","",0)</f>
        <v/>
      </c>
      <c r="G1291">
        <f>IF($J1291="","",SUMIFS('Hours Log'!$E:$E,'Hours Log'!$A:$A,"&gt;="&amp;$J1291,'Hours Log'!$A:$A,"&lt;"&amp;$J1291+7))</f>
        <v/>
      </c>
      <c r="J1291">
        <f>IF(COUNT('Hours Log'!$A$4:$A$5000)=0,"",IF(MIN('Hours Log'!$A$4:$A$5000)+7*(ROW()-10)&gt;MAX('Hours Log'!$A$4:$A$5000),"",MIN('Hours Log'!$A$4:$A$5000)+7*(ROW()-10)))</f>
        <v/>
      </c>
    </row>
    <row r="1292">
      <c r="A1292">
        <f>IF($J1292="","",YEAR($J1292-WEEKDAY($J1292,2)+4)&amp;"-W"&amp;TEXT(WEEKNUM($J1292,21),"00"))</f>
        <v/>
      </c>
      <c r="B1292" s="41">
        <f>IF($J1292="","",COUNTIFS(Roster!$D$4:$D$500,"Active",Roster!$C$4:$C$500,"&lt;="&amp;$J1292))</f>
        <v/>
      </c>
      <c r="C1292">
        <f>IF($J1292="","",SUMIFS('Hours Log'!$C:$C,'Hours Log'!$A:$A,"&gt;="&amp;$J1292,'Hours Log'!$A:$A,"&lt;"&amp;$J1292+7)+SUMIFS('Hours Log'!$D:$D,'Hours Log'!$A:$A,"&gt;="&amp;$J1292,'Hours Log'!$A:$A,"&lt;"&amp;$J1292+7))</f>
        <v/>
      </c>
      <c r="D1292">
        <f>IF($J1292="","",SUMIFS('Hours Log'!$D:$D,'Hours Log'!$A:$A,"&gt;="&amp;$J1292,'Hours Log'!$A:$A,"&lt;"&amp;$J1292+7))</f>
        <v/>
      </c>
      <c r="E1292">
        <f>IF($J1292="","",IFERROR(C1292/(B1292*40),0))</f>
        <v/>
      </c>
      <c r="F1292">
        <f>IF($J1292="","",0)</f>
        <v/>
      </c>
      <c r="G1292">
        <f>IF($J1292="","",SUMIFS('Hours Log'!$E:$E,'Hours Log'!$A:$A,"&gt;="&amp;$J1292,'Hours Log'!$A:$A,"&lt;"&amp;$J1292+7))</f>
        <v/>
      </c>
      <c r="J1292">
        <f>IF(COUNT('Hours Log'!$A$4:$A$5000)=0,"",IF(MIN('Hours Log'!$A$4:$A$5000)+7*(ROW()-10)&gt;MAX('Hours Log'!$A$4:$A$5000),"",MIN('Hours Log'!$A$4:$A$5000)+7*(ROW()-10)))</f>
        <v/>
      </c>
    </row>
    <row r="1293">
      <c r="A1293">
        <f>IF($J1293="","",YEAR($J1293-WEEKDAY($J1293,2)+4)&amp;"-W"&amp;TEXT(WEEKNUM($J1293,21),"00"))</f>
        <v/>
      </c>
      <c r="B1293" s="41">
        <f>IF($J1293="","",COUNTIFS(Roster!$D$4:$D$500,"Active",Roster!$C$4:$C$500,"&lt;="&amp;$J1293))</f>
        <v/>
      </c>
      <c r="C1293">
        <f>IF($J1293="","",SUMIFS('Hours Log'!$C:$C,'Hours Log'!$A:$A,"&gt;="&amp;$J1293,'Hours Log'!$A:$A,"&lt;"&amp;$J1293+7)+SUMIFS('Hours Log'!$D:$D,'Hours Log'!$A:$A,"&gt;="&amp;$J1293,'Hours Log'!$A:$A,"&lt;"&amp;$J1293+7))</f>
        <v/>
      </c>
      <c r="D1293">
        <f>IF($J1293="","",SUMIFS('Hours Log'!$D:$D,'Hours Log'!$A:$A,"&gt;="&amp;$J1293,'Hours Log'!$A:$A,"&lt;"&amp;$J1293+7))</f>
        <v/>
      </c>
      <c r="E1293">
        <f>IF($J1293="","",IFERROR(C1293/(B1293*40),0))</f>
        <v/>
      </c>
      <c r="F1293">
        <f>IF($J1293="","",0)</f>
        <v/>
      </c>
      <c r="G1293">
        <f>IF($J1293="","",SUMIFS('Hours Log'!$E:$E,'Hours Log'!$A:$A,"&gt;="&amp;$J1293,'Hours Log'!$A:$A,"&lt;"&amp;$J1293+7))</f>
        <v/>
      </c>
      <c r="J1293">
        <f>IF(COUNT('Hours Log'!$A$4:$A$5000)=0,"",IF(MIN('Hours Log'!$A$4:$A$5000)+7*(ROW()-10)&gt;MAX('Hours Log'!$A$4:$A$5000),"",MIN('Hours Log'!$A$4:$A$5000)+7*(ROW()-10)))</f>
        <v/>
      </c>
    </row>
    <row r="1294">
      <c r="A1294">
        <f>IF($J1294="","",YEAR($J1294-WEEKDAY($J1294,2)+4)&amp;"-W"&amp;TEXT(WEEKNUM($J1294,21),"00"))</f>
        <v/>
      </c>
      <c r="B1294" s="41">
        <f>IF($J1294="","",COUNTIFS(Roster!$D$4:$D$500,"Active",Roster!$C$4:$C$500,"&lt;="&amp;$J1294))</f>
        <v/>
      </c>
      <c r="C1294">
        <f>IF($J1294="","",SUMIFS('Hours Log'!$C:$C,'Hours Log'!$A:$A,"&gt;="&amp;$J1294,'Hours Log'!$A:$A,"&lt;"&amp;$J1294+7)+SUMIFS('Hours Log'!$D:$D,'Hours Log'!$A:$A,"&gt;="&amp;$J1294,'Hours Log'!$A:$A,"&lt;"&amp;$J1294+7))</f>
        <v/>
      </c>
      <c r="D1294">
        <f>IF($J1294="","",SUMIFS('Hours Log'!$D:$D,'Hours Log'!$A:$A,"&gt;="&amp;$J1294,'Hours Log'!$A:$A,"&lt;"&amp;$J1294+7))</f>
        <v/>
      </c>
      <c r="E1294">
        <f>IF($J1294="","",IFERROR(C1294/(B1294*40),0))</f>
        <v/>
      </c>
      <c r="F1294">
        <f>IF($J1294="","",0)</f>
        <v/>
      </c>
      <c r="G1294">
        <f>IF($J1294="","",SUMIFS('Hours Log'!$E:$E,'Hours Log'!$A:$A,"&gt;="&amp;$J1294,'Hours Log'!$A:$A,"&lt;"&amp;$J1294+7))</f>
        <v/>
      </c>
      <c r="J1294">
        <f>IF(COUNT('Hours Log'!$A$4:$A$5000)=0,"",IF(MIN('Hours Log'!$A$4:$A$5000)+7*(ROW()-10)&gt;MAX('Hours Log'!$A$4:$A$5000),"",MIN('Hours Log'!$A$4:$A$5000)+7*(ROW()-10)))</f>
        <v/>
      </c>
    </row>
    <row r="1295">
      <c r="A1295">
        <f>IF($J1295="","",YEAR($J1295-WEEKDAY($J1295,2)+4)&amp;"-W"&amp;TEXT(WEEKNUM($J1295,21),"00"))</f>
        <v/>
      </c>
      <c r="B1295" s="41">
        <f>IF($J1295="","",COUNTIFS(Roster!$D$4:$D$500,"Active",Roster!$C$4:$C$500,"&lt;="&amp;$J1295))</f>
        <v/>
      </c>
      <c r="C1295">
        <f>IF($J1295="","",SUMIFS('Hours Log'!$C:$C,'Hours Log'!$A:$A,"&gt;="&amp;$J1295,'Hours Log'!$A:$A,"&lt;"&amp;$J1295+7)+SUMIFS('Hours Log'!$D:$D,'Hours Log'!$A:$A,"&gt;="&amp;$J1295,'Hours Log'!$A:$A,"&lt;"&amp;$J1295+7))</f>
        <v/>
      </c>
      <c r="D1295">
        <f>IF($J1295="","",SUMIFS('Hours Log'!$D:$D,'Hours Log'!$A:$A,"&gt;="&amp;$J1295,'Hours Log'!$A:$A,"&lt;"&amp;$J1295+7))</f>
        <v/>
      </c>
      <c r="E1295">
        <f>IF($J1295="","",IFERROR(C1295/(B1295*40),0))</f>
        <v/>
      </c>
      <c r="F1295">
        <f>IF($J1295="","",0)</f>
        <v/>
      </c>
      <c r="G1295">
        <f>IF($J1295="","",SUMIFS('Hours Log'!$E:$E,'Hours Log'!$A:$A,"&gt;="&amp;$J1295,'Hours Log'!$A:$A,"&lt;"&amp;$J1295+7))</f>
        <v/>
      </c>
      <c r="J1295">
        <f>IF(COUNT('Hours Log'!$A$4:$A$5000)=0,"",IF(MIN('Hours Log'!$A$4:$A$5000)+7*(ROW()-10)&gt;MAX('Hours Log'!$A$4:$A$5000),"",MIN('Hours Log'!$A$4:$A$5000)+7*(ROW()-10)))</f>
        <v/>
      </c>
    </row>
    <row r="1296">
      <c r="A1296">
        <f>IF($J1296="","",YEAR($J1296-WEEKDAY($J1296,2)+4)&amp;"-W"&amp;TEXT(WEEKNUM($J1296,21),"00"))</f>
        <v/>
      </c>
      <c r="B1296" s="41">
        <f>IF($J1296="","",COUNTIFS(Roster!$D$4:$D$500,"Active",Roster!$C$4:$C$500,"&lt;="&amp;$J1296))</f>
        <v/>
      </c>
      <c r="C1296">
        <f>IF($J1296="","",SUMIFS('Hours Log'!$C:$C,'Hours Log'!$A:$A,"&gt;="&amp;$J1296,'Hours Log'!$A:$A,"&lt;"&amp;$J1296+7)+SUMIFS('Hours Log'!$D:$D,'Hours Log'!$A:$A,"&gt;="&amp;$J1296,'Hours Log'!$A:$A,"&lt;"&amp;$J1296+7))</f>
        <v/>
      </c>
      <c r="D1296">
        <f>IF($J1296="","",SUMIFS('Hours Log'!$D:$D,'Hours Log'!$A:$A,"&gt;="&amp;$J1296,'Hours Log'!$A:$A,"&lt;"&amp;$J1296+7))</f>
        <v/>
      </c>
      <c r="E1296">
        <f>IF($J1296="","",IFERROR(C1296/(B1296*40),0))</f>
        <v/>
      </c>
      <c r="F1296">
        <f>IF($J1296="","",0)</f>
        <v/>
      </c>
      <c r="G1296">
        <f>IF($J1296="","",SUMIFS('Hours Log'!$E:$E,'Hours Log'!$A:$A,"&gt;="&amp;$J1296,'Hours Log'!$A:$A,"&lt;"&amp;$J1296+7))</f>
        <v/>
      </c>
      <c r="J1296">
        <f>IF(COUNT('Hours Log'!$A$4:$A$5000)=0,"",IF(MIN('Hours Log'!$A$4:$A$5000)+7*(ROW()-10)&gt;MAX('Hours Log'!$A$4:$A$5000),"",MIN('Hours Log'!$A$4:$A$5000)+7*(ROW()-10)))</f>
        <v/>
      </c>
    </row>
    <row r="1297">
      <c r="A1297">
        <f>IF($J1297="","",YEAR($J1297-WEEKDAY($J1297,2)+4)&amp;"-W"&amp;TEXT(WEEKNUM($J1297,21),"00"))</f>
        <v/>
      </c>
      <c r="B1297" s="41">
        <f>IF($J1297="","",COUNTIFS(Roster!$D$4:$D$500,"Active",Roster!$C$4:$C$500,"&lt;="&amp;$J1297))</f>
        <v/>
      </c>
      <c r="C1297">
        <f>IF($J1297="","",SUMIFS('Hours Log'!$C:$C,'Hours Log'!$A:$A,"&gt;="&amp;$J1297,'Hours Log'!$A:$A,"&lt;"&amp;$J1297+7)+SUMIFS('Hours Log'!$D:$D,'Hours Log'!$A:$A,"&gt;="&amp;$J1297,'Hours Log'!$A:$A,"&lt;"&amp;$J1297+7))</f>
        <v/>
      </c>
      <c r="D1297">
        <f>IF($J1297="","",SUMIFS('Hours Log'!$D:$D,'Hours Log'!$A:$A,"&gt;="&amp;$J1297,'Hours Log'!$A:$A,"&lt;"&amp;$J1297+7))</f>
        <v/>
      </c>
      <c r="E1297">
        <f>IF($J1297="","",IFERROR(C1297/(B1297*40),0))</f>
        <v/>
      </c>
      <c r="F1297">
        <f>IF($J1297="","",0)</f>
        <v/>
      </c>
      <c r="G1297">
        <f>IF($J1297="","",SUMIFS('Hours Log'!$E:$E,'Hours Log'!$A:$A,"&gt;="&amp;$J1297,'Hours Log'!$A:$A,"&lt;"&amp;$J1297+7))</f>
        <v/>
      </c>
      <c r="J1297">
        <f>IF(COUNT('Hours Log'!$A$4:$A$5000)=0,"",IF(MIN('Hours Log'!$A$4:$A$5000)+7*(ROW()-10)&gt;MAX('Hours Log'!$A$4:$A$5000),"",MIN('Hours Log'!$A$4:$A$5000)+7*(ROW()-10)))</f>
        <v/>
      </c>
    </row>
    <row r="1298">
      <c r="A1298">
        <f>IF($J1298="","",YEAR($J1298-WEEKDAY($J1298,2)+4)&amp;"-W"&amp;TEXT(WEEKNUM($J1298,21),"00"))</f>
        <v/>
      </c>
      <c r="B1298" s="41">
        <f>IF($J1298="","",COUNTIFS(Roster!$D$4:$D$500,"Active",Roster!$C$4:$C$500,"&lt;="&amp;$J1298))</f>
        <v/>
      </c>
      <c r="C1298">
        <f>IF($J1298="","",SUMIFS('Hours Log'!$C:$C,'Hours Log'!$A:$A,"&gt;="&amp;$J1298,'Hours Log'!$A:$A,"&lt;"&amp;$J1298+7)+SUMIFS('Hours Log'!$D:$D,'Hours Log'!$A:$A,"&gt;="&amp;$J1298,'Hours Log'!$A:$A,"&lt;"&amp;$J1298+7))</f>
        <v/>
      </c>
      <c r="D1298">
        <f>IF($J1298="","",SUMIFS('Hours Log'!$D:$D,'Hours Log'!$A:$A,"&gt;="&amp;$J1298,'Hours Log'!$A:$A,"&lt;"&amp;$J1298+7))</f>
        <v/>
      </c>
      <c r="E1298">
        <f>IF($J1298="","",IFERROR(C1298/(B1298*40),0))</f>
        <v/>
      </c>
      <c r="F1298">
        <f>IF($J1298="","",0)</f>
        <v/>
      </c>
      <c r="G1298">
        <f>IF($J1298="","",SUMIFS('Hours Log'!$E:$E,'Hours Log'!$A:$A,"&gt;="&amp;$J1298,'Hours Log'!$A:$A,"&lt;"&amp;$J1298+7))</f>
        <v/>
      </c>
      <c r="J1298">
        <f>IF(COUNT('Hours Log'!$A$4:$A$5000)=0,"",IF(MIN('Hours Log'!$A$4:$A$5000)+7*(ROW()-10)&gt;MAX('Hours Log'!$A$4:$A$5000),"",MIN('Hours Log'!$A$4:$A$5000)+7*(ROW()-10)))</f>
        <v/>
      </c>
    </row>
    <row r="1299">
      <c r="A1299">
        <f>IF($J1299="","",YEAR($J1299-WEEKDAY($J1299,2)+4)&amp;"-W"&amp;TEXT(WEEKNUM($J1299,21),"00"))</f>
        <v/>
      </c>
      <c r="B1299" s="41">
        <f>IF($J1299="","",COUNTIFS(Roster!$D$4:$D$500,"Active",Roster!$C$4:$C$500,"&lt;="&amp;$J1299))</f>
        <v/>
      </c>
      <c r="C1299">
        <f>IF($J1299="","",SUMIFS('Hours Log'!$C:$C,'Hours Log'!$A:$A,"&gt;="&amp;$J1299,'Hours Log'!$A:$A,"&lt;"&amp;$J1299+7)+SUMIFS('Hours Log'!$D:$D,'Hours Log'!$A:$A,"&gt;="&amp;$J1299,'Hours Log'!$A:$A,"&lt;"&amp;$J1299+7))</f>
        <v/>
      </c>
      <c r="D1299">
        <f>IF($J1299="","",SUMIFS('Hours Log'!$D:$D,'Hours Log'!$A:$A,"&gt;="&amp;$J1299,'Hours Log'!$A:$A,"&lt;"&amp;$J1299+7))</f>
        <v/>
      </c>
      <c r="E1299">
        <f>IF($J1299="","",IFERROR(C1299/(B1299*40),0))</f>
        <v/>
      </c>
      <c r="F1299">
        <f>IF($J1299="","",0)</f>
        <v/>
      </c>
      <c r="G1299">
        <f>IF($J1299="","",SUMIFS('Hours Log'!$E:$E,'Hours Log'!$A:$A,"&gt;="&amp;$J1299,'Hours Log'!$A:$A,"&lt;"&amp;$J1299+7))</f>
        <v/>
      </c>
      <c r="J1299">
        <f>IF(COUNT('Hours Log'!$A$4:$A$5000)=0,"",IF(MIN('Hours Log'!$A$4:$A$5000)+7*(ROW()-10)&gt;MAX('Hours Log'!$A$4:$A$5000),"",MIN('Hours Log'!$A$4:$A$5000)+7*(ROW()-10)))</f>
        <v/>
      </c>
    </row>
    <row r="1300">
      <c r="A1300">
        <f>IF($J1300="","",YEAR($J1300-WEEKDAY($J1300,2)+4)&amp;"-W"&amp;TEXT(WEEKNUM($J1300,21),"00"))</f>
        <v/>
      </c>
      <c r="B1300" s="41">
        <f>IF($J1300="","",COUNTIFS(Roster!$D$4:$D$500,"Active",Roster!$C$4:$C$500,"&lt;="&amp;$J1300))</f>
        <v/>
      </c>
      <c r="C1300">
        <f>IF($J1300="","",SUMIFS('Hours Log'!$C:$C,'Hours Log'!$A:$A,"&gt;="&amp;$J1300,'Hours Log'!$A:$A,"&lt;"&amp;$J1300+7)+SUMIFS('Hours Log'!$D:$D,'Hours Log'!$A:$A,"&gt;="&amp;$J1300,'Hours Log'!$A:$A,"&lt;"&amp;$J1300+7))</f>
        <v/>
      </c>
      <c r="D1300">
        <f>IF($J1300="","",SUMIFS('Hours Log'!$D:$D,'Hours Log'!$A:$A,"&gt;="&amp;$J1300,'Hours Log'!$A:$A,"&lt;"&amp;$J1300+7))</f>
        <v/>
      </c>
      <c r="E1300">
        <f>IF($J1300="","",IFERROR(C1300/(B1300*40),0))</f>
        <v/>
      </c>
      <c r="F1300">
        <f>IF($J1300="","",0)</f>
        <v/>
      </c>
      <c r="G1300">
        <f>IF($J1300="","",SUMIFS('Hours Log'!$E:$E,'Hours Log'!$A:$A,"&gt;="&amp;$J1300,'Hours Log'!$A:$A,"&lt;"&amp;$J1300+7))</f>
        <v/>
      </c>
      <c r="J1300">
        <f>IF(COUNT('Hours Log'!$A$4:$A$5000)=0,"",IF(MIN('Hours Log'!$A$4:$A$5000)+7*(ROW()-10)&gt;MAX('Hours Log'!$A$4:$A$5000),"",MIN('Hours Log'!$A$4:$A$5000)+7*(ROW()-10)))</f>
        <v/>
      </c>
    </row>
    <row r="1301">
      <c r="A1301">
        <f>IF($J1301="","",YEAR($J1301-WEEKDAY($J1301,2)+4)&amp;"-W"&amp;TEXT(WEEKNUM($J1301,21),"00"))</f>
        <v/>
      </c>
      <c r="B1301" s="41">
        <f>IF($J1301="","",COUNTIFS(Roster!$D$4:$D$500,"Active",Roster!$C$4:$C$500,"&lt;="&amp;$J1301))</f>
        <v/>
      </c>
      <c r="C1301">
        <f>IF($J1301="","",SUMIFS('Hours Log'!$C:$C,'Hours Log'!$A:$A,"&gt;="&amp;$J1301,'Hours Log'!$A:$A,"&lt;"&amp;$J1301+7)+SUMIFS('Hours Log'!$D:$D,'Hours Log'!$A:$A,"&gt;="&amp;$J1301,'Hours Log'!$A:$A,"&lt;"&amp;$J1301+7))</f>
        <v/>
      </c>
      <c r="D1301">
        <f>IF($J1301="","",SUMIFS('Hours Log'!$D:$D,'Hours Log'!$A:$A,"&gt;="&amp;$J1301,'Hours Log'!$A:$A,"&lt;"&amp;$J1301+7))</f>
        <v/>
      </c>
      <c r="E1301">
        <f>IF($J1301="","",IFERROR(C1301/(B1301*40),0))</f>
        <v/>
      </c>
      <c r="F1301">
        <f>IF($J1301="","",0)</f>
        <v/>
      </c>
      <c r="G1301">
        <f>IF($J1301="","",SUMIFS('Hours Log'!$E:$E,'Hours Log'!$A:$A,"&gt;="&amp;$J1301,'Hours Log'!$A:$A,"&lt;"&amp;$J1301+7))</f>
        <v/>
      </c>
      <c r="J1301">
        <f>IF(COUNT('Hours Log'!$A$4:$A$5000)=0,"",IF(MIN('Hours Log'!$A$4:$A$5000)+7*(ROW()-10)&gt;MAX('Hours Log'!$A$4:$A$5000),"",MIN('Hours Log'!$A$4:$A$5000)+7*(ROW()-10)))</f>
        <v/>
      </c>
    </row>
    <row r="1302">
      <c r="A1302">
        <f>IF($J1302="","",YEAR($J1302-WEEKDAY($J1302,2)+4)&amp;"-W"&amp;TEXT(WEEKNUM($J1302,21),"00"))</f>
        <v/>
      </c>
      <c r="B1302" s="41">
        <f>IF($J1302="","",COUNTIFS(Roster!$D$4:$D$500,"Active",Roster!$C$4:$C$500,"&lt;="&amp;$J1302))</f>
        <v/>
      </c>
      <c r="C1302">
        <f>IF($J1302="","",SUMIFS('Hours Log'!$C:$C,'Hours Log'!$A:$A,"&gt;="&amp;$J1302,'Hours Log'!$A:$A,"&lt;"&amp;$J1302+7)+SUMIFS('Hours Log'!$D:$D,'Hours Log'!$A:$A,"&gt;="&amp;$J1302,'Hours Log'!$A:$A,"&lt;"&amp;$J1302+7))</f>
        <v/>
      </c>
      <c r="D1302">
        <f>IF($J1302="","",SUMIFS('Hours Log'!$D:$D,'Hours Log'!$A:$A,"&gt;="&amp;$J1302,'Hours Log'!$A:$A,"&lt;"&amp;$J1302+7))</f>
        <v/>
      </c>
      <c r="E1302">
        <f>IF($J1302="","",IFERROR(C1302/(B1302*40),0))</f>
        <v/>
      </c>
      <c r="F1302">
        <f>IF($J1302="","",0)</f>
        <v/>
      </c>
      <c r="G1302">
        <f>IF($J1302="","",SUMIFS('Hours Log'!$E:$E,'Hours Log'!$A:$A,"&gt;="&amp;$J1302,'Hours Log'!$A:$A,"&lt;"&amp;$J1302+7))</f>
        <v/>
      </c>
      <c r="J1302">
        <f>IF(COUNT('Hours Log'!$A$4:$A$5000)=0,"",IF(MIN('Hours Log'!$A$4:$A$5000)+7*(ROW()-10)&gt;MAX('Hours Log'!$A$4:$A$5000),"",MIN('Hours Log'!$A$4:$A$5000)+7*(ROW()-10)))</f>
        <v/>
      </c>
    </row>
    <row r="1303">
      <c r="A1303">
        <f>IF($J1303="","",YEAR($J1303-WEEKDAY($J1303,2)+4)&amp;"-W"&amp;TEXT(WEEKNUM($J1303,21),"00"))</f>
        <v/>
      </c>
      <c r="B1303" s="41">
        <f>IF($J1303="","",COUNTIFS(Roster!$D$4:$D$500,"Active",Roster!$C$4:$C$500,"&lt;="&amp;$J1303))</f>
        <v/>
      </c>
      <c r="C1303">
        <f>IF($J1303="","",SUMIFS('Hours Log'!$C:$C,'Hours Log'!$A:$A,"&gt;="&amp;$J1303,'Hours Log'!$A:$A,"&lt;"&amp;$J1303+7)+SUMIFS('Hours Log'!$D:$D,'Hours Log'!$A:$A,"&gt;="&amp;$J1303,'Hours Log'!$A:$A,"&lt;"&amp;$J1303+7))</f>
        <v/>
      </c>
      <c r="D1303">
        <f>IF($J1303="","",SUMIFS('Hours Log'!$D:$D,'Hours Log'!$A:$A,"&gt;="&amp;$J1303,'Hours Log'!$A:$A,"&lt;"&amp;$J1303+7))</f>
        <v/>
      </c>
      <c r="E1303">
        <f>IF($J1303="","",IFERROR(C1303/(B1303*40),0))</f>
        <v/>
      </c>
      <c r="F1303">
        <f>IF($J1303="","",0)</f>
        <v/>
      </c>
      <c r="G1303">
        <f>IF($J1303="","",SUMIFS('Hours Log'!$E:$E,'Hours Log'!$A:$A,"&gt;="&amp;$J1303,'Hours Log'!$A:$A,"&lt;"&amp;$J1303+7))</f>
        <v/>
      </c>
      <c r="J1303">
        <f>IF(COUNT('Hours Log'!$A$4:$A$5000)=0,"",IF(MIN('Hours Log'!$A$4:$A$5000)+7*(ROW()-10)&gt;MAX('Hours Log'!$A$4:$A$5000),"",MIN('Hours Log'!$A$4:$A$5000)+7*(ROW()-10)))</f>
        <v/>
      </c>
    </row>
    <row r="1304">
      <c r="A1304">
        <f>IF($J1304="","",YEAR($J1304-WEEKDAY($J1304,2)+4)&amp;"-W"&amp;TEXT(WEEKNUM($J1304,21),"00"))</f>
        <v/>
      </c>
      <c r="B1304" s="41">
        <f>IF($J1304="","",COUNTIFS(Roster!$D$4:$D$500,"Active",Roster!$C$4:$C$500,"&lt;="&amp;$J1304))</f>
        <v/>
      </c>
      <c r="C1304">
        <f>IF($J1304="","",SUMIFS('Hours Log'!$C:$C,'Hours Log'!$A:$A,"&gt;="&amp;$J1304,'Hours Log'!$A:$A,"&lt;"&amp;$J1304+7)+SUMIFS('Hours Log'!$D:$D,'Hours Log'!$A:$A,"&gt;="&amp;$J1304,'Hours Log'!$A:$A,"&lt;"&amp;$J1304+7))</f>
        <v/>
      </c>
      <c r="D1304">
        <f>IF($J1304="","",SUMIFS('Hours Log'!$D:$D,'Hours Log'!$A:$A,"&gt;="&amp;$J1304,'Hours Log'!$A:$A,"&lt;"&amp;$J1304+7))</f>
        <v/>
      </c>
      <c r="E1304">
        <f>IF($J1304="","",IFERROR(C1304/(B1304*40),0))</f>
        <v/>
      </c>
      <c r="F1304">
        <f>IF($J1304="","",0)</f>
        <v/>
      </c>
      <c r="G1304">
        <f>IF($J1304="","",SUMIFS('Hours Log'!$E:$E,'Hours Log'!$A:$A,"&gt;="&amp;$J1304,'Hours Log'!$A:$A,"&lt;"&amp;$J1304+7))</f>
        <v/>
      </c>
      <c r="J1304">
        <f>IF(COUNT('Hours Log'!$A$4:$A$5000)=0,"",IF(MIN('Hours Log'!$A$4:$A$5000)+7*(ROW()-10)&gt;MAX('Hours Log'!$A$4:$A$5000),"",MIN('Hours Log'!$A$4:$A$5000)+7*(ROW()-10)))</f>
        <v/>
      </c>
    </row>
    <row r="1305">
      <c r="A1305">
        <f>IF($J1305="","",YEAR($J1305-WEEKDAY($J1305,2)+4)&amp;"-W"&amp;TEXT(WEEKNUM($J1305,21),"00"))</f>
        <v/>
      </c>
      <c r="B1305" s="41">
        <f>IF($J1305="","",COUNTIFS(Roster!$D$4:$D$500,"Active",Roster!$C$4:$C$500,"&lt;="&amp;$J1305))</f>
        <v/>
      </c>
      <c r="C1305">
        <f>IF($J1305="","",SUMIFS('Hours Log'!$C:$C,'Hours Log'!$A:$A,"&gt;="&amp;$J1305,'Hours Log'!$A:$A,"&lt;"&amp;$J1305+7)+SUMIFS('Hours Log'!$D:$D,'Hours Log'!$A:$A,"&gt;="&amp;$J1305,'Hours Log'!$A:$A,"&lt;"&amp;$J1305+7))</f>
        <v/>
      </c>
      <c r="D1305">
        <f>IF($J1305="","",SUMIFS('Hours Log'!$D:$D,'Hours Log'!$A:$A,"&gt;="&amp;$J1305,'Hours Log'!$A:$A,"&lt;"&amp;$J1305+7))</f>
        <v/>
      </c>
      <c r="E1305">
        <f>IF($J1305="","",IFERROR(C1305/(B1305*40),0))</f>
        <v/>
      </c>
      <c r="F1305">
        <f>IF($J1305="","",0)</f>
        <v/>
      </c>
      <c r="G1305">
        <f>IF($J1305="","",SUMIFS('Hours Log'!$E:$E,'Hours Log'!$A:$A,"&gt;="&amp;$J1305,'Hours Log'!$A:$A,"&lt;"&amp;$J1305+7))</f>
        <v/>
      </c>
      <c r="J1305">
        <f>IF(COUNT('Hours Log'!$A$4:$A$5000)=0,"",IF(MIN('Hours Log'!$A$4:$A$5000)+7*(ROW()-10)&gt;MAX('Hours Log'!$A$4:$A$5000),"",MIN('Hours Log'!$A$4:$A$5000)+7*(ROW()-10)))</f>
        <v/>
      </c>
    </row>
    <row r="1306">
      <c r="A1306">
        <f>IF($J1306="","",YEAR($J1306-WEEKDAY($J1306,2)+4)&amp;"-W"&amp;TEXT(WEEKNUM($J1306,21),"00"))</f>
        <v/>
      </c>
      <c r="B1306" s="41">
        <f>IF($J1306="","",COUNTIFS(Roster!$D$4:$D$500,"Active",Roster!$C$4:$C$500,"&lt;="&amp;$J1306))</f>
        <v/>
      </c>
      <c r="C1306">
        <f>IF($J1306="","",SUMIFS('Hours Log'!$C:$C,'Hours Log'!$A:$A,"&gt;="&amp;$J1306,'Hours Log'!$A:$A,"&lt;"&amp;$J1306+7)+SUMIFS('Hours Log'!$D:$D,'Hours Log'!$A:$A,"&gt;="&amp;$J1306,'Hours Log'!$A:$A,"&lt;"&amp;$J1306+7))</f>
        <v/>
      </c>
      <c r="D1306">
        <f>IF($J1306="","",SUMIFS('Hours Log'!$D:$D,'Hours Log'!$A:$A,"&gt;="&amp;$J1306,'Hours Log'!$A:$A,"&lt;"&amp;$J1306+7))</f>
        <v/>
      </c>
      <c r="E1306">
        <f>IF($J1306="","",IFERROR(C1306/(B1306*40),0))</f>
        <v/>
      </c>
      <c r="F1306">
        <f>IF($J1306="","",0)</f>
        <v/>
      </c>
      <c r="G1306">
        <f>IF($J1306="","",SUMIFS('Hours Log'!$E:$E,'Hours Log'!$A:$A,"&gt;="&amp;$J1306,'Hours Log'!$A:$A,"&lt;"&amp;$J1306+7))</f>
        <v/>
      </c>
      <c r="J1306">
        <f>IF(COUNT('Hours Log'!$A$4:$A$5000)=0,"",IF(MIN('Hours Log'!$A$4:$A$5000)+7*(ROW()-10)&gt;MAX('Hours Log'!$A$4:$A$5000),"",MIN('Hours Log'!$A$4:$A$5000)+7*(ROW()-10)))</f>
        <v/>
      </c>
    </row>
    <row r="1307">
      <c r="A1307">
        <f>IF($J1307="","",YEAR($J1307-WEEKDAY($J1307,2)+4)&amp;"-W"&amp;TEXT(WEEKNUM($J1307,21),"00"))</f>
        <v/>
      </c>
      <c r="B1307" s="41">
        <f>IF($J1307="","",COUNTIFS(Roster!$D$4:$D$500,"Active",Roster!$C$4:$C$500,"&lt;="&amp;$J1307))</f>
        <v/>
      </c>
      <c r="C1307">
        <f>IF($J1307="","",SUMIFS('Hours Log'!$C:$C,'Hours Log'!$A:$A,"&gt;="&amp;$J1307,'Hours Log'!$A:$A,"&lt;"&amp;$J1307+7)+SUMIFS('Hours Log'!$D:$D,'Hours Log'!$A:$A,"&gt;="&amp;$J1307,'Hours Log'!$A:$A,"&lt;"&amp;$J1307+7))</f>
        <v/>
      </c>
      <c r="D1307">
        <f>IF($J1307="","",SUMIFS('Hours Log'!$D:$D,'Hours Log'!$A:$A,"&gt;="&amp;$J1307,'Hours Log'!$A:$A,"&lt;"&amp;$J1307+7))</f>
        <v/>
      </c>
      <c r="E1307">
        <f>IF($J1307="","",IFERROR(C1307/(B1307*40),0))</f>
        <v/>
      </c>
      <c r="F1307">
        <f>IF($J1307="","",0)</f>
        <v/>
      </c>
      <c r="G1307">
        <f>IF($J1307="","",SUMIFS('Hours Log'!$E:$E,'Hours Log'!$A:$A,"&gt;="&amp;$J1307,'Hours Log'!$A:$A,"&lt;"&amp;$J1307+7))</f>
        <v/>
      </c>
      <c r="J1307">
        <f>IF(COUNT('Hours Log'!$A$4:$A$5000)=0,"",IF(MIN('Hours Log'!$A$4:$A$5000)+7*(ROW()-10)&gt;MAX('Hours Log'!$A$4:$A$5000),"",MIN('Hours Log'!$A$4:$A$5000)+7*(ROW()-10)))</f>
        <v/>
      </c>
    </row>
    <row r="1308">
      <c r="A1308">
        <f>IF($J1308="","",YEAR($J1308-WEEKDAY($J1308,2)+4)&amp;"-W"&amp;TEXT(WEEKNUM($J1308,21),"00"))</f>
        <v/>
      </c>
      <c r="B1308" s="41">
        <f>IF($J1308="","",COUNTIFS(Roster!$D$4:$D$500,"Active",Roster!$C$4:$C$500,"&lt;="&amp;$J1308))</f>
        <v/>
      </c>
      <c r="C1308">
        <f>IF($J1308="","",SUMIFS('Hours Log'!$C:$C,'Hours Log'!$A:$A,"&gt;="&amp;$J1308,'Hours Log'!$A:$A,"&lt;"&amp;$J1308+7)+SUMIFS('Hours Log'!$D:$D,'Hours Log'!$A:$A,"&gt;="&amp;$J1308,'Hours Log'!$A:$A,"&lt;"&amp;$J1308+7))</f>
        <v/>
      </c>
      <c r="D1308">
        <f>IF($J1308="","",SUMIFS('Hours Log'!$D:$D,'Hours Log'!$A:$A,"&gt;="&amp;$J1308,'Hours Log'!$A:$A,"&lt;"&amp;$J1308+7))</f>
        <v/>
      </c>
      <c r="E1308">
        <f>IF($J1308="","",IFERROR(C1308/(B1308*40),0))</f>
        <v/>
      </c>
      <c r="F1308">
        <f>IF($J1308="","",0)</f>
        <v/>
      </c>
      <c r="G1308">
        <f>IF($J1308="","",SUMIFS('Hours Log'!$E:$E,'Hours Log'!$A:$A,"&gt;="&amp;$J1308,'Hours Log'!$A:$A,"&lt;"&amp;$J1308+7))</f>
        <v/>
      </c>
      <c r="J1308">
        <f>IF(COUNT('Hours Log'!$A$4:$A$5000)=0,"",IF(MIN('Hours Log'!$A$4:$A$5000)+7*(ROW()-10)&gt;MAX('Hours Log'!$A$4:$A$5000),"",MIN('Hours Log'!$A$4:$A$5000)+7*(ROW()-10)))</f>
        <v/>
      </c>
    </row>
    <row r="1309">
      <c r="A1309">
        <f>IF($J1309="","",YEAR($J1309-WEEKDAY($J1309,2)+4)&amp;"-W"&amp;TEXT(WEEKNUM($J1309,21),"00"))</f>
        <v/>
      </c>
      <c r="B1309" s="41">
        <f>IF($J1309="","",COUNTIFS(Roster!$D$4:$D$500,"Active",Roster!$C$4:$C$500,"&lt;="&amp;$J1309))</f>
        <v/>
      </c>
      <c r="C1309">
        <f>IF($J1309="","",SUMIFS('Hours Log'!$C:$C,'Hours Log'!$A:$A,"&gt;="&amp;$J1309,'Hours Log'!$A:$A,"&lt;"&amp;$J1309+7)+SUMIFS('Hours Log'!$D:$D,'Hours Log'!$A:$A,"&gt;="&amp;$J1309,'Hours Log'!$A:$A,"&lt;"&amp;$J1309+7))</f>
        <v/>
      </c>
      <c r="D1309">
        <f>IF($J1309="","",SUMIFS('Hours Log'!$D:$D,'Hours Log'!$A:$A,"&gt;="&amp;$J1309,'Hours Log'!$A:$A,"&lt;"&amp;$J1309+7))</f>
        <v/>
      </c>
      <c r="E1309">
        <f>IF($J1309="","",IFERROR(C1309/(B1309*40),0))</f>
        <v/>
      </c>
      <c r="F1309">
        <f>IF($J1309="","",0)</f>
        <v/>
      </c>
      <c r="G1309">
        <f>IF($J1309="","",SUMIFS('Hours Log'!$E:$E,'Hours Log'!$A:$A,"&gt;="&amp;$J1309,'Hours Log'!$A:$A,"&lt;"&amp;$J1309+7))</f>
        <v/>
      </c>
      <c r="J1309">
        <f>IF(COUNT('Hours Log'!$A$4:$A$5000)=0,"",IF(MIN('Hours Log'!$A$4:$A$5000)+7*(ROW()-10)&gt;MAX('Hours Log'!$A$4:$A$5000),"",MIN('Hours Log'!$A$4:$A$5000)+7*(ROW()-10)))</f>
        <v/>
      </c>
    </row>
    <row r="1310">
      <c r="A1310">
        <f>IF($J1310="","",YEAR($J1310-WEEKDAY($J1310,2)+4)&amp;"-W"&amp;TEXT(WEEKNUM($J1310,21),"00"))</f>
        <v/>
      </c>
      <c r="B1310" s="41">
        <f>IF($J1310="","",COUNTIFS(Roster!$D$4:$D$500,"Active",Roster!$C$4:$C$500,"&lt;="&amp;$J1310))</f>
        <v/>
      </c>
      <c r="C1310">
        <f>IF($J1310="","",SUMIFS('Hours Log'!$C:$C,'Hours Log'!$A:$A,"&gt;="&amp;$J1310,'Hours Log'!$A:$A,"&lt;"&amp;$J1310+7)+SUMIFS('Hours Log'!$D:$D,'Hours Log'!$A:$A,"&gt;="&amp;$J1310,'Hours Log'!$A:$A,"&lt;"&amp;$J1310+7))</f>
        <v/>
      </c>
      <c r="D1310">
        <f>IF($J1310="","",SUMIFS('Hours Log'!$D:$D,'Hours Log'!$A:$A,"&gt;="&amp;$J1310,'Hours Log'!$A:$A,"&lt;"&amp;$J1310+7))</f>
        <v/>
      </c>
      <c r="E1310">
        <f>IF($J1310="","",IFERROR(C1310/(B1310*40),0))</f>
        <v/>
      </c>
      <c r="F1310">
        <f>IF($J1310="","",0)</f>
        <v/>
      </c>
      <c r="G1310">
        <f>IF($J1310="","",SUMIFS('Hours Log'!$E:$E,'Hours Log'!$A:$A,"&gt;="&amp;$J1310,'Hours Log'!$A:$A,"&lt;"&amp;$J1310+7))</f>
        <v/>
      </c>
      <c r="J1310">
        <f>IF(COUNT('Hours Log'!$A$4:$A$5000)=0,"",IF(MIN('Hours Log'!$A$4:$A$5000)+7*(ROW()-10)&gt;MAX('Hours Log'!$A$4:$A$5000),"",MIN('Hours Log'!$A$4:$A$5000)+7*(ROW()-10)))</f>
        <v/>
      </c>
    </row>
    <row r="1311">
      <c r="A1311">
        <f>IF($J1311="","",YEAR($J1311-WEEKDAY($J1311,2)+4)&amp;"-W"&amp;TEXT(WEEKNUM($J1311,21),"00"))</f>
        <v/>
      </c>
      <c r="B1311" s="41">
        <f>IF($J1311="","",COUNTIFS(Roster!$D$4:$D$500,"Active",Roster!$C$4:$C$500,"&lt;="&amp;$J1311))</f>
        <v/>
      </c>
      <c r="C1311">
        <f>IF($J1311="","",SUMIFS('Hours Log'!$C:$C,'Hours Log'!$A:$A,"&gt;="&amp;$J1311,'Hours Log'!$A:$A,"&lt;"&amp;$J1311+7)+SUMIFS('Hours Log'!$D:$D,'Hours Log'!$A:$A,"&gt;="&amp;$J1311,'Hours Log'!$A:$A,"&lt;"&amp;$J1311+7))</f>
        <v/>
      </c>
      <c r="D1311">
        <f>IF($J1311="","",SUMIFS('Hours Log'!$D:$D,'Hours Log'!$A:$A,"&gt;="&amp;$J1311,'Hours Log'!$A:$A,"&lt;"&amp;$J1311+7))</f>
        <v/>
      </c>
      <c r="E1311">
        <f>IF($J1311="","",IFERROR(C1311/(B1311*40),0))</f>
        <v/>
      </c>
      <c r="F1311">
        <f>IF($J1311="","",0)</f>
        <v/>
      </c>
      <c r="G1311">
        <f>IF($J1311="","",SUMIFS('Hours Log'!$E:$E,'Hours Log'!$A:$A,"&gt;="&amp;$J1311,'Hours Log'!$A:$A,"&lt;"&amp;$J1311+7))</f>
        <v/>
      </c>
      <c r="J1311">
        <f>IF(COUNT('Hours Log'!$A$4:$A$5000)=0,"",IF(MIN('Hours Log'!$A$4:$A$5000)+7*(ROW()-10)&gt;MAX('Hours Log'!$A$4:$A$5000),"",MIN('Hours Log'!$A$4:$A$5000)+7*(ROW()-10)))</f>
        <v/>
      </c>
    </row>
    <row r="1312">
      <c r="A1312">
        <f>IF($J1312="","",YEAR($J1312-WEEKDAY($J1312,2)+4)&amp;"-W"&amp;TEXT(WEEKNUM($J1312,21),"00"))</f>
        <v/>
      </c>
      <c r="B1312" s="41">
        <f>IF($J1312="","",COUNTIFS(Roster!$D$4:$D$500,"Active",Roster!$C$4:$C$500,"&lt;="&amp;$J1312))</f>
        <v/>
      </c>
      <c r="C1312">
        <f>IF($J1312="","",SUMIFS('Hours Log'!$C:$C,'Hours Log'!$A:$A,"&gt;="&amp;$J1312,'Hours Log'!$A:$A,"&lt;"&amp;$J1312+7)+SUMIFS('Hours Log'!$D:$D,'Hours Log'!$A:$A,"&gt;="&amp;$J1312,'Hours Log'!$A:$A,"&lt;"&amp;$J1312+7))</f>
        <v/>
      </c>
      <c r="D1312">
        <f>IF($J1312="","",SUMIFS('Hours Log'!$D:$D,'Hours Log'!$A:$A,"&gt;="&amp;$J1312,'Hours Log'!$A:$A,"&lt;"&amp;$J1312+7))</f>
        <v/>
      </c>
      <c r="E1312">
        <f>IF($J1312="","",IFERROR(C1312/(B1312*40),0))</f>
        <v/>
      </c>
      <c r="F1312">
        <f>IF($J1312="","",0)</f>
        <v/>
      </c>
      <c r="G1312">
        <f>IF($J1312="","",SUMIFS('Hours Log'!$E:$E,'Hours Log'!$A:$A,"&gt;="&amp;$J1312,'Hours Log'!$A:$A,"&lt;"&amp;$J1312+7))</f>
        <v/>
      </c>
      <c r="J1312">
        <f>IF(COUNT('Hours Log'!$A$4:$A$5000)=0,"",IF(MIN('Hours Log'!$A$4:$A$5000)+7*(ROW()-10)&gt;MAX('Hours Log'!$A$4:$A$5000),"",MIN('Hours Log'!$A$4:$A$5000)+7*(ROW()-10)))</f>
        <v/>
      </c>
    </row>
    <row r="1313">
      <c r="A1313">
        <f>IF($J1313="","",YEAR($J1313-WEEKDAY($J1313,2)+4)&amp;"-W"&amp;TEXT(WEEKNUM($J1313,21),"00"))</f>
        <v/>
      </c>
      <c r="B1313" s="41">
        <f>IF($J1313="","",COUNTIFS(Roster!$D$4:$D$500,"Active",Roster!$C$4:$C$500,"&lt;="&amp;$J1313))</f>
        <v/>
      </c>
      <c r="C1313">
        <f>IF($J1313="","",SUMIFS('Hours Log'!$C:$C,'Hours Log'!$A:$A,"&gt;="&amp;$J1313,'Hours Log'!$A:$A,"&lt;"&amp;$J1313+7)+SUMIFS('Hours Log'!$D:$D,'Hours Log'!$A:$A,"&gt;="&amp;$J1313,'Hours Log'!$A:$A,"&lt;"&amp;$J1313+7))</f>
        <v/>
      </c>
      <c r="D1313">
        <f>IF($J1313="","",SUMIFS('Hours Log'!$D:$D,'Hours Log'!$A:$A,"&gt;="&amp;$J1313,'Hours Log'!$A:$A,"&lt;"&amp;$J1313+7))</f>
        <v/>
      </c>
      <c r="E1313">
        <f>IF($J1313="","",IFERROR(C1313/(B1313*40),0))</f>
        <v/>
      </c>
      <c r="F1313">
        <f>IF($J1313="","",0)</f>
        <v/>
      </c>
      <c r="G1313">
        <f>IF($J1313="","",SUMIFS('Hours Log'!$E:$E,'Hours Log'!$A:$A,"&gt;="&amp;$J1313,'Hours Log'!$A:$A,"&lt;"&amp;$J1313+7))</f>
        <v/>
      </c>
      <c r="J1313">
        <f>IF(COUNT('Hours Log'!$A$4:$A$5000)=0,"",IF(MIN('Hours Log'!$A$4:$A$5000)+7*(ROW()-10)&gt;MAX('Hours Log'!$A$4:$A$5000),"",MIN('Hours Log'!$A$4:$A$5000)+7*(ROW()-10)))</f>
        <v/>
      </c>
    </row>
    <row r="1314">
      <c r="A1314">
        <f>IF($J1314="","",YEAR($J1314-WEEKDAY($J1314,2)+4)&amp;"-W"&amp;TEXT(WEEKNUM($J1314,21),"00"))</f>
        <v/>
      </c>
      <c r="B1314" s="41">
        <f>IF($J1314="","",COUNTIFS(Roster!$D$4:$D$500,"Active",Roster!$C$4:$C$500,"&lt;="&amp;$J1314))</f>
        <v/>
      </c>
      <c r="C1314">
        <f>IF($J1314="","",SUMIFS('Hours Log'!$C:$C,'Hours Log'!$A:$A,"&gt;="&amp;$J1314,'Hours Log'!$A:$A,"&lt;"&amp;$J1314+7)+SUMIFS('Hours Log'!$D:$D,'Hours Log'!$A:$A,"&gt;="&amp;$J1314,'Hours Log'!$A:$A,"&lt;"&amp;$J1314+7))</f>
        <v/>
      </c>
      <c r="D1314">
        <f>IF($J1314="","",SUMIFS('Hours Log'!$D:$D,'Hours Log'!$A:$A,"&gt;="&amp;$J1314,'Hours Log'!$A:$A,"&lt;"&amp;$J1314+7))</f>
        <v/>
      </c>
      <c r="E1314">
        <f>IF($J1314="","",IFERROR(C1314/(B1314*40),0))</f>
        <v/>
      </c>
      <c r="F1314">
        <f>IF($J1314="","",0)</f>
        <v/>
      </c>
      <c r="G1314">
        <f>IF($J1314="","",SUMIFS('Hours Log'!$E:$E,'Hours Log'!$A:$A,"&gt;="&amp;$J1314,'Hours Log'!$A:$A,"&lt;"&amp;$J1314+7))</f>
        <v/>
      </c>
      <c r="J1314">
        <f>IF(COUNT('Hours Log'!$A$4:$A$5000)=0,"",IF(MIN('Hours Log'!$A$4:$A$5000)+7*(ROW()-10)&gt;MAX('Hours Log'!$A$4:$A$5000),"",MIN('Hours Log'!$A$4:$A$5000)+7*(ROW()-10)))</f>
        <v/>
      </c>
    </row>
    <row r="1315">
      <c r="A1315">
        <f>IF($J1315="","",YEAR($J1315-WEEKDAY($J1315,2)+4)&amp;"-W"&amp;TEXT(WEEKNUM($J1315,21),"00"))</f>
        <v/>
      </c>
      <c r="B1315" s="41">
        <f>IF($J1315="","",COUNTIFS(Roster!$D$4:$D$500,"Active",Roster!$C$4:$C$500,"&lt;="&amp;$J1315))</f>
        <v/>
      </c>
      <c r="C1315">
        <f>IF($J1315="","",SUMIFS('Hours Log'!$C:$C,'Hours Log'!$A:$A,"&gt;="&amp;$J1315,'Hours Log'!$A:$A,"&lt;"&amp;$J1315+7)+SUMIFS('Hours Log'!$D:$D,'Hours Log'!$A:$A,"&gt;="&amp;$J1315,'Hours Log'!$A:$A,"&lt;"&amp;$J1315+7))</f>
        <v/>
      </c>
      <c r="D1315">
        <f>IF($J1315="","",SUMIFS('Hours Log'!$D:$D,'Hours Log'!$A:$A,"&gt;="&amp;$J1315,'Hours Log'!$A:$A,"&lt;"&amp;$J1315+7))</f>
        <v/>
      </c>
      <c r="E1315">
        <f>IF($J1315="","",IFERROR(C1315/(B1315*40),0))</f>
        <v/>
      </c>
      <c r="F1315">
        <f>IF($J1315="","",0)</f>
        <v/>
      </c>
      <c r="G1315">
        <f>IF($J1315="","",SUMIFS('Hours Log'!$E:$E,'Hours Log'!$A:$A,"&gt;="&amp;$J1315,'Hours Log'!$A:$A,"&lt;"&amp;$J1315+7))</f>
        <v/>
      </c>
      <c r="J1315">
        <f>IF(COUNT('Hours Log'!$A$4:$A$5000)=0,"",IF(MIN('Hours Log'!$A$4:$A$5000)+7*(ROW()-10)&gt;MAX('Hours Log'!$A$4:$A$5000),"",MIN('Hours Log'!$A$4:$A$5000)+7*(ROW()-10)))</f>
        <v/>
      </c>
    </row>
    <row r="1316">
      <c r="A1316">
        <f>IF($J1316="","",YEAR($J1316-WEEKDAY($J1316,2)+4)&amp;"-W"&amp;TEXT(WEEKNUM($J1316,21),"00"))</f>
        <v/>
      </c>
      <c r="B1316" s="41">
        <f>IF($J1316="","",COUNTIFS(Roster!$D$4:$D$500,"Active",Roster!$C$4:$C$500,"&lt;="&amp;$J1316))</f>
        <v/>
      </c>
      <c r="C1316">
        <f>IF($J1316="","",SUMIFS('Hours Log'!$C:$C,'Hours Log'!$A:$A,"&gt;="&amp;$J1316,'Hours Log'!$A:$A,"&lt;"&amp;$J1316+7)+SUMIFS('Hours Log'!$D:$D,'Hours Log'!$A:$A,"&gt;="&amp;$J1316,'Hours Log'!$A:$A,"&lt;"&amp;$J1316+7))</f>
        <v/>
      </c>
      <c r="D1316">
        <f>IF($J1316="","",SUMIFS('Hours Log'!$D:$D,'Hours Log'!$A:$A,"&gt;="&amp;$J1316,'Hours Log'!$A:$A,"&lt;"&amp;$J1316+7))</f>
        <v/>
      </c>
      <c r="E1316">
        <f>IF($J1316="","",IFERROR(C1316/(B1316*40),0))</f>
        <v/>
      </c>
      <c r="F1316">
        <f>IF($J1316="","",0)</f>
        <v/>
      </c>
      <c r="G1316">
        <f>IF($J1316="","",SUMIFS('Hours Log'!$E:$E,'Hours Log'!$A:$A,"&gt;="&amp;$J1316,'Hours Log'!$A:$A,"&lt;"&amp;$J1316+7))</f>
        <v/>
      </c>
      <c r="J1316">
        <f>IF(COUNT('Hours Log'!$A$4:$A$5000)=0,"",IF(MIN('Hours Log'!$A$4:$A$5000)+7*(ROW()-10)&gt;MAX('Hours Log'!$A$4:$A$5000),"",MIN('Hours Log'!$A$4:$A$5000)+7*(ROW()-10)))</f>
        <v/>
      </c>
    </row>
    <row r="1317">
      <c r="A1317">
        <f>IF($J1317="","",YEAR($J1317-WEEKDAY($J1317,2)+4)&amp;"-W"&amp;TEXT(WEEKNUM($J1317,21),"00"))</f>
        <v/>
      </c>
      <c r="B1317" s="41">
        <f>IF($J1317="","",COUNTIFS(Roster!$D$4:$D$500,"Active",Roster!$C$4:$C$500,"&lt;="&amp;$J1317))</f>
        <v/>
      </c>
      <c r="C1317">
        <f>IF($J1317="","",SUMIFS('Hours Log'!$C:$C,'Hours Log'!$A:$A,"&gt;="&amp;$J1317,'Hours Log'!$A:$A,"&lt;"&amp;$J1317+7)+SUMIFS('Hours Log'!$D:$D,'Hours Log'!$A:$A,"&gt;="&amp;$J1317,'Hours Log'!$A:$A,"&lt;"&amp;$J1317+7))</f>
        <v/>
      </c>
      <c r="D1317">
        <f>IF($J1317="","",SUMIFS('Hours Log'!$D:$D,'Hours Log'!$A:$A,"&gt;="&amp;$J1317,'Hours Log'!$A:$A,"&lt;"&amp;$J1317+7))</f>
        <v/>
      </c>
      <c r="E1317">
        <f>IF($J1317="","",IFERROR(C1317/(B1317*40),0))</f>
        <v/>
      </c>
      <c r="F1317">
        <f>IF($J1317="","",0)</f>
        <v/>
      </c>
      <c r="G1317">
        <f>IF($J1317="","",SUMIFS('Hours Log'!$E:$E,'Hours Log'!$A:$A,"&gt;="&amp;$J1317,'Hours Log'!$A:$A,"&lt;"&amp;$J1317+7))</f>
        <v/>
      </c>
      <c r="J1317">
        <f>IF(COUNT('Hours Log'!$A$4:$A$5000)=0,"",IF(MIN('Hours Log'!$A$4:$A$5000)+7*(ROW()-10)&gt;MAX('Hours Log'!$A$4:$A$5000),"",MIN('Hours Log'!$A$4:$A$5000)+7*(ROW()-10)))</f>
        <v/>
      </c>
    </row>
    <row r="1318">
      <c r="A1318">
        <f>IF($J1318="","",YEAR($J1318-WEEKDAY($J1318,2)+4)&amp;"-W"&amp;TEXT(WEEKNUM($J1318,21),"00"))</f>
        <v/>
      </c>
      <c r="B1318" s="41">
        <f>IF($J1318="","",COUNTIFS(Roster!$D$4:$D$500,"Active",Roster!$C$4:$C$500,"&lt;="&amp;$J1318))</f>
        <v/>
      </c>
      <c r="C1318">
        <f>IF($J1318="","",SUMIFS('Hours Log'!$C:$C,'Hours Log'!$A:$A,"&gt;="&amp;$J1318,'Hours Log'!$A:$A,"&lt;"&amp;$J1318+7)+SUMIFS('Hours Log'!$D:$D,'Hours Log'!$A:$A,"&gt;="&amp;$J1318,'Hours Log'!$A:$A,"&lt;"&amp;$J1318+7))</f>
        <v/>
      </c>
      <c r="D1318">
        <f>IF($J1318="","",SUMIFS('Hours Log'!$D:$D,'Hours Log'!$A:$A,"&gt;="&amp;$J1318,'Hours Log'!$A:$A,"&lt;"&amp;$J1318+7))</f>
        <v/>
      </c>
      <c r="E1318">
        <f>IF($J1318="","",IFERROR(C1318/(B1318*40),0))</f>
        <v/>
      </c>
      <c r="F1318">
        <f>IF($J1318="","",0)</f>
        <v/>
      </c>
      <c r="G1318">
        <f>IF($J1318="","",SUMIFS('Hours Log'!$E:$E,'Hours Log'!$A:$A,"&gt;="&amp;$J1318,'Hours Log'!$A:$A,"&lt;"&amp;$J1318+7))</f>
        <v/>
      </c>
      <c r="J1318">
        <f>IF(COUNT('Hours Log'!$A$4:$A$5000)=0,"",IF(MIN('Hours Log'!$A$4:$A$5000)+7*(ROW()-10)&gt;MAX('Hours Log'!$A$4:$A$5000),"",MIN('Hours Log'!$A$4:$A$5000)+7*(ROW()-10)))</f>
        <v/>
      </c>
    </row>
    <row r="1319">
      <c r="A1319">
        <f>IF($J1319="","",YEAR($J1319-WEEKDAY($J1319,2)+4)&amp;"-W"&amp;TEXT(WEEKNUM($J1319,21),"00"))</f>
        <v/>
      </c>
      <c r="B1319" s="41">
        <f>IF($J1319="","",COUNTIFS(Roster!$D$4:$D$500,"Active",Roster!$C$4:$C$500,"&lt;="&amp;$J1319))</f>
        <v/>
      </c>
      <c r="C1319">
        <f>IF($J1319="","",SUMIFS('Hours Log'!$C:$C,'Hours Log'!$A:$A,"&gt;="&amp;$J1319,'Hours Log'!$A:$A,"&lt;"&amp;$J1319+7)+SUMIFS('Hours Log'!$D:$D,'Hours Log'!$A:$A,"&gt;="&amp;$J1319,'Hours Log'!$A:$A,"&lt;"&amp;$J1319+7))</f>
        <v/>
      </c>
      <c r="D1319">
        <f>IF($J1319="","",SUMIFS('Hours Log'!$D:$D,'Hours Log'!$A:$A,"&gt;="&amp;$J1319,'Hours Log'!$A:$A,"&lt;"&amp;$J1319+7))</f>
        <v/>
      </c>
      <c r="E1319">
        <f>IF($J1319="","",IFERROR(C1319/(B1319*40),0))</f>
        <v/>
      </c>
      <c r="F1319">
        <f>IF($J1319="","",0)</f>
        <v/>
      </c>
      <c r="G1319">
        <f>IF($J1319="","",SUMIFS('Hours Log'!$E:$E,'Hours Log'!$A:$A,"&gt;="&amp;$J1319,'Hours Log'!$A:$A,"&lt;"&amp;$J1319+7))</f>
        <v/>
      </c>
      <c r="J1319">
        <f>IF(COUNT('Hours Log'!$A$4:$A$5000)=0,"",IF(MIN('Hours Log'!$A$4:$A$5000)+7*(ROW()-10)&gt;MAX('Hours Log'!$A$4:$A$5000),"",MIN('Hours Log'!$A$4:$A$5000)+7*(ROW()-10)))</f>
        <v/>
      </c>
    </row>
    <row r="1320">
      <c r="A1320">
        <f>IF($J1320="","",YEAR($J1320-WEEKDAY($J1320,2)+4)&amp;"-W"&amp;TEXT(WEEKNUM($J1320,21),"00"))</f>
        <v/>
      </c>
      <c r="B1320" s="41">
        <f>IF($J1320="","",COUNTIFS(Roster!$D$4:$D$500,"Active",Roster!$C$4:$C$500,"&lt;="&amp;$J1320))</f>
        <v/>
      </c>
      <c r="C1320">
        <f>IF($J1320="","",SUMIFS('Hours Log'!$C:$C,'Hours Log'!$A:$A,"&gt;="&amp;$J1320,'Hours Log'!$A:$A,"&lt;"&amp;$J1320+7)+SUMIFS('Hours Log'!$D:$D,'Hours Log'!$A:$A,"&gt;="&amp;$J1320,'Hours Log'!$A:$A,"&lt;"&amp;$J1320+7))</f>
        <v/>
      </c>
      <c r="D1320">
        <f>IF($J1320="","",SUMIFS('Hours Log'!$D:$D,'Hours Log'!$A:$A,"&gt;="&amp;$J1320,'Hours Log'!$A:$A,"&lt;"&amp;$J1320+7))</f>
        <v/>
      </c>
      <c r="E1320">
        <f>IF($J1320="","",IFERROR(C1320/(B1320*40),0))</f>
        <v/>
      </c>
      <c r="F1320">
        <f>IF($J1320="","",0)</f>
        <v/>
      </c>
      <c r="G1320">
        <f>IF($J1320="","",SUMIFS('Hours Log'!$E:$E,'Hours Log'!$A:$A,"&gt;="&amp;$J1320,'Hours Log'!$A:$A,"&lt;"&amp;$J1320+7))</f>
        <v/>
      </c>
      <c r="J1320">
        <f>IF(COUNT('Hours Log'!$A$4:$A$5000)=0,"",IF(MIN('Hours Log'!$A$4:$A$5000)+7*(ROW()-10)&gt;MAX('Hours Log'!$A$4:$A$5000),"",MIN('Hours Log'!$A$4:$A$5000)+7*(ROW()-10)))</f>
        <v/>
      </c>
    </row>
    <row r="1321">
      <c r="A1321">
        <f>IF($J1321="","",YEAR($J1321-WEEKDAY($J1321,2)+4)&amp;"-W"&amp;TEXT(WEEKNUM($J1321,21),"00"))</f>
        <v/>
      </c>
      <c r="B1321" s="41">
        <f>IF($J1321="","",COUNTIFS(Roster!$D$4:$D$500,"Active",Roster!$C$4:$C$500,"&lt;="&amp;$J1321))</f>
        <v/>
      </c>
      <c r="C1321">
        <f>IF($J1321="","",SUMIFS('Hours Log'!$C:$C,'Hours Log'!$A:$A,"&gt;="&amp;$J1321,'Hours Log'!$A:$A,"&lt;"&amp;$J1321+7)+SUMIFS('Hours Log'!$D:$D,'Hours Log'!$A:$A,"&gt;="&amp;$J1321,'Hours Log'!$A:$A,"&lt;"&amp;$J1321+7))</f>
        <v/>
      </c>
      <c r="D1321">
        <f>IF($J1321="","",SUMIFS('Hours Log'!$D:$D,'Hours Log'!$A:$A,"&gt;="&amp;$J1321,'Hours Log'!$A:$A,"&lt;"&amp;$J1321+7))</f>
        <v/>
      </c>
      <c r="E1321">
        <f>IF($J1321="","",IFERROR(C1321/(B1321*40),0))</f>
        <v/>
      </c>
      <c r="F1321">
        <f>IF($J1321="","",0)</f>
        <v/>
      </c>
      <c r="G1321">
        <f>IF($J1321="","",SUMIFS('Hours Log'!$E:$E,'Hours Log'!$A:$A,"&gt;="&amp;$J1321,'Hours Log'!$A:$A,"&lt;"&amp;$J1321+7))</f>
        <v/>
      </c>
      <c r="J1321">
        <f>IF(COUNT('Hours Log'!$A$4:$A$5000)=0,"",IF(MIN('Hours Log'!$A$4:$A$5000)+7*(ROW()-10)&gt;MAX('Hours Log'!$A$4:$A$5000),"",MIN('Hours Log'!$A$4:$A$5000)+7*(ROW()-10)))</f>
        <v/>
      </c>
    </row>
    <row r="1322">
      <c r="A1322">
        <f>IF($J1322="","",YEAR($J1322-WEEKDAY($J1322,2)+4)&amp;"-W"&amp;TEXT(WEEKNUM($J1322,21),"00"))</f>
        <v/>
      </c>
      <c r="B1322" s="41">
        <f>IF($J1322="","",COUNTIFS(Roster!$D$4:$D$500,"Active",Roster!$C$4:$C$500,"&lt;="&amp;$J1322))</f>
        <v/>
      </c>
      <c r="C1322">
        <f>IF($J1322="","",SUMIFS('Hours Log'!$C:$C,'Hours Log'!$A:$A,"&gt;="&amp;$J1322,'Hours Log'!$A:$A,"&lt;"&amp;$J1322+7)+SUMIFS('Hours Log'!$D:$D,'Hours Log'!$A:$A,"&gt;="&amp;$J1322,'Hours Log'!$A:$A,"&lt;"&amp;$J1322+7))</f>
        <v/>
      </c>
      <c r="D1322">
        <f>IF($J1322="","",SUMIFS('Hours Log'!$D:$D,'Hours Log'!$A:$A,"&gt;="&amp;$J1322,'Hours Log'!$A:$A,"&lt;"&amp;$J1322+7))</f>
        <v/>
      </c>
      <c r="E1322">
        <f>IF($J1322="","",IFERROR(C1322/(B1322*40),0))</f>
        <v/>
      </c>
      <c r="F1322">
        <f>IF($J1322="","",0)</f>
        <v/>
      </c>
      <c r="G1322">
        <f>IF($J1322="","",SUMIFS('Hours Log'!$E:$E,'Hours Log'!$A:$A,"&gt;="&amp;$J1322,'Hours Log'!$A:$A,"&lt;"&amp;$J1322+7))</f>
        <v/>
      </c>
      <c r="J1322">
        <f>IF(COUNT('Hours Log'!$A$4:$A$5000)=0,"",IF(MIN('Hours Log'!$A$4:$A$5000)+7*(ROW()-10)&gt;MAX('Hours Log'!$A$4:$A$5000),"",MIN('Hours Log'!$A$4:$A$5000)+7*(ROW()-10)))</f>
        <v/>
      </c>
    </row>
    <row r="1323">
      <c r="A1323">
        <f>IF($J1323="","",YEAR($J1323-WEEKDAY($J1323,2)+4)&amp;"-W"&amp;TEXT(WEEKNUM($J1323,21),"00"))</f>
        <v/>
      </c>
      <c r="B1323" s="41">
        <f>IF($J1323="","",COUNTIFS(Roster!$D$4:$D$500,"Active",Roster!$C$4:$C$500,"&lt;="&amp;$J1323))</f>
        <v/>
      </c>
      <c r="C1323">
        <f>IF($J1323="","",SUMIFS('Hours Log'!$C:$C,'Hours Log'!$A:$A,"&gt;="&amp;$J1323,'Hours Log'!$A:$A,"&lt;"&amp;$J1323+7)+SUMIFS('Hours Log'!$D:$D,'Hours Log'!$A:$A,"&gt;="&amp;$J1323,'Hours Log'!$A:$A,"&lt;"&amp;$J1323+7))</f>
        <v/>
      </c>
      <c r="D1323">
        <f>IF($J1323="","",SUMIFS('Hours Log'!$D:$D,'Hours Log'!$A:$A,"&gt;="&amp;$J1323,'Hours Log'!$A:$A,"&lt;"&amp;$J1323+7))</f>
        <v/>
      </c>
      <c r="E1323">
        <f>IF($J1323="","",IFERROR(C1323/(B1323*40),0))</f>
        <v/>
      </c>
      <c r="F1323">
        <f>IF($J1323="","",0)</f>
        <v/>
      </c>
      <c r="G1323">
        <f>IF($J1323="","",SUMIFS('Hours Log'!$E:$E,'Hours Log'!$A:$A,"&gt;="&amp;$J1323,'Hours Log'!$A:$A,"&lt;"&amp;$J1323+7))</f>
        <v/>
      </c>
      <c r="J1323">
        <f>IF(COUNT('Hours Log'!$A$4:$A$5000)=0,"",IF(MIN('Hours Log'!$A$4:$A$5000)+7*(ROW()-10)&gt;MAX('Hours Log'!$A$4:$A$5000),"",MIN('Hours Log'!$A$4:$A$5000)+7*(ROW()-10)))</f>
        <v/>
      </c>
    </row>
    <row r="1324">
      <c r="A1324">
        <f>IF($J1324="","",YEAR($J1324-WEEKDAY($J1324,2)+4)&amp;"-W"&amp;TEXT(WEEKNUM($J1324,21),"00"))</f>
        <v/>
      </c>
      <c r="B1324" s="41">
        <f>IF($J1324="","",COUNTIFS(Roster!$D$4:$D$500,"Active",Roster!$C$4:$C$500,"&lt;="&amp;$J1324))</f>
        <v/>
      </c>
      <c r="C1324">
        <f>IF($J1324="","",SUMIFS('Hours Log'!$C:$C,'Hours Log'!$A:$A,"&gt;="&amp;$J1324,'Hours Log'!$A:$A,"&lt;"&amp;$J1324+7)+SUMIFS('Hours Log'!$D:$D,'Hours Log'!$A:$A,"&gt;="&amp;$J1324,'Hours Log'!$A:$A,"&lt;"&amp;$J1324+7))</f>
        <v/>
      </c>
      <c r="D1324">
        <f>IF($J1324="","",SUMIFS('Hours Log'!$D:$D,'Hours Log'!$A:$A,"&gt;="&amp;$J1324,'Hours Log'!$A:$A,"&lt;"&amp;$J1324+7))</f>
        <v/>
      </c>
      <c r="E1324">
        <f>IF($J1324="","",IFERROR(C1324/(B1324*40),0))</f>
        <v/>
      </c>
      <c r="F1324">
        <f>IF($J1324="","",0)</f>
        <v/>
      </c>
      <c r="G1324">
        <f>IF($J1324="","",SUMIFS('Hours Log'!$E:$E,'Hours Log'!$A:$A,"&gt;="&amp;$J1324,'Hours Log'!$A:$A,"&lt;"&amp;$J1324+7))</f>
        <v/>
      </c>
      <c r="J1324">
        <f>IF(COUNT('Hours Log'!$A$4:$A$5000)=0,"",IF(MIN('Hours Log'!$A$4:$A$5000)+7*(ROW()-10)&gt;MAX('Hours Log'!$A$4:$A$5000),"",MIN('Hours Log'!$A$4:$A$5000)+7*(ROW()-10)))</f>
        <v/>
      </c>
    </row>
    <row r="1325">
      <c r="A1325">
        <f>IF($J1325="","",YEAR($J1325-WEEKDAY($J1325,2)+4)&amp;"-W"&amp;TEXT(WEEKNUM($J1325,21),"00"))</f>
        <v/>
      </c>
      <c r="B1325" s="41">
        <f>IF($J1325="","",COUNTIFS(Roster!$D$4:$D$500,"Active",Roster!$C$4:$C$500,"&lt;="&amp;$J1325))</f>
        <v/>
      </c>
      <c r="C1325">
        <f>IF($J1325="","",SUMIFS('Hours Log'!$C:$C,'Hours Log'!$A:$A,"&gt;="&amp;$J1325,'Hours Log'!$A:$A,"&lt;"&amp;$J1325+7)+SUMIFS('Hours Log'!$D:$D,'Hours Log'!$A:$A,"&gt;="&amp;$J1325,'Hours Log'!$A:$A,"&lt;"&amp;$J1325+7))</f>
        <v/>
      </c>
      <c r="D1325">
        <f>IF($J1325="","",SUMIFS('Hours Log'!$D:$D,'Hours Log'!$A:$A,"&gt;="&amp;$J1325,'Hours Log'!$A:$A,"&lt;"&amp;$J1325+7))</f>
        <v/>
      </c>
      <c r="E1325">
        <f>IF($J1325="","",IFERROR(C1325/(B1325*40),0))</f>
        <v/>
      </c>
      <c r="F1325">
        <f>IF($J1325="","",0)</f>
        <v/>
      </c>
      <c r="G1325">
        <f>IF($J1325="","",SUMIFS('Hours Log'!$E:$E,'Hours Log'!$A:$A,"&gt;="&amp;$J1325,'Hours Log'!$A:$A,"&lt;"&amp;$J1325+7))</f>
        <v/>
      </c>
      <c r="J1325">
        <f>IF(COUNT('Hours Log'!$A$4:$A$5000)=0,"",IF(MIN('Hours Log'!$A$4:$A$5000)+7*(ROW()-10)&gt;MAX('Hours Log'!$A$4:$A$5000),"",MIN('Hours Log'!$A$4:$A$5000)+7*(ROW()-10)))</f>
        <v/>
      </c>
    </row>
    <row r="1326">
      <c r="A1326">
        <f>IF($J1326="","",YEAR($J1326-WEEKDAY($J1326,2)+4)&amp;"-W"&amp;TEXT(WEEKNUM($J1326,21),"00"))</f>
        <v/>
      </c>
      <c r="B1326" s="41">
        <f>IF($J1326="","",COUNTIFS(Roster!$D$4:$D$500,"Active",Roster!$C$4:$C$500,"&lt;="&amp;$J1326))</f>
        <v/>
      </c>
      <c r="C1326">
        <f>IF($J1326="","",SUMIFS('Hours Log'!$C:$C,'Hours Log'!$A:$A,"&gt;="&amp;$J1326,'Hours Log'!$A:$A,"&lt;"&amp;$J1326+7)+SUMIFS('Hours Log'!$D:$D,'Hours Log'!$A:$A,"&gt;="&amp;$J1326,'Hours Log'!$A:$A,"&lt;"&amp;$J1326+7))</f>
        <v/>
      </c>
      <c r="D1326">
        <f>IF($J1326="","",SUMIFS('Hours Log'!$D:$D,'Hours Log'!$A:$A,"&gt;="&amp;$J1326,'Hours Log'!$A:$A,"&lt;"&amp;$J1326+7))</f>
        <v/>
      </c>
      <c r="E1326">
        <f>IF($J1326="","",IFERROR(C1326/(B1326*40),0))</f>
        <v/>
      </c>
      <c r="F1326">
        <f>IF($J1326="","",0)</f>
        <v/>
      </c>
      <c r="G1326">
        <f>IF($J1326="","",SUMIFS('Hours Log'!$E:$E,'Hours Log'!$A:$A,"&gt;="&amp;$J1326,'Hours Log'!$A:$A,"&lt;"&amp;$J1326+7))</f>
        <v/>
      </c>
      <c r="J1326">
        <f>IF(COUNT('Hours Log'!$A$4:$A$5000)=0,"",IF(MIN('Hours Log'!$A$4:$A$5000)+7*(ROW()-10)&gt;MAX('Hours Log'!$A$4:$A$5000),"",MIN('Hours Log'!$A$4:$A$5000)+7*(ROW()-10)))</f>
        <v/>
      </c>
    </row>
    <row r="1327">
      <c r="A1327">
        <f>IF($J1327="","",YEAR($J1327-WEEKDAY($J1327,2)+4)&amp;"-W"&amp;TEXT(WEEKNUM($J1327,21),"00"))</f>
        <v/>
      </c>
      <c r="B1327" s="41">
        <f>IF($J1327="","",COUNTIFS(Roster!$D$4:$D$500,"Active",Roster!$C$4:$C$500,"&lt;="&amp;$J1327))</f>
        <v/>
      </c>
      <c r="C1327">
        <f>IF($J1327="","",SUMIFS('Hours Log'!$C:$C,'Hours Log'!$A:$A,"&gt;="&amp;$J1327,'Hours Log'!$A:$A,"&lt;"&amp;$J1327+7)+SUMIFS('Hours Log'!$D:$D,'Hours Log'!$A:$A,"&gt;="&amp;$J1327,'Hours Log'!$A:$A,"&lt;"&amp;$J1327+7))</f>
        <v/>
      </c>
      <c r="D1327">
        <f>IF($J1327="","",SUMIFS('Hours Log'!$D:$D,'Hours Log'!$A:$A,"&gt;="&amp;$J1327,'Hours Log'!$A:$A,"&lt;"&amp;$J1327+7))</f>
        <v/>
      </c>
      <c r="E1327">
        <f>IF($J1327="","",IFERROR(C1327/(B1327*40),0))</f>
        <v/>
      </c>
      <c r="F1327">
        <f>IF($J1327="","",0)</f>
        <v/>
      </c>
      <c r="G1327">
        <f>IF($J1327="","",SUMIFS('Hours Log'!$E:$E,'Hours Log'!$A:$A,"&gt;="&amp;$J1327,'Hours Log'!$A:$A,"&lt;"&amp;$J1327+7))</f>
        <v/>
      </c>
      <c r="J1327">
        <f>IF(COUNT('Hours Log'!$A$4:$A$5000)=0,"",IF(MIN('Hours Log'!$A$4:$A$5000)+7*(ROW()-10)&gt;MAX('Hours Log'!$A$4:$A$5000),"",MIN('Hours Log'!$A$4:$A$5000)+7*(ROW()-10)))</f>
        <v/>
      </c>
    </row>
    <row r="1328">
      <c r="A1328">
        <f>IF($J1328="","",YEAR($J1328-WEEKDAY($J1328,2)+4)&amp;"-W"&amp;TEXT(WEEKNUM($J1328,21),"00"))</f>
        <v/>
      </c>
      <c r="B1328" s="41">
        <f>IF($J1328="","",COUNTIFS(Roster!$D$4:$D$500,"Active",Roster!$C$4:$C$500,"&lt;="&amp;$J1328))</f>
        <v/>
      </c>
      <c r="C1328">
        <f>IF($J1328="","",SUMIFS('Hours Log'!$C:$C,'Hours Log'!$A:$A,"&gt;="&amp;$J1328,'Hours Log'!$A:$A,"&lt;"&amp;$J1328+7)+SUMIFS('Hours Log'!$D:$D,'Hours Log'!$A:$A,"&gt;="&amp;$J1328,'Hours Log'!$A:$A,"&lt;"&amp;$J1328+7))</f>
        <v/>
      </c>
      <c r="D1328">
        <f>IF($J1328="","",SUMIFS('Hours Log'!$D:$D,'Hours Log'!$A:$A,"&gt;="&amp;$J1328,'Hours Log'!$A:$A,"&lt;"&amp;$J1328+7))</f>
        <v/>
      </c>
      <c r="E1328">
        <f>IF($J1328="","",IFERROR(C1328/(B1328*40),0))</f>
        <v/>
      </c>
      <c r="F1328">
        <f>IF($J1328="","",0)</f>
        <v/>
      </c>
      <c r="G1328">
        <f>IF($J1328="","",SUMIFS('Hours Log'!$E:$E,'Hours Log'!$A:$A,"&gt;="&amp;$J1328,'Hours Log'!$A:$A,"&lt;"&amp;$J1328+7))</f>
        <v/>
      </c>
      <c r="J1328">
        <f>IF(COUNT('Hours Log'!$A$4:$A$5000)=0,"",IF(MIN('Hours Log'!$A$4:$A$5000)+7*(ROW()-10)&gt;MAX('Hours Log'!$A$4:$A$5000),"",MIN('Hours Log'!$A$4:$A$5000)+7*(ROW()-10)))</f>
        <v/>
      </c>
    </row>
    <row r="1329">
      <c r="A1329">
        <f>IF($J1329="","",YEAR($J1329-WEEKDAY($J1329,2)+4)&amp;"-W"&amp;TEXT(WEEKNUM($J1329,21),"00"))</f>
        <v/>
      </c>
      <c r="B1329" s="41">
        <f>IF($J1329="","",COUNTIFS(Roster!$D$4:$D$500,"Active",Roster!$C$4:$C$500,"&lt;="&amp;$J1329))</f>
        <v/>
      </c>
      <c r="C1329">
        <f>IF($J1329="","",SUMIFS('Hours Log'!$C:$C,'Hours Log'!$A:$A,"&gt;="&amp;$J1329,'Hours Log'!$A:$A,"&lt;"&amp;$J1329+7)+SUMIFS('Hours Log'!$D:$D,'Hours Log'!$A:$A,"&gt;="&amp;$J1329,'Hours Log'!$A:$A,"&lt;"&amp;$J1329+7))</f>
        <v/>
      </c>
      <c r="D1329">
        <f>IF($J1329="","",SUMIFS('Hours Log'!$D:$D,'Hours Log'!$A:$A,"&gt;="&amp;$J1329,'Hours Log'!$A:$A,"&lt;"&amp;$J1329+7))</f>
        <v/>
      </c>
      <c r="E1329">
        <f>IF($J1329="","",IFERROR(C1329/(B1329*40),0))</f>
        <v/>
      </c>
      <c r="F1329">
        <f>IF($J1329="","",0)</f>
        <v/>
      </c>
      <c r="G1329">
        <f>IF($J1329="","",SUMIFS('Hours Log'!$E:$E,'Hours Log'!$A:$A,"&gt;="&amp;$J1329,'Hours Log'!$A:$A,"&lt;"&amp;$J1329+7))</f>
        <v/>
      </c>
      <c r="J1329">
        <f>IF(COUNT('Hours Log'!$A$4:$A$5000)=0,"",IF(MIN('Hours Log'!$A$4:$A$5000)+7*(ROW()-10)&gt;MAX('Hours Log'!$A$4:$A$5000),"",MIN('Hours Log'!$A$4:$A$5000)+7*(ROW()-10)))</f>
        <v/>
      </c>
    </row>
    <row r="1330">
      <c r="A1330">
        <f>IF($J1330="","",YEAR($J1330-WEEKDAY($J1330,2)+4)&amp;"-W"&amp;TEXT(WEEKNUM($J1330,21),"00"))</f>
        <v/>
      </c>
      <c r="B1330" s="41">
        <f>IF($J1330="","",COUNTIFS(Roster!$D$4:$D$500,"Active",Roster!$C$4:$C$500,"&lt;="&amp;$J1330))</f>
        <v/>
      </c>
      <c r="C1330">
        <f>IF($J1330="","",SUMIFS('Hours Log'!$C:$C,'Hours Log'!$A:$A,"&gt;="&amp;$J1330,'Hours Log'!$A:$A,"&lt;"&amp;$J1330+7)+SUMIFS('Hours Log'!$D:$D,'Hours Log'!$A:$A,"&gt;="&amp;$J1330,'Hours Log'!$A:$A,"&lt;"&amp;$J1330+7))</f>
        <v/>
      </c>
      <c r="D1330">
        <f>IF($J1330="","",SUMIFS('Hours Log'!$D:$D,'Hours Log'!$A:$A,"&gt;="&amp;$J1330,'Hours Log'!$A:$A,"&lt;"&amp;$J1330+7))</f>
        <v/>
      </c>
      <c r="E1330">
        <f>IF($J1330="","",IFERROR(C1330/(B1330*40),0))</f>
        <v/>
      </c>
      <c r="F1330">
        <f>IF($J1330="","",0)</f>
        <v/>
      </c>
      <c r="G1330">
        <f>IF($J1330="","",SUMIFS('Hours Log'!$E:$E,'Hours Log'!$A:$A,"&gt;="&amp;$J1330,'Hours Log'!$A:$A,"&lt;"&amp;$J1330+7))</f>
        <v/>
      </c>
      <c r="J1330">
        <f>IF(COUNT('Hours Log'!$A$4:$A$5000)=0,"",IF(MIN('Hours Log'!$A$4:$A$5000)+7*(ROW()-10)&gt;MAX('Hours Log'!$A$4:$A$5000),"",MIN('Hours Log'!$A$4:$A$5000)+7*(ROW()-10)))</f>
        <v/>
      </c>
    </row>
    <row r="1331">
      <c r="A1331">
        <f>IF($J1331="","",YEAR($J1331-WEEKDAY($J1331,2)+4)&amp;"-W"&amp;TEXT(WEEKNUM($J1331,21),"00"))</f>
        <v/>
      </c>
      <c r="B1331" s="41">
        <f>IF($J1331="","",COUNTIFS(Roster!$D$4:$D$500,"Active",Roster!$C$4:$C$500,"&lt;="&amp;$J1331))</f>
        <v/>
      </c>
      <c r="C1331">
        <f>IF($J1331="","",SUMIFS('Hours Log'!$C:$C,'Hours Log'!$A:$A,"&gt;="&amp;$J1331,'Hours Log'!$A:$A,"&lt;"&amp;$J1331+7)+SUMIFS('Hours Log'!$D:$D,'Hours Log'!$A:$A,"&gt;="&amp;$J1331,'Hours Log'!$A:$A,"&lt;"&amp;$J1331+7))</f>
        <v/>
      </c>
      <c r="D1331">
        <f>IF($J1331="","",SUMIFS('Hours Log'!$D:$D,'Hours Log'!$A:$A,"&gt;="&amp;$J1331,'Hours Log'!$A:$A,"&lt;"&amp;$J1331+7))</f>
        <v/>
      </c>
      <c r="E1331">
        <f>IF($J1331="","",IFERROR(C1331/(B1331*40),0))</f>
        <v/>
      </c>
      <c r="F1331">
        <f>IF($J1331="","",0)</f>
        <v/>
      </c>
      <c r="G1331">
        <f>IF($J1331="","",SUMIFS('Hours Log'!$E:$E,'Hours Log'!$A:$A,"&gt;="&amp;$J1331,'Hours Log'!$A:$A,"&lt;"&amp;$J1331+7))</f>
        <v/>
      </c>
      <c r="J1331">
        <f>IF(COUNT('Hours Log'!$A$4:$A$5000)=0,"",IF(MIN('Hours Log'!$A$4:$A$5000)+7*(ROW()-10)&gt;MAX('Hours Log'!$A$4:$A$5000),"",MIN('Hours Log'!$A$4:$A$5000)+7*(ROW()-10)))</f>
        <v/>
      </c>
    </row>
    <row r="1332">
      <c r="A1332">
        <f>IF($J1332="","",YEAR($J1332-WEEKDAY($J1332,2)+4)&amp;"-W"&amp;TEXT(WEEKNUM($J1332,21),"00"))</f>
        <v/>
      </c>
      <c r="B1332" s="41">
        <f>IF($J1332="","",COUNTIFS(Roster!$D$4:$D$500,"Active",Roster!$C$4:$C$500,"&lt;="&amp;$J1332))</f>
        <v/>
      </c>
      <c r="C1332">
        <f>IF($J1332="","",SUMIFS('Hours Log'!$C:$C,'Hours Log'!$A:$A,"&gt;="&amp;$J1332,'Hours Log'!$A:$A,"&lt;"&amp;$J1332+7)+SUMIFS('Hours Log'!$D:$D,'Hours Log'!$A:$A,"&gt;="&amp;$J1332,'Hours Log'!$A:$A,"&lt;"&amp;$J1332+7))</f>
        <v/>
      </c>
      <c r="D1332">
        <f>IF($J1332="","",SUMIFS('Hours Log'!$D:$D,'Hours Log'!$A:$A,"&gt;="&amp;$J1332,'Hours Log'!$A:$A,"&lt;"&amp;$J1332+7))</f>
        <v/>
      </c>
      <c r="E1332">
        <f>IF($J1332="","",IFERROR(C1332/(B1332*40),0))</f>
        <v/>
      </c>
      <c r="F1332">
        <f>IF($J1332="","",0)</f>
        <v/>
      </c>
      <c r="G1332">
        <f>IF($J1332="","",SUMIFS('Hours Log'!$E:$E,'Hours Log'!$A:$A,"&gt;="&amp;$J1332,'Hours Log'!$A:$A,"&lt;"&amp;$J1332+7))</f>
        <v/>
      </c>
      <c r="J1332">
        <f>IF(COUNT('Hours Log'!$A$4:$A$5000)=0,"",IF(MIN('Hours Log'!$A$4:$A$5000)+7*(ROW()-10)&gt;MAX('Hours Log'!$A$4:$A$5000),"",MIN('Hours Log'!$A$4:$A$5000)+7*(ROW()-10)))</f>
        <v/>
      </c>
    </row>
    <row r="1333">
      <c r="A1333">
        <f>IF($J1333="","",YEAR($J1333-WEEKDAY($J1333,2)+4)&amp;"-W"&amp;TEXT(WEEKNUM($J1333,21),"00"))</f>
        <v/>
      </c>
      <c r="B1333" s="41">
        <f>IF($J1333="","",COUNTIFS(Roster!$D$4:$D$500,"Active",Roster!$C$4:$C$500,"&lt;="&amp;$J1333))</f>
        <v/>
      </c>
      <c r="C1333">
        <f>IF($J1333="","",SUMIFS('Hours Log'!$C:$C,'Hours Log'!$A:$A,"&gt;="&amp;$J1333,'Hours Log'!$A:$A,"&lt;"&amp;$J1333+7)+SUMIFS('Hours Log'!$D:$D,'Hours Log'!$A:$A,"&gt;="&amp;$J1333,'Hours Log'!$A:$A,"&lt;"&amp;$J1333+7))</f>
        <v/>
      </c>
      <c r="D1333">
        <f>IF($J1333="","",SUMIFS('Hours Log'!$D:$D,'Hours Log'!$A:$A,"&gt;="&amp;$J1333,'Hours Log'!$A:$A,"&lt;"&amp;$J1333+7))</f>
        <v/>
      </c>
      <c r="E1333">
        <f>IF($J1333="","",IFERROR(C1333/(B1333*40),0))</f>
        <v/>
      </c>
      <c r="F1333">
        <f>IF($J1333="","",0)</f>
        <v/>
      </c>
      <c r="G1333">
        <f>IF($J1333="","",SUMIFS('Hours Log'!$E:$E,'Hours Log'!$A:$A,"&gt;="&amp;$J1333,'Hours Log'!$A:$A,"&lt;"&amp;$J1333+7))</f>
        <v/>
      </c>
      <c r="J1333">
        <f>IF(COUNT('Hours Log'!$A$4:$A$5000)=0,"",IF(MIN('Hours Log'!$A$4:$A$5000)+7*(ROW()-10)&gt;MAX('Hours Log'!$A$4:$A$5000),"",MIN('Hours Log'!$A$4:$A$5000)+7*(ROW()-10)))</f>
        <v/>
      </c>
    </row>
    <row r="1334">
      <c r="A1334">
        <f>IF($J1334="","",YEAR($J1334-WEEKDAY($J1334,2)+4)&amp;"-W"&amp;TEXT(WEEKNUM($J1334,21),"00"))</f>
        <v/>
      </c>
      <c r="B1334" s="41">
        <f>IF($J1334="","",COUNTIFS(Roster!$D$4:$D$500,"Active",Roster!$C$4:$C$500,"&lt;="&amp;$J1334))</f>
        <v/>
      </c>
      <c r="C1334">
        <f>IF($J1334="","",SUMIFS('Hours Log'!$C:$C,'Hours Log'!$A:$A,"&gt;="&amp;$J1334,'Hours Log'!$A:$A,"&lt;"&amp;$J1334+7)+SUMIFS('Hours Log'!$D:$D,'Hours Log'!$A:$A,"&gt;="&amp;$J1334,'Hours Log'!$A:$A,"&lt;"&amp;$J1334+7))</f>
        <v/>
      </c>
      <c r="D1334">
        <f>IF($J1334="","",SUMIFS('Hours Log'!$D:$D,'Hours Log'!$A:$A,"&gt;="&amp;$J1334,'Hours Log'!$A:$A,"&lt;"&amp;$J1334+7))</f>
        <v/>
      </c>
      <c r="E1334">
        <f>IF($J1334="","",IFERROR(C1334/(B1334*40),0))</f>
        <v/>
      </c>
      <c r="F1334">
        <f>IF($J1334="","",0)</f>
        <v/>
      </c>
      <c r="G1334">
        <f>IF($J1334="","",SUMIFS('Hours Log'!$E:$E,'Hours Log'!$A:$A,"&gt;="&amp;$J1334,'Hours Log'!$A:$A,"&lt;"&amp;$J1334+7))</f>
        <v/>
      </c>
      <c r="J1334">
        <f>IF(COUNT('Hours Log'!$A$4:$A$5000)=0,"",IF(MIN('Hours Log'!$A$4:$A$5000)+7*(ROW()-10)&gt;MAX('Hours Log'!$A$4:$A$5000),"",MIN('Hours Log'!$A$4:$A$5000)+7*(ROW()-10)))</f>
        <v/>
      </c>
    </row>
    <row r="1335">
      <c r="A1335">
        <f>IF($J1335="","",YEAR($J1335-WEEKDAY($J1335,2)+4)&amp;"-W"&amp;TEXT(WEEKNUM($J1335,21),"00"))</f>
        <v/>
      </c>
      <c r="B1335" s="41">
        <f>IF($J1335="","",COUNTIFS(Roster!$D$4:$D$500,"Active",Roster!$C$4:$C$500,"&lt;="&amp;$J1335))</f>
        <v/>
      </c>
      <c r="C1335">
        <f>IF($J1335="","",SUMIFS('Hours Log'!$C:$C,'Hours Log'!$A:$A,"&gt;="&amp;$J1335,'Hours Log'!$A:$A,"&lt;"&amp;$J1335+7)+SUMIFS('Hours Log'!$D:$D,'Hours Log'!$A:$A,"&gt;="&amp;$J1335,'Hours Log'!$A:$A,"&lt;"&amp;$J1335+7))</f>
        <v/>
      </c>
      <c r="D1335">
        <f>IF($J1335="","",SUMIFS('Hours Log'!$D:$D,'Hours Log'!$A:$A,"&gt;="&amp;$J1335,'Hours Log'!$A:$A,"&lt;"&amp;$J1335+7))</f>
        <v/>
      </c>
      <c r="E1335">
        <f>IF($J1335="","",IFERROR(C1335/(B1335*40),0))</f>
        <v/>
      </c>
      <c r="F1335">
        <f>IF($J1335="","",0)</f>
        <v/>
      </c>
      <c r="G1335">
        <f>IF($J1335="","",SUMIFS('Hours Log'!$E:$E,'Hours Log'!$A:$A,"&gt;="&amp;$J1335,'Hours Log'!$A:$A,"&lt;"&amp;$J1335+7))</f>
        <v/>
      </c>
      <c r="J1335">
        <f>IF(COUNT('Hours Log'!$A$4:$A$5000)=0,"",IF(MIN('Hours Log'!$A$4:$A$5000)+7*(ROW()-10)&gt;MAX('Hours Log'!$A$4:$A$5000),"",MIN('Hours Log'!$A$4:$A$5000)+7*(ROW()-10)))</f>
        <v/>
      </c>
    </row>
    <row r="1336">
      <c r="A1336">
        <f>IF($J1336="","",YEAR($J1336-WEEKDAY($J1336,2)+4)&amp;"-W"&amp;TEXT(WEEKNUM($J1336,21),"00"))</f>
        <v/>
      </c>
      <c r="B1336" s="41">
        <f>IF($J1336="","",COUNTIFS(Roster!$D$4:$D$500,"Active",Roster!$C$4:$C$500,"&lt;="&amp;$J1336))</f>
        <v/>
      </c>
      <c r="C1336">
        <f>IF($J1336="","",SUMIFS('Hours Log'!$C:$C,'Hours Log'!$A:$A,"&gt;="&amp;$J1336,'Hours Log'!$A:$A,"&lt;"&amp;$J1336+7)+SUMIFS('Hours Log'!$D:$D,'Hours Log'!$A:$A,"&gt;="&amp;$J1336,'Hours Log'!$A:$A,"&lt;"&amp;$J1336+7))</f>
        <v/>
      </c>
      <c r="D1336">
        <f>IF($J1336="","",SUMIFS('Hours Log'!$D:$D,'Hours Log'!$A:$A,"&gt;="&amp;$J1336,'Hours Log'!$A:$A,"&lt;"&amp;$J1336+7))</f>
        <v/>
      </c>
      <c r="E1336">
        <f>IF($J1336="","",IFERROR(C1336/(B1336*40),0))</f>
        <v/>
      </c>
      <c r="F1336">
        <f>IF($J1336="","",0)</f>
        <v/>
      </c>
      <c r="G1336">
        <f>IF($J1336="","",SUMIFS('Hours Log'!$E:$E,'Hours Log'!$A:$A,"&gt;="&amp;$J1336,'Hours Log'!$A:$A,"&lt;"&amp;$J1336+7))</f>
        <v/>
      </c>
      <c r="J1336">
        <f>IF(COUNT('Hours Log'!$A$4:$A$5000)=0,"",IF(MIN('Hours Log'!$A$4:$A$5000)+7*(ROW()-10)&gt;MAX('Hours Log'!$A$4:$A$5000),"",MIN('Hours Log'!$A$4:$A$5000)+7*(ROW()-10)))</f>
        <v/>
      </c>
    </row>
    <row r="1337">
      <c r="A1337">
        <f>IF($J1337="","",YEAR($J1337-WEEKDAY($J1337,2)+4)&amp;"-W"&amp;TEXT(WEEKNUM($J1337,21),"00"))</f>
        <v/>
      </c>
      <c r="B1337" s="41">
        <f>IF($J1337="","",COUNTIFS(Roster!$D$4:$D$500,"Active",Roster!$C$4:$C$500,"&lt;="&amp;$J1337))</f>
        <v/>
      </c>
      <c r="C1337">
        <f>IF($J1337="","",SUMIFS('Hours Log'!$C:$C,'Hours Log'!$A:$A,"&gt;="&amp;$J1337,'Hours Log'!$A:$A,"&lt;"&amp;$J1337+7)+SUMIFS('Hours Log'!$D:$D,'Hours Log'!$A:$A,"&gt;="&amp;$J1337,'Hours Log'!$A:$A,"&lt;"&amp;$J1337+7))</f>
        <v/>
      </c>
      <c r="D1337">
        <f>IF($J1337="","",SUMIFS('Hours Log'!$D:$D,'Hours Log'!$A:$A,"&gt;="&amp;$J1337,'Hours Log'!$A:$A,"&lt;"&amp;$J1337+7))</f>
        <v/>
      </c>
      <c r="E1337">
        <f>IF($J1337="","",IFERROR(C1337/(B1337*40),0))</f>
        <v/>
      </c>
      <c r="F1337">
        <f>IF($J1337="","",0)</f>
        <v/>
      </c>
      <c r="G1337">
        <f>IF($J1337="","",SUMIFS('Hours Log'!$E:$E,'Hours Log'!$A:$A,"&gt;="&amp;$J1337,'Hours Log'!$A:$A,"&lt;"&amp;$J1337+7))</f>
        <v/>
      </c>
      <c r="J1337">
        <f>IF(COUNT('Hours Log'!$A$4:$A$5000)=0,"",IF(MIN('Hours Log'!$A$4:$A$5000)+7*(ROW()-10)&gt;MAX('Hours Log'!$A$4:$A$5000),"",MIN('Hours Log'!$A$4:$A$5000)+7*(ROW()-10)))</f>
        <v/>
      </c>
    </row>
    <row r="1338">
      <c r="A1338">
        <f>IF($J1338="","",YEAR($J1338-WEEKDAY($J1338,2)+4)&amp;"-W"&amp;TEXT(WEEKNUM($J1338,21),"00"))</f>
        <v/>
      </c>
      <c r="B1338" s="41">
        <f>IF($J1338="","",COUNTIFS(Roster!$D$4:$D$500,"Active",Roster!$C$4:$C$500,"&lt;="&amp;$J1338))</f>
        <v/>
      </c>
      <c r="C1338">
        <f>IF($J1338="","",SUMIFS('Hours Log'!$C:$C,'Hours Log'!$A:$A,"&gt;="&amp;$J1338,'Hours Log'!$A:$A,"&lt;"&amp;$J1338+7)+SUMIFS('Hours Log'!$D:$D,'Hours Log'!$A:$A,"&gt;="&amp;$J1338,'Hours Log'!$A:$A,"&lt;"&amp;$J1338+7))</f>
        <v/>
      </c>
      <c r="D1338">
        <f>IF($J1338="","",SUMIFS('Hours Log'!$D:$D,'Hours Log'!$A:$A,"&gt;="&amp;$J1338,'Hours Log'!$A:$A,"&lt;"&amp;$J1338+7))</f>
        <v/>
      </c>
      <c r="E1338">
        <f>IF($J1338="","",IFERROR(C1338/(B1338*40),0))</f>
        <v/>
      </c>
      <c r="F1338">
        <f>IF($J1338="","",0)</f>
        <v/>
      </c>
      <c r="G1338">
        <f>IF($J1338="","",SUMIFS('Hours Log'!$E:$E,'Hours Log'!$A:$A,"&gt;="&amp;$J1338,'Hours Log'!$A:$A,"&lt;"&amp;$J1338+7))</f>
        <v/>
      </c>
      <c r="J1338">
        <f>IF(COUNT('Hours Log'!$A$4:$A$5000)=0,"",IF(MIN('Hours Log'!$A$4:$A$5000)+7*(ROW()-10)&gt;MAX('Hours Log'!$A$4:$A$5000),"",MIN('Hours Log'!$A$4:$A$5000)+7*(ROW()-10)))</f>
        <v/>
      </c>
    </row>
    <row r="1339">
      <c r="A1339">
        <f>IF($J1339="","",YEAR($J1339-WEEKDAY($J1339,2)+4)&amp;"-W"&amp;TEXT(WEEKNUM($J1339,21),"00"))</f>
        <v/>
      </c>
      <c r="B1339" s="41">
        <f>IF($J1339="","",COUNTIFS(Roster!$D$4:$D$500,"Active",Roster!$C$4:$C$500,"&lt;="&amp;$J1339))</f>
        <v/>
      </c>
      <c r="C1339">
        <f>IF($J1339="","",SUMIFS('Hours Log'!$C:$C,'Hours Log'!$A:$A,"&gt;="&amp;$J1339,'Hours Log'!$A:$A,"&lt;"&amp;$J1339+7)+SUMIFS('Hours Log'!$D:$D,'Hours Log'!$A:$A,"&gt;="&amp;$J1339,'Hours Log'!$A:$A,"&lt;"&amp;$J1339+7))</f>
        <v/>
      </c>
      <c r="D1339">
        <f>IF($J1339="","",SUMIFS('Hours Log'!$D:$D,'Hours Log'!$A:$A,"&gt;="&amp;$J1339,'Hours Log'!$A:$A,"&lt;"&amp;$J1339+7))</f>
        <v/>
      </c>
      <c r="E1339">
        <f>IF($J1339="","",IFERROR(C1339/(B1339*40),0))</f>
        <v/>
      </c>
      <c r="F1339">
        <f>IF($J1339="","",0)</f>
        <v/>
      </c>
      <c r="G1339">
        <f>IF($J1339="","",SUMIFS('Hours Log'!$E:$E,'Hours Log'!$A:$A,"&gt;="&amp;$J1339,'Hours Log'!$A:$A,"&lt;"&amp;$J1339+7))</f>
        <v/>
      </c>
      <c r="J1339">
        <f>IF(COUNT('Hours Log'!$A$4:$A$5000)=0,"",IF(MIN('Hours Log'!$A$4:$A$5000)+7*(ROW()-10)&gt;MAX('Hours Log'!$A$4:$A$5000),"",MIN('Hours Log'!$A$4:$A$5000)+7*(ROW()-10)))</f>
        <v/>
      </c>
    </row>
    <row r="1340">
      <c r="A1340">
        <f>IF($J1340="","",YEAR($J1340-WEEKDAY($J1340,2)+4)&amp;"-W"&amp;TEXT(WEEKNUM($J1340,21),"00"))</f>
        <v/>
      </c>
      <c r="B1340" s="41">
        <f>IF($J1340="","",COUNTIFS(Roster!$D$4:$D$500,"Active",Roster!$C$4:$C$500,"&lt;="&amp;$J1340))</f>
        <v/>
      </c>
      <c r="C1340">
        <f>IF($J1340="","",SUMIFS('Hours Log'!$C:$C,'Hours Log'!$A:$A,"&gt;="&amp;$J1340,'Hours Log'!$A:$A,"&lt;"&amp;$J1340+7)+SUMIFS('Hours Log'!$D:$D,'Hours Log'!$A:$A,"&gt;="&amp;$J1340,'Hours Log'!$A:$A,"&lt;"&amp;$J1340+7))</f>
        <v/>
      </c>
      <c r="D1340">
        <f>IF($J1340="","",SUMIFS('Hours Log'!$D:$D,'Hours Log'!$A:$A,"&gt;="&amp;$J1340,'Hours Log'!$A:$A,"&lt;"&amp;$J1340+7))</f>
        <v/>
      </c>
      <c r="E1340">
        <f>IF($J1340="","",IFERROR(C1340/(B1340*40),0))</f>
        <v/>
      </c>
      <c r="F1340">
        <f>IF($J1340="","",0)</f>
        <v/>
      </c>
      <c r="G1340">
        <f>IF($J1340="","",SUMIFS('Hours Log'!$E:$E,'Hours Log'!$A:$A,"&gt;="&amp;$J1340,'Hours Log'!$A:$A,"&lt;"&amp;$J1340+7))</f>
        <v/>
      </c>
      <c r="J1340">
        <f>IF(COUNT('Hours Log'!$A$4:$A$5000)=0,"",IF(MIN('Hours Log'!$A$4:$A$5000)+7*(ROW()-10)&gt;MAX('Hours Log'!$A$4:$A$5000),"",MIN('Hours Log'!$A$4:$A$5000)+7*(ROW()-10)))</f>
        <v/>
      </c>
    </row>
    <row r="1341">
      <c r="A1341">
        <f>IF($J1341="","",YEAR($J1341-WEEKDAY($J1341,2)+4)&amp;"-W"&amp;TEXT(WEEKNUM($J1341,21),"00"))</f>
        <v/>
      </c>
      <c r="B1341" s="41">
        <f>IF($J1341="","",COUNTIFS(Roster!$D$4:$D$500,"Active",Roster!$C$4:$C$500,"&lt;="&amp;$J1341))</f>
        <v/>
      </c>
      <c r="C1341">
        <f>IF($J1341="","",SUMIFS('Hours Log'!$C:$C,'Hours Log'!$A:$A,"&gt;="&amp;$J1341,'Hours Log'!$A:$A,"&lt;"&amp;$J1341+7)+SUMIFS('Hours Log'!$D:$D,'Hours Log'!$A:$A,"&gt;="&amp;$J1341,'Hours Log'!$A:$A,"&lt;"&amp;$J1341+7))</f>
        <v/>
      </c>
      <c r="D1341">
        <f>IF($J1341="","",SUMIFS('Hours Log'!$D:$D,'Hours Log'!$A:$A,"&gt;="&amp;$J1341,'Hours Log'!$A:$A,"&lt;"&amp;$J1341+7))</f>
        <v/>
      </c>
      <c r="E1341">
        <f>IF($J1341="","",IFERROR(C1341/(B1341*40),0))</f>
        <v/>
      </c>
      <c r="F1341">
        <f>IF($J1341="","",0)</f>
        <v/>
      </c>
      <c r="G1341">
        <f>IF($J1341="","",SUMIFS('Hours Log'!$E:$E,'Hours Log'!$A:$A,"&gt;="&amp;$J1341,'Hours Log'!$A:$A,"&lt;"&amp;$J1341+7))</f>
        <v/>
      </c>
      <c r="J1341">
        <f>IF(COUNT('Hours Log'!$A$4:$A$5000)=0,"",IF(MIN('Hours Log'!$A$4:$A$5000)+7*(ROW()-10)&gt;MAX('Hours Log'!$A$4:$A$5000),"",MIN('Hours Log'!$A$4:$A$5000)+7*(ROW()-10)))</f>
        <v/>
      </c>
    </row>
    <row r="1342">
      <c r="A1342">
        <f>IF($J1342="","",YEAR($J1342-WEEKDAY($J1342,2)+4)&amp;"-W"&amp;TEXT(WEEKNUM($J1342,21),"00"))</f>
        <v/>
      </c>
      <c r="B1342" s="41">
        <f>IF($J1342="","",COUNTIFS(Roster!$D$4:$D$500,"Active",Roster!$C$4:$C$500,"&lt;="&amp;$J1342))</f>
        <v/>
      </c>
      <c r="C1342">
        <f>IF($J1342="","",SUMIFS('Hours Log'!$C:$C,'Hours Log'!$A:$A,"&gt;="&amp;$J1342,'Hours Log'!$A:$A,"&lt;"&amp;$J1342+7)+SUMIFS('Hours Log'!$D:$D,'Hours Log'!$A:$A,"&gt;="&amp;$J1342,'Hours Log'!$A:$A,"&lt;"&amp;$J1342+7))</f>
        <v/>
      </c>
      <c r="D1342">
        <f>IF($J1342="","",SUMIFS('Hours Log'!$D:$D,'Hours Log'!$A:$A,"&gt;="&amp;$J1342,'Hours Log'!$A:$A,"&lt;"&amp;$J1342+7))</f>
        <v/>
      </c>
      <c r="E1342">
        <f>IF($J1342="","",IFERROR(C1342/(B1342*40),0))</f>
        <v/>
      </c>
      <c r="F1342">
        <f>IF($J1342="","",0)</f>
        <v/>
      </c>
      <c r="G1342">
        <f>IF($J1342="","",SUMIFS('Hours Log'!$E:$E,'Hours Log'!$A:$A,"&gt;="&amp;$J1342,'Hours Log'!$A:$A,"&lt;"&amp;$J1342+7))</f>
        <v/>
      </c>
      <c r="J1342">
        <f>IF(COUNT('Hours Log'!$A$4:$A$5000)=0,"",IF(MIN('Hours Log'!$A$4:$A$5000)+7*(ROW()-10)&gt;MAX('Hours Log'!$A$4:$A$5000),"",MIN('Hours Log'!$A$4:$A$5000)+7*(ROW()-10)))</f>
        <v/>
      </c>
    </row>
    <row r="1343">
      <c r="A1343">
        <f>IF($J1343="","",YEAR($J1343-WEEKDAY($J1343,2)+4)&amp;"-W"&amp;TEXT(WEEKNUM($J1343,21),"00"))</f>
        <v/>
      </c>
      <c r="B1343" s="41">
        <f>IF($J1343="","",COUNTIFS(Roster!$D$4:$D$500,"Active",Roster!$C$4:$C$500,"&lt;="&amp;$J1343))</f>
        <v/>
      </c>
      <c r="C1343">
        <f>IF($J1343="","",SUMIFS('Hours Log'!$C:$C,'Hours Log'!$A:$A,"&gt;="&amp;$J1343,'Hours Log'!$A:$A,"&lt;"&amp;$J1343+7)+SUMIFS('Hours Log'!$D:$D,'Hours Log'!$A:$A,"&gt;="&amp;$J1343,'Hours Log'!$A:$A,"&lt;"&amp;$J1343+7))</f>
        <v/>
      </c>
      <c r="D1343">
        <f>IF($J1343="","",SUMIFS('Hours Log'!$D:$D,'Hours Log'!$A:$A,"&gt;="&amp;$J1343,'Hours Log'!$A:$A,"&lt;"&amp;$J1343+7))</f>
        <v/>
      </c>
      <c r="E1343">
        <f>IF($J1343="","",IFERROR(C1343/(B1343*40),0))</f>
        <v/>
      </c>
      <c r="F1343">
        <f>IF($J1343="","",0)</f>
        <v/>
      </c>
      <c r="G1343">
        <f>IF($J1343="","",SUMIFS('Hours Log'!$E:$E,'Hours Log'!$A:$A,"&gt;="&amp;$J1343,'Hours Log'!$A:$A,"&lt;"&amp;$J1343+7))</f>
        <v/>
      </c>
      <c r="J1343">
        <f>IF(COUNT('Hours Log'!$A$4:$A$5000)=0,"",IF(MIN('Hours Log'!$A$4:$A$5000)+7*(ROW()-10)&gt;MAX('Hours Log'!$A$4:$A$5000),"",MIN('Hours Log'!$A$4:$A$5000)+7*(ROW()-10)))</f>
        <v/>
      </c>
    </row>
    <row r="1344">
      <c r="A1344">
        <f>IF($J1344="","",YEAR($J1344-WEEKDAY($J1344,2)+4)&amp;"-W"&amp;TEXT(WEEKNUM($J1344,21),"00"))</f>
        <v/>
      </c>
      <c r="B1344" s="41">
        <f>IF($J1344="","",COUNTIFS(Roster!$D$4:$D$500,"Active",Roster!$C$4:$C$500,"&lt;="&amp;$J1344))</f>
        <v/>
      </c>
      <c r="C1344">
        <f>IF($J1344="","",SUMIFS('Hours Log'!$C:$C,'Hours Log'!$A:$A,"&gt;="&amp;$J1344,'Hours Log'!$A:$A,"&lt;"&amp;$J1344+7)+SUMIFS('Hours Log'!$D:$D,'Hours Log'!$A:$A,"&gt;="&amp;$J1344,'Hours Log'!$A:$A,"&lt;"&amp;$J1344+7))</f>
        <v/>
      </c>
      <c r="D1344">
        <f>IF($J1344="","",SUMIFS('Hours Log'!$D:$D,'Hours Log'!$A:$A,"&gt;="&amp;$J1344,'Hours Log'!$A:$A,"&lt;"&amp;$J1344+7))</f>
        <v/>
      </c>
      <c r="E1344">
        <f>IF($J1344="","",IFERROR(C1344/(B1344*40),0))</f>
        <v/>
      </c>
      <c r="F1344">
        <f>IF($J1344="","",0)</f>
        <v/>
      </c>
      <c r="G1344">
        <f>IF($J1344="","",SUMIFS('Hours Log'!$E:$E,'Hours Log'!$A:$A,"&gt;="&amp;$J1344,'Hours Log'!$A:$A,"&lt;"&amp;$J1344+7))</f>
        <v/>
      </c>
      <c r="J1344">
        <f>IF(COUNT('Hours Log'!$A$4:$A$5000)=0,"",IF(MIN('Hours Log'!$A$4:$A$5000)+7*(ROW()-10)&gt;MAX('Hours Log'!$A$4:$A$5000),"",MIN('Hours Log'!$A$4:$A$5000)+7*(ROW()-10)))</f>
        <v/>
      </c>
    </row>
    <row r="1345">
      <c r="A1345">
        <f>IF($J1345="","",YEAR($J1345-WEEKDAY($J1345,2)+4)&amp;"-W"&amp;TEXT(WEEKNUM($J1345,21),"00"))</f>
        <v/>
      </c>
      <c r="B1345" s="41">
        <f>IF($J1345="","",COUNTIFS(Roster!$D$4:$D$500,"Active",Roster!$C$4:$C$500,"&lt;="&amp;$J1345))</f>
        <v/>
      </c>
      <c r="C1345">
        <f>IF($J1345="","",SUMIFS('Hours Log'!$C:$C,'Hours Log'!$A:$A,"&gt;="&amp;$J1345,'Hours Log'!$A:$A,"&lt;"&amp;$J1345+7)+SUMIFS('Hours Log'!$D:$D,'Hours Log'!$A:$A,"&gt;="&amp;$J1345,'Hours Log'!$A:$A,"&lt;"&amp;$J1345+7))</f>
        <v/>
      </c>
      <c r="D1345">
        <f>IF($J1345="","",SUMIFS('Hours Log'!$D:$D,'Hours Log'!$A:$A,"&gt;="&amp;$J1345,'Hours Log'!$A:$A,"&lt;"&amp;$J1345+7))</f>
        <v/>
      </c>
      <c r="E1345">
        <f>IF($J1345="","",IFERROR(C1345/(B1345*40),0))</f>
        <v/>
      </c>
      <c r="F1345">
        <f>IF($J1345="","",0)</f>
        <v/>
      </c>
      <c r="G1345">
        <f>IF($J1345="","",SUMIFS('Hours Log'!$E:$E,'Hours Log'!$A:$A,"&gt;="&amp;$J1345,'Hours Log'!$A:$A,"&lt;"&amp;$J1345+7))</f>
        <v/>
      </c>
      <c r="J1345">
        <f>IF(COUNT('Hours Log'!$A$4:$A$5000)=0,"",IF(MIN('Hours Log'!$A$4:$A$5000)+7*(ROW()-10)&gt;MAX('Hours Log'!$A$4:$A$5000),"",MIN('Hours Log'!$A$4:$A$5000)+7*(ROW()-10)))</f>
        <v/>
      </c>
    </row>
    <row r="1346">
      <c r="A1346">
        <f>IF($J1346="","",YEAR($J1346-WEEKDAY($J1346,2)+4)&amp;"-W"&amp;TEXT(WEEKNUM($J1346,21),"00"))</f>
        <v/>
      </c>
      <c r="B1346" s="41">
        <f>IF($J1346="","",COUNTIFS(Roster!$D$4:$D$500,"Active",Roster!$C$4:$C$500,"&lt;="&amp;$J1346))</f>
        <v/>
      </c>
      <c r="C1346">
        <f>IF($J1346="","",SUMIFS('Hours Log'!$C:$C,'Hours Log'!$A:$A,"&gt;="&amp;$J1346,'Hours Log'!$A:$A,"&lt;"&amp;$J1346+7)+SUMIFS('Hours Log'!$D:$D,'Hours Log'!$A:$A,"&gt;="&amp;$J1346,'Hours Log'!$A:$A,"&lt;"&amp;$J1346+7))</f>
        <v/>
      </c>
      <c r="D1346">
        <f>IF($J1346="","",SUMIFS('Hours Log'!$D:$D,'Hours Log'!$A:$A,"&gt;="&amp;$J1346,'Hours Log'!$A:$A,"&lt;"&amp;$J1346+7))</f>
        <v/>
      </c>
      <c r="E1346">
        <f>IF($J1346="","",IFERROR(C1346/(B1346*40),0))</f>
        <v/>
      </c>
      <c r="F1346">
        <f>IF($J1346="","",0)</f>
        <v/>
      </c>
      <c r="G1346">
        <f>IF($J1346="","",SUMIFS('Hours Log'!$E:$E,'Hours Log'!$A:$A,"&gt;="&amp;$J1346,'Hours Log'!$A:$A,"&lt;"&amp;$J1346+7))</f>
        <v/>
      </c>
      <c r="J1346">
        <f>IF(COUNT('Hours Log'!$A$4:$A$5000)=0,"",IF(MIN('Hours Log'!$A$4:$A$5000)+7*(ROW()-10)&gt;MAX('Hours Log'!$A$4:$A$5000),"",MIN('Hours Log'!$A$4:$A$5000)+7*(ROW()-10)))</f>
        <v/>
      </c>
    </row>
    <row r="1347">
      <c r="A1347">
        <f>IF($J1347="","",YEAR($J1347-WEEKDAY($J1347,2)+4)&amp;"-W"&amp;TEXT(WEEKNUM($J1347,21),"00"))</f>
        <v/>
      </c>
      <c r="B1347" s="41">
        <f>IF($J1347="","",COUNTIFS(Roster!$D$4:$D$500,"Active",Roster!$C$4:$C$500,"&lt;="&amp;$J1347))</f>
        <v/>
      </c>
      <c r="C1347">
        <f>IF($J1347="","",SUMIFS('Hours Log'!$C:$C,'Hours Log'!$A:$A,"&gt;="&amp;$J1347,'Hours Log'!$A:$A,"&lt;"&amp;$J1347+7)+SUMIFS('Hours Log'!$D:$D,'Hours Log'!$A:$A,"&gt;="&amp;$J1347,'Hours Log'!$A:$A,"&lt;"&amp;$J1347+7))</f>
        <v/>
      </c>
      <c r="D1347">
        <f>IF($J1347="","",SUMIFS('Hours Log'!$D:$D,'Hours Log'!$A:$A,"&gt;="&amp;$J1347,'Hours Log'!$A:$A,"&lt;"&amp;$J1347+7))</f>
        <v/>
      </c>
      <c r="E1347">
        <f>IF($J1347="","",IFERROR(C1347/(B1347*40),0))</f>
        <v/>
      </c>
      <c r="F1347">
        <f>IF($J1347="","",0)</f>
        <v/>
      </c>
      <c r="G1347">
        <f>IF($J1347="","",SUMIFS('Hours Log'!$E:$E,'Hours Log'!$A:$A,"&gt;="&amp;$J1347,'Hours Log'!$A:$A,"&lt;"&amp;$J1347+7))</f>
        <v/>
      </c>
      <c r="J1347">
        <f>IF(COUNT('Hours Log'!$A$4:$A$5000)=0,"",IF(MIN('Hours Log'!$A$4:$A$5000)+7*(ROW()-10)&gt;MAX('Hours Log'!$A$4:$A$5000),"",MIN('Hours Log'!$A$4:$A$5000)+7*(ROW()-10)))</f>
        <v/>
      </c>
    </row>
    <row r="1348">
      <c r="A1348">
        <f>IF($J1348="","",YEAR($J1348-WEEKDAY($J1348,2)+4)&amp;"-W"&amp;TEXT(WEEKNUM($J1348,21),"00"))</f>
        <v/>
      </c>
      <c r="B1348" s="41">
        <f>IF($J1348="","",COUNTIFS(Roster!$D$4:$D$500,"Active",Roster!$C$4:$C$500,"&lt;="&amp;$J1348))</f>
        <v/>
      </c>
      <c r="C1348">
        <f>IF($J1348="","",SUMIFS('Hours Log'!$C:$C,'Hours Log'!$A:$A,"&gt;="&amp;$J1348,'Hours Log'!$A:$A,"&lt;"&amp;$J1348+7)+SUMIFS('Hours Log'!$D:$D,'Hours Log'!$A:$A,"&gt;="&amp;$J1348,'Hours Log'!$A:$A,"&lt;"&amp;$J1348+7))</f>
        <v/>
      </c>
      <c r="D1348">
        <f>IF($J1348="","",SUMIFS('Hours Log'!$D:$D,'Hours Log'!$A:$A,"&gt;="&amp;$J1348,'Hours Log'!$A:$A,"&lt;"&amp;$J1348+7))</f>
        <v/>
      </c>
      <c r="E1348">
        <f>IF($J1348="","",IFERROR(C1348/(B1348*40),0))</f>
        <v/>
      </c>
      <c r="F1348">
        <f>IF($J1348="","",0)</f>
        <v/>
      </c>
      <c r="G1348">
        <f>IF($J1348="","",SUMIFS('Hours Log'!$E:$E,'Hours Log'!$A:$A,"&gt;="&amp;$J1348,'Hours Log'!$A:$A,"&lt;"&amp;$J1348+7))</f>
        <v/>
      </c>
      <c r="J1348">
        <f>IF(COUNT('Hours Log'!$A$4:$A$5000)=0,"",IF(MIN('Hours Log'!$A$4:$A$5000)+7*(ROW()-10)&gt;MAX('Hours Log'!$A$4:$A$5000),"",MIN('Hours Log'!$A$4:$A$5000)+7*(ROW()-10)))</f>
        <v/>
      </c>
    </row>
    <row r="1349">
      <c r="A1349">
        <f>IF($J1349="","",YEAR($J1349-WEEKDAY($J1349,2)+4)&amp;"-W"&amp;TEXT(WEEKNUM($J1349,21),"00"))</f>
        <v/>
      </c>
      <c r="B1349" s="41">
        <f>IF($J1349="","",COUNTIFS(Roster!$D$4:$D$500,"Active",Roster!$C$4:$C$500,"&lt;="&amp;$J1349))</f>
        <v/>
      </c>
      <c r="C1349">
        <f>IF($J1349="","",SUMIFS('Hours Log'!$C:$C,'Hours Log'!$A:$A,"&gt;="&amp;$J1349,'Hours Log'!$A:$A,"&lt;"&amp;$J1349+7)+SUMIFS('Hours Log'!$D:$D,'Hours Log'!$A:$A,"&gt;="&amp;$J1349,'Hours Log'!$A:$A,"&lt;"&amp;$J1349+7))</f>
        <v/>
      </c>
      <c r="D1349">
        <f>IF($J1349="","",SUMIFS('Hours Log'!$D:$D,'Hours Log'!$A:$A,"&gt;="&amp;$J1349,'Hours Log'!$A:$A,"&lt;"&amp;$J1349+7))</f>
        <v/>
      </c>
      <c r="E1349">
        <f>IF($J1349="","",IFERROR(C1349/(B1349*40),0))</f>
        <v/>
      </c>
      <c r="F1349">
        <f>IF($J1349="","",0)</f>
        <v/>
      </c>
      <c r="G1349">
        <f>IF($J1349="","",SUMIFS('Hours Log'!$E:$E,'Hours Log'!$A:$A,"&gt;="&amp;$J1349,'Hours Log'!$A:$A,"&lt;"&amp;$J1349+7))</f>
        <v/>
      </c>
      <c r="J1349">
        <f>IF(COUNT('Hours Log'!$A$4:$A$5000)=0,"",IF(MIN('Hours Log'!$A$4:$A$5000)+7*(ROW()-10)&gt;MAX('Hours Log'!$A$4:$A$5000),"",MIN('Hours Log'!$A$4:$A$5000)+7*(ROW()-10)))</f>
        <v/>
      </c>
    </row>
    <row r="1350">
      <c r="A1350">
        <f>IF($J1350="","",YEAR($J1350-WEEKDAY($J1350,2)+4)&amp;"-W"&amp;TEXT(WEEKNUM($J1350,21),"00"))</f>
        <v/>
      </c>
      <c r="B1350" s="41">
        <f>IF($J1350="","",COUNTIFS(Roster!$D$4:$D$500,"Active",Roster!$C$4:$C$500,"&lt;="&amp;$J1350))</f>
        <v/>
      </c>
      <c r="C1350">
        <f>IF($J1350="","",SUMIFS('Hours Log'!$C:$C,'Hours Log'!$A:$A,"&gt;="&amp;$J1350,'Hours Log'!$A:$A,"&lt;"&amp;$J1350+7)+SUMIFS('Hours Log'!$D:$D,'Hours Log'!$A:$A,"&gt;="&amp;$J1350,'Hours Log'!$A:$A,"&lt;"&amp;$J1350+7))</f>
        <v/>
      </c>
      <c r="D1350">
        <f>IF($J1350="","",SUMIFS('Hours Log'!$D:$D,'Hours Log'!$A:$A,"&gt;="&amp;$J1350,'Hours Log'!$A:$A,"&lt;"&amp;$J1350+7))</f>
        <v/>
      </c>
      <c r="E1350">
        <f>IF($J1350="","",IFERROR(C1350/(B1350*40),0))</f>
        <v/>
      </c>
      <c r="F1350">
        <f>IF($J1350="","",0)</f>
        <v/>
      </c>
      <c r="G1350">
        <f>IF($J1350="","",SUMIFS('Hours Log'!$E:$E,'Hours Log'!$A:$A,"&gt;="&amp;$J1350,'Hours Log'!$A:$A,"&lt;"&amp;$J1350+7))</f>
        <v/>
      </c>
      <c r="J1350">
        <f>IF(COUNT('Hours Log'!$A$4:$A$5000)=0,"",IF(MIN('Hours Log'!$A$4:$A$5000)+7*(ROW()-10)&gt;MAX('Hours Log'!$A$4:$A$5000),"",MIN('Hours Log'!$A$4:$A$5000)+7*(ROW()-10)))</f>
        <v/>
      </c>
    </row>
    <row r="1351">
      <c r="A1351">
        <f>IF($J1351="","",YEAR($J1351-WEEKDAY($J1351,2)+4)&amp;"-W"&amp;TEXT(WEEKNUM($J1351,21),"00"))</f>
        <v/>
      </c>
      <c r="B1351" s="41">
        <f>IF($J1351="","",COUNTIFS(Roster!$D$4:$D$500,"Active",Roster!$C$4:$C$500,"&lt;="&amp;$J1351))</f>
        <v/>
      </c>
      <c r="C1351">
        <f>IF($J1351="","",SUMIFS('Hours Log'!$C:$C,'Hours Log'!$A:$A,"&gt;="&amp;$J1351,'Hours Log'!$A:$A,"&lt;"&amp;$J1351+7)+SUMIFS('Hours Log'!$D:$D,'Hours Log'!$A:$A,"&gt;="&amp;$J1351,'Hours Log'!$A:$A,"&lt;"&amp;$J1351+7))</f>
        <v/>
      </c>
      <c r="D1351">
        <f>IF($J1351="","",SUMIFS('Hours Log'!$D:$D,'Hours Log'!$A:$A,"&gt;="&amp;$J1351,'Hours Log'!$A:$A,"&lt;"&amp;$J1351+7))</f>
        <v/>
      </c>
      <c r="E1351">
        <f>IF($J1351="","",IFERROR(C1351/(B1351*40),0))</f>
        <v/>
      </c>
      <c r="F1351">
        <f>IF($J1351="","",0)</f>
        <v/>
      </c>
      <c r="G1351">
        <f>IF($J1351="","",SUMIFS('Hours Log'!$E:$E,'Hours Log'!$A:$A,"&gt;="&amp;$J1351,'Hours Log'!$A:$A,"&lt;"&amp;$J1351+7))</f>
        <v/>
      </c>
      <c r="J1351">
        <f>IF(COUNT('Hours Log'!$A$4:$A$5000)=0,"",IF(MIN('Hours Log'!$A$4:$A$5000)+7*(ROW()-10)&gt;MAX('Hours Log'!$A$4:$A$5000),"",MIN('Hours Log'!$A$4:$A$5000)+7*(ROW()-10)))</f>
        <v/>
      </c>
    </row>
    <row r="1352">
      <c r="A1352">
        <f>IF($J1352="","",YEAR($J1352-WEEKDAY($J1352,2)+4)&amp;"-W"&amp;TEXT(WEEKNUM($J1352,21),"00"))</f>
        <v/>
      </c>
      <c r="B1352" s="41">
        <f>IF($J1352="","",COUNTIFS(Roster!$D$4:$D$500,"Active",Roster!$C$4:$C$500,"&lt;="&amp;$J1352))</f>
        <v/>
      </c>
      <c r="C1352">
        <f>IF($J1352="","",SUMIFS('Hours Log'!$C:$C,'Hours Log'!$A:$A,"&gt;="&amp;$J1352,'Hours Log'!$A:$A,"&lt;"&amp;$J1352+7)+SUMIFS('Hours Log'!$D:$D,'Hours Log'!$A:$A,"&gt;="&amp;$J1352,'Hours Log'!$A:$A,"&lt;"&amp;$J1352+7))</f>
        <v/>
      </c>
      <c r="D1352">
        <f>IF($J1352="","",SUMIFS('Hours Log'!$D:$D,'Hours Log'!$A:$A,"&gt;="&amp;$J1352,'Hours Log'!$A:$A,"&lt;"&amp;$J1352+7))</f>
        <v/>
      </c>
      <c r="E1352">
        <f>IF($J1352="","",IFERROR(C1352/(B1352*40),0))</f>
        <v/>
      </c>
      <c r="F1352">
        <f>IF($J1352="","",0)</f>
        <v/>
      </c>
      <c r="G1352">
        <f>IF($J1352="","",SUMIFS('Hours Log'!$E:$E,'Hours Log'!$A:$A,"&gt;="&amp;$J1352,'Hours Log'!$A:$A,"&lt;"&amp;$J1352+7))</f>
        <v/>
      </c>
      <c r="J1352">
        <f>IF(COUNT('Hours Log'!$A$4:$A$5000)=0,"",IF(MIN('Hours Log'!$A$4:$A$5000)+7*(ROW()-10)&gt;MAX('Hours Log'!$A$4:$A$5000),"",MIN('Hours Log'!$A$4:$A$5000)+7*(ROW()-10)))</f>
        <v/>
      </c>
    </row>
    <row r="1353">
      <c r="A1353">
        <f>IF($J1353="","",YEAR($J1353-WEEKDAY($J1353,2)+4)&amp;"-W"&amp;TEXT(WEEKNUM($J1353,21),"00"))</f>
        <v/>
      </c>
      <c r="B1353" s="41">
        <f>IF($J1353="","",COUNTIFS(Roster!$D$4:$D$500,"Active",Roster!$C$4:$C$500,"&lt;="&amp;$J1353))</f>
        <v/>
      </c>
      <c r="C1353">
        <f>IF($J1353="","",SUMIFS('Hours Log'!$C:$C,'Hours Log'!$A:$A,"&gt;="&amp;$J1353,'Hours Log'!$A:$A,"&lt;"&amp;$J1353+7)+SUMIFS('Hours Log'!$D:$D,'Hours Log'!$A:$A,"&gt;="&amp;$J1353,'Hours Log'!$A:$A,"&lt;"&amp;$J1353+7))</f>
        <v/>
      </c>
      <c r="D1353">
        <f>IF($J1353="","",SUMIFS('Hours Log'!$D:$D,'Hours Log'!$A:$A,"&gt;="&amp;$J1353,'Hours Log'!$A:$A,"&lt;"&amp;$J1353+7))</f>
        <v/>
      </c>
      <c r="E1353">
        <f>IF($J1353="","",IFERROR(C1353/(B1353*40),0))</f>
        <v/>
      </c>
      <c r="F1353">
        <f>IF($J1353="","",0)</f>
        <v/>
      </c>
      <c r="G1353">
        <f>IF($J1353="","",SUMIFS('Hours Log'!$E:$E,'Hours Log'!$A:$A,"&gt;="&amp;$J1353,'Hours Log'!$A:$A,"&lt;"&amp;$J1353+7))</f>
        <v/>
      </c>
      <c r="J1353">
        <f>IF(COUNT('Hours Log'!$A$4:$A$5000)=0,"",IF(MIN('Hours Log'!$A$4:$A$5000)+7*(ROW()-10)&gt;MAX('Hours Log'!$A$4:$A$5000),"",MIN('Hours Log'!$A$4:$A$5000)+7*(ROW()-10)))</f>
        <v/>
      </c>
    </row>
    <row r="1354">
      <c r="A1354">
        <f>IF($J1354="","",YEAR($J1354-WEEKDAY($J1354,2)+4)&amp;"-W"&amp;TEXT(WEEKNUM($J1354,21),"00"))</f>
        <v/>
      </c>
      <c r="B1354" s="41">
        <f>IF($J1354="","",COUNTIFS(Roster!$D$4:$D$500,"Active",Roster!$C$4:$C$500,"&lt;="&amp;$J1354))</f>
        <v/>
      </c>
      <c r="C1354">
        <f>IF($J1354="","",SUMIFS('Hours Log'!$C:$C,'Hours Log'!$A:$A,"&gt;="&amp;$J1354,'Hours Log'!$A:$A,"&lt;"&amp;$J1354+7)+SUMIFS('Hours Log'!$D:$D,'Hours Log'!$A:$A,"&gt;="&amp;$J1354,'Hours Log'!$A:$A,"&lt;"&amp;$J1354+7))</f>
        <v/>
      </c>
      <c r="D1354">
        <f>IF($J1354="","",SUMIFS('Hours Log'!$D:$D,'Hours Log'!$A:$A,"&gt;="&amp;$J1354,'Hours Log'!$A:$A,"&lt;"&amp;$J1354+7))</f>
        <v/>
      </c>
      <c r="E1354">
        <f>IF($J1354="","",IFERROR(C1354/(B1354*40),0))</f>
        <v/>
      </c>
      <c r="F1354">
        <f>IF($J1354="","",0)</f>
        <v/>
      </c>
      <c r="G1354">
        <f>IF($J1354="","",SUMIFS('Hours Log'!$E:$E,'Hours Log'!$A:$A,"&gt;="&amp;$J1354,'Hours Log'!$A:$A,"&lt;"&amp;$J1354+7))</f>
        <v/>
      </c>
      <c r="J1354">
        <f>IF(COUNT('Hours Log'!$A$4:$A$5000)=0,"",IF(MIN('Hours Log'!$A$4:$A$5000)+7*(ROW()-10)&gt;MAX('Hours Log'!$A$4:$A$5000),"",MIN('Hours Log'!$A$4:$A$5000)+7*(ROW()-10)))</f>
        <v/>
      </c>
    </row>
    <row r="1355">
      <c r="A1355">
        <f>IF($J1355="","",YEAR($J1355-WEEKDAY($J1355,2)+4)&amp;"-W"&amp;TEXT(WEEKNUM($J1355,21),"00"))</f>
        <v/>
      </c>
      <c r="B1355" s="41">
        <f>IF($J1355="","",COUNTIFS(Roster!$D$4:$D$500,"Active",Roster!$C$4:$C$500,"&lt;="&amp;$J1355))</f>
        <v/>
      </c>
      <c r="C1355">
        <f>IF($J1355="","",SUMIFS('Hours Log'!$C:$C,'Hours Log'!$A:$A,"&gt;="&amp;$J1355,'Hours Log'!$A:$A,"&lt;"&amp;$J1355+7)+SUMIFS('Hours Log'!$D:$D,'Hours Log'!$A:$A,"&gt;="&amp;$J1355,'Hours Log'!$A:$A,"&lt;"&amp;$J1355+7))</f>
        <v/>
      </c>
      <c r="D1355">
        <f>IF($J1355="","",SUMIFS('Hours Log'!$D:$D,'Hours Log'!$A:$A,"&gt;="&amp;$J1355,'Hours Log'!$A:$A,"&lt;"&amp;$J1355+7))</f>
        <v/>
      </c>
      <c r="E1355">
        <f>IF($J1355="","",IFERROR(C1355/(B1355*40),0))</f>
        <v/>
      </c>
      <c r="F1355">
        <f>IF($J1355="","",0)</f>
        <v/>
      </c>
      <c r="G1355">
        <f>IF($J1355="","",SUMIFS('Hours Log'!$E:$E,'Hours Log'!$A:$A,"&gt;="&amp;$J1355,'Hours Log'!$A:$A,"&lt;"&amp;$J1355+7))</f>
        <v/>
      </c>
      <c r="J1355">
        <f>IF(COUNT('Hours Log'!$A$4:$A$5000)=0,"",IF(MIN('Hours Log'!$A$4:$A$5000)+7*(ROW()-10)&gt;MAX('Hours Log'!$A$4:$A$5000),"",MIN('Hours Log'!$A$4:$A$5000)+7*(ROW()-10)))</f>
        <v/>
      </c>
    </row>
    <row r="1356">
      <c r="A1356">
        <f>IF($J1356="","",YEAR($J1356-WEEKDAY($J1356,2)+4)&amp;"-W"&amp;TEXT(WEEKNUM($J1356,21),"00"))</f>
        <v/>
      </c>
      <c r="B1356" s="41">
        <f>IF($J1356="","",COUNTIFS(Roster!$D$4:$D$500,"Active",Roster!$C$4:$C$500,"&lt;="&amp;$J1356))</f>
        <v/>
      </c>
      <c r="C1356">
        <f>IF($J1356="","",SUMIFS('Hours Log'!$C:$C,'Hours Log'!$A:$A,"&gt;="&amp;$J1356,'Hours Log'!$A:$A,"&lt;"&amp;$J1356+7)+SUMIFS('Hours Log'!$D:$D,'Hours Log'!$A:$A,"&gt;="&amp;$J1356,'Hours Log'!$A:$A,"&lt;"&amp;$J1356+7))</f>
        <v/>
      </c>
      <c r="D1356">
        <f>IF($J1356="","",SUMIFS('Hours Log'!$D:$D,'Hours Log'!$A:$A,"&gt;="&amp;$J1356,'Hours Log'!$A:$A,"&lt;"&amp;$J1356+7))</f>
        <v/>
      </c>
      <c r="E1356">
        <f>IF($J1356="","",IFERROR(C1356/(B1356*40),0))</f>
        <v/>
      </c>
      <c r="F1356">
        <f>IF($J1356="","",0)</f>
        <v/>
      </c>
      <c r="G1356">
        <f>IF($J1356="","",SUMIFS('Hours Log'!$E:$E,'Hours Log'!$A:$A,"&gt;="&amp;$J1356,'Hours Log'!$A:$A,"&lt;"&amp;$J1356+7))</f>
        <v/>
      </c>
      <c r="J1356">
        <f>IF(COUNT('Hours Log'!$A$4:$A$5000)=0,"",IF(MIN('Hours Log'!$A$4:$A$5000)+7*(ROW()-10)&gt;MAX('Hours Log'!$A$4:$A$5000),"",MIN('Hours Log'!$A$4:$A$5000)+7*(ROW()-10)))</f>
        <v/>
      </c>
    </row>
    <row r="1357">
      <c r="A1357">
        <f>IF($J1357="","",YEAR($J1357-WEEKDAY($J1357,2)+4)&amp;"-W"&amp;TEXT(WEEKNUM($J1357,21),"00"))</f>
        <v/>
      </c>
      <c r="B1357" s="41">
        <f>IF($J1357="","",COUNTIFS(Roster!$D$4:$D$500,"Active",Roster!$C$4:$C$500,"&lt;="&amp;$J1357))</f>
        <v/>
      </c>
      <c r="C1357">
        <f>IF($J1357="","",SUMIFS('Hours Log'!$C:$C,'Hours Log'!$A:$A,"&gt;="&amp;$J1357,'Hours Log'!$A:$A,"&lt;"&amp;$J1357+7)+SUMIFS('Hours Log'!$D:$D,'Hours Log'!$A:$A,"&gt;="&amp;$J1357,'Hours Log'!$A:$A,"&lt;"&amp;$J1357+7))</f>
        <v/>
      </c>
      <c r="D1357">
        <f>IF($J1357="","",SUMIFS('Hours Log'!$D:$D,'Hours Log'!$A:$A,"&gt;="&amp;$J1357,'Hours Log'!$A:$A,"&lt;"&amp;$J1357+7))</f>
        <v/>
      </c>
      <c r="E1357">
        <f>IF($J1357="","",IFERROR(C1357/(B1357*40),0))</f>
        <v/>
      </c>
      <c r="F1357">
        <f>IF($J1357="","",0)</f>
        <v/>
      </c>
      <c r="G1357">
        <f>IF($J1357="","",SUMIFS('Hours Log'!$E:$E,'Hours Log'!$A:$A,"&gt;="&amp;$J1357,'Hours Log'!$A:$A,"&lt;"&amp;$J1357+7))</f>
        <v/>
      </c>
      <c r="J1357">
        <f>IF(COUNT('Hours Log'!$A$4:$A$5000)=0,"",IF(MIN('Hours Log'!$A$4:$A$5000)+7*(ROW()-10)&gt;MAX('Hours Log'!$A$4:$A$5000),"",MIN('Hours Log'!$A$4:$A$5000)+7*(ROW()-10)))</f>
        <v/>
      </c>
    </row>
    <row r="1358">
      <c r="A1358">
        <f>IF($J1358="","",YEAR($J1358-WEEKDAY($J1358,2)+4)&amp;"-W"&amp;TEXT(WEEKNUM($J1358,21),"00"))</f>
        <v/>
      </c>
      <c r="B1358" s="41">
        <f>IF($J1358="","",COUNTIFS(Roster!$D$4:$D$500,"Active",Roster!$C$4:$C$500,"&lt;="&amp;$J1358))</f>
        <v/>
      </c>
      <c r="C1358">
        <f>IF($J1358="","",SUMIFS('Hours Log'!$C:$C,'Hours Log'!$A:$A,"&gt;="&amp;$J1358,'Hours Log'!$A:$A,"&lt;"&amp;$J1358+7)+SUMIFS('Hours Log'!$D:$D,'Hours Log'!$A:$A,"&gt;="&amp;$J1358,'Hours Log'!$A:$A,"&lt;"&amp;$J1358+7))</f>
        <v/>
      </c>
      <c r="D1358">
        <f>IF($J1358="","",SUMIFS('Hours Log'!$D:$D,'Hours Log'!$A:$A,"&gt;="&amp;$J1358,'Hours Log'!$A:$A,"&lt;"&amp;$J1358+7))</f>
        <v/>
      </c>
      <c r="E1358">
        <f>IF($J1358="","",IFERROR(C1358/(B1358*40),0))</f>
        <v/>
      </c>
      <c r="F1358">
        <f>IF($J1358="","",0)</f>
        <v/>
      </c>
      <c r="G1358">
        <f>IF($J1358="","",SUMIFS('Hours Log'!$E:$E,'Hours Log'!$A:$A,"&gt;="&amp;$J1358,'Hours Log'!$A:$A,"&lt;"&amp;$J1358+7))</f>
        <v/>
      </c>
      <c r="J1358">
        <f>IF(COUNT('Hours Log'!$A$4:$A$5000)=0,"",IF(MIN('Hours Log'!$A$4:$A$5000)+7*(ROW()-10)&gt;MAX('Hours Log'!$A$4:$A$5000),"",MIN('Hours Log'!$A$4:$A$5000)+7*(ROW()-10)))</f>
        <v/>
      </c>
    </row>
    <row r="1359">
      <c r="A1359">
        <f>IF($J1359="","",YEAR($J1359-WEEKDAY($J1359,2)+4)&amp;"-W"&amp;TEXT(WEEKNUM($J1359,21),"00"))</f>
        <v/>
      </c>
      <c r="B1359" s="41">
        <f>IF($J1359="","",COUNTIFS(Roster!$D$4:$D$500,"Active",Roster!$C$4:$C$500,"&lt;="&amp;$J1359))</f>
        <v/>
      </c>
      <c r="C1359">
        <f>IF($J1359="","",SUMIFS('Hours Log'!$C:$C,'Hours Log'!$A:$A,"&gt;="&amp;$J1359,'Hours Log'!$A:$A,"&lt;"&amp;$J1359+7)+SUMIFS('Hours Log'!$D:$D,'Hours Log'!$A:$A,"&gt;="&amp;$J1359,'Hours Log'!$A:$A,"&lt;"&amp;$J1359+7))</f>
        <v/>
      </c>
      <c r="D1359">
        <f>IF($J1359="","",SUMIFS('Hours Log'!$D:$D,'Hours Log'!$A:$A,"&gt;="&amp;$J1359,'Hours Log'!$A:$A,"&lt;"&amp;$J1359+7))</f>
        <v/>
      </c>
      <c r="E1359">
        <f>IF($J1359="","",IFERROR(C1359/(B1359*40),0))</f>
        <v/>
      </c>
      <c r="F1359">
        <f>IF($J1359="","",0)</f>
        <v/>
      </c>
      <c r="G1359">
        <f>IF($J1359="","",SUMIFS('Hours Log'!$E:$E,'Hours Log'!$A:$A,"&gt;="&amp;$J1359,'Hours Log'!$A:$A,"&lt;"&amp;$J1359+7))</f>
        <v/>
      </c>
      <c r="J1359">
        <f>IF(COUNT('Hours Log'!$A$4:$A$5000)=0,"",IF(MIN('Hours Log'!$A$4:$A$5000)+7*(ROW()-10)&gt;MAX('Hours Log'!$A$4:$A$5000),"",MIN('Hours Log'!$A$4:$A$5000)+7*(ROW()-10)))</f>
        <v/>
      </c>
    </row>
    <row r="1360">
      <c r="A1360">
        <f>IF($J1360="","",YEAR($J1360-WEEKDAY($J1360,2)+4)&amp;"-W"&amp;TEXT(WEEKNUM($J1360,21),"00"))</f>
        <v/>
      </c>
      <c r="B1360" s="41">
        <f>IF($J1360="","",COUNTIFS(Roster!$D$4:$D$500,"Active",Roster!$C$4:$C$500,"&lt;="&amp;$J1360))</f>
        <v/>
      </c>
      <c r="C1360">
        <f>IF($J1360="","",SUMIFS('Hours Log'!$C:$C,'Hours Log'!$A:$A,"&gt;="&amp;$J1360,'Hours Log'!$A:$A,"&lt;"&amp;$J1360+7)+SUMIFS('Hours Log'!$D:$D,'Hours Log'!$A:$A,"&gt;="&amp;$J1360,'Hours Log'!$A:$A,"&lt;"&amp;$J1360+7))</f>
        <v/>
      </c>
      <c r="D1360">
        <f>IF($J1360="","",SUMIFS('Hours Log'!$D:$D,'Hours Log'!$A:$A,"&gt;="&amp;$J1360,'Hours Log'!$A:$A,"&lt;"&amp;$J1360+7))</f>
        <v/>
      </c>
      <c r="E1360">
        <f>IF($J1360="","",IFERROR(C1360/(B1360*40),0))</f>
        <v/>
      </c>
      <c r="F1360">
        <f>IF($J1360="","",0)</f>
        <v/>
      </c>
      <c r="G1360">
        <f>IF($J1360="","",SUMIFS('Hours Log'!$E:$E,'Hours Log'!$A:$A,"&gt;="&amp;$J1360,'Hours Log'!$A:$A,"&lt;"&amp;$J1360+7))</f>
        <v/>
      </c>
      <c r="J1360">
        <f>IF(COUNT('Hours Log'!$A$4:$A$5000)=0,"",IF(MIN('Hours Log'!$A$4:$A$5000)+7*(ROW()-10)&gt;MAX('Hours Log'!$A$4:$A$5000),"",MIN('Hours Log'!$A$4:$A$5000)+7*(ROW()-10)))</f>
        <v/>
      </c>
    </row>
    <row r="1361">
      <c r="A1361">
        <f>IF($J1361="","",YEAR($J1361-WEEKDAY($J1361,2)+4)&amp;"-W"&amp;TEXT(WEEKNUM($J1361,21),"00"))</f>
        <v/>
      </c>
      <c r="B1361" s="41">
        <f>IF($J1361="","",COUNTIFS(Roster!$D$4:$D$500,"Active",Roster!$C$4:$C$500,"&lt;="&amp;$J1361))</f>
        <v/>
      </c>
      <c r="C1361">
        <f>IF($J1361="","",SUMIFS('Hours Log'!$C:$C,'Hours Log'!$A:$A,"&gt;="&amp;$J1361,'Hours Log'!$A:$A,"&lt;"&amp;$J1361+7)+SUMIFS('Hours Log'!$D:$D,'Hours Log'!$A:$A,"&gt;="&amp;$J1361,'Hours Log'!$A:$A,"&lt;"&amp;$J1361+7))</f>
        <v/>
      </c>
      <c r="D1361">
        <f>IF($J1361="","",SUMIFS('Hours Log'!$D:$D,'Hours Log'!$A:$A,"&gt;="&amp;$J1361,'Hours Log'!$A:$A,"&lt;"&amp;$J1361+7))</f>
        <v/>
      </c>
      <c r="E1361">
        <f>IF($J1361="","",IFERROR(C1361/(B1361*40),0))</f>
        <v/>
      </c>
      <c r="F1361">
        <f>IF($J1361="","",0)</f>
        <v/>
      </c>
      <c r="G1361">
        <f>IF($J1361="","",SUMIFS('Hours Log'!$E:$E,'Hours Log'!$A:$A,"&gt;="&amp;$J1361,'Hours Log'!$A:$A,"&lt;"&amp;$J1361+7))</f>
        <v/>
      </c>
      <c r="J1361">
        <f>IF(COUNT('Hours Log'!$A$4:$A$5000)=0,"",IF(MIN('Hours Log'!$A$4:$A$5000)+7*(ROW()-10)&gt;MAX('Hours Log'!$A$4:$A$5000),"",MIN('Hours Log'!$A$4:$A$5000)+7*(ROW()-10)))</f>
        <v/>
      </c>
    </row>
    <row r="1362">
      <c r="A1362">
        <f>IF($J1362="","",YEAR($J1362-WEEKDAY($J1362,2)+4)&amp;"-W"&amp;TEXT(WEEKNUM($J1362,21),"00"))</f>
        <v/>
      </c>
      <c r="B1362" s="41">
        <f>IF($J1362="","",COUNTIFS(Roster!$D$4:$D$500,"Active",Roster!$C$4:$C$500,"&lt;="&amp;$J1362))</f>
        <v/>
      </c>
      <c r="C1362">
        <f>IF($J1362="","",SUMIFS('Hours Log'!$C:$C,'Hours Log'!$A:$A,"&gt;="&amp;$J1362,'Hours Log'!$A:$A,"&lt;"&amp;$J1362+7)+SUMIFS('Hours Log'!$D:$D,'Hours Log'!$A:$A,"&gt;="&amp;$J1362,'Hours Log'!$A:$A,"&lt;"&amp;$J1362+7))</f>
        <v/>
      </c>
      <c r="D1362">
        <f>IF($J1362="","",SUMIFS('Hours Log'!$D:$D,'Hours Log'!$A:$A,"&gt;="&amp;$J1362,'Hours Log'!$A:$A,"&lt;"&amp;$J1362+7))</f>
        <v/>
      </c>
      <c r="E1362">
        <f>IF($J1362="","",IFERROR(C1362/(B1362*40),0))</f>
        <v/>
      </c>
      <c r="F1362">
        <f>IF($J1362="","",0)</f>
        <v/>
      </c>
      <c r="G1362">
        <f>IF($J1362="","",SUMIFS('Hours Log'!$E:$E,'Hours Log'!$A:$A,"&gt;="&amp;$J1362,'Hours Log'!$A:$A,"&lt;"&amp;$J1362+7))</f>
        <v/>
      </c>
      <c r="J1362">
        <f>IF(COUNT('Hours Log'!$A$4:$A$5000)=0,"",IF(MIN('Hours Log'!$A$4:$A$5000)+7*(ROW()-10)&gt;MAX('Hours Log'!$A$4:$A$5000),"",MIN('Hours Log'!$A$4:$A$5000)+7*(ROW()-10)))</f>
        <v/>
      </c>
    </row>
    <row r="1363">
      <c r="A1363">
        <f>IF($J1363="","",YEAR($J1363-WEEKDAY($J1363,2)+4)&amp;"-W"&amp;TEXT(WEEKNUM($J1363,21),"00"))</f>
        <v/>
      </c>
      <c r="B1363" s="41">
        <f>IF($J1363="","",COUNTIFS(Roster!$D$4:$D$500,"Active",Roster!$C$4:$C$500,"&lt;="&amp;$J1363))</f>
        <v/>
      </c>
      <c r="C1363">
        <f>IF($J1363="","",SUMIFS('Hours Log'!$C:$C,'Hours Log'!$A:$A,"&gt;="&amp;$J1363,'Hours Log'!$A:$A,"&lt;"&amp;$J1363+7)+SUMIFS('Hours Log'!$D:$D,'Hours Log'!$A:$A,"&gt;="&amp;$J1363,'Hours Log'!$A:$A,"&lt;"&amp;$J1363+7))</f>
        <v/>
      </c>
      <c r="D1363">
        <f>IF($J1363="","",SUMIFS('Hours Log'!$D:$D,'Hours Log'!$A:$A,"&gt;="&amp;$J1363,'Hours Log'!$A:$A,"&lt;"&amp;$J1363+7))</f>
        <v/>
      </c>
      <c r="E1363">
        <f>IF($J1363="","",IFERROR(C1363/(B1363*40),0))</f>
        <v/>
      </c>
      <c r="F1363">
        <f>IF($J1363="","",0)</f>
        <v/>
      </c>
      <c r="G1363">
        <f>IF($J1363="","",SUMIFS('Hours Log'!$E:$E,'Hours Log'!$A:$A,"&gt;="&amp;$J1363,'Hours Log'!$A:$A,"&lt;"&amp;$J1363+7))</f>
        <v/>
      </c>
      <c r="J1363">
        <f>IF(COUNT('Hours Log'!$A$4:$A$5000)=0,"",IF(MIN('Hours Log'!$A$4:$A$5000)+7*(ROW()-10)&gt;MAX('Hours Log'!$A$4:$A$5000),"",MIN('Hours Log'!$A$4:$A$5000)+7*(ROW()-10)))</f>
        <v/>
      </c>
    </row>
    <row r="1364">
      <c r="A1364">
        <f>IF($J1364="","",YEAR($J1364-WEEKDAY($J1364,2)+4)&amp;"-W"&amp;TEXT(WEEKNUM($J1364,21),"00"))</f>
        <v/>
      </c>
      <c r="B1364" s="41">
        <f>IF($J1364="","",COUNTIFS(Roster!$D$4:$D$500,"Active",Roster!$C$4:$C$500,"&lt;="&amp;$J1364))</f>
        <v/>
      </c>
      <c r="C1364">
        <f>IF($J1364="","",SUMIFS('Hours Log'!$C:$C,'Hours Log'!$A:$A,"&gt;="&amp;$J1364,'Hours Log'!$A:$A,"&lt;"&amp;$J1364+7)+SUMIFS('Hours Log'!$D:$D,'Hours Log'!$A:$A,"&gt;="&amp;$J1364,'Hours Log'!$A:$A,"&lt;"&amp;$J1364+7))</f>
        <v/>
      </c>
      <c r="D1364">
        <f>IF($J1364="","",SUMIFS('Hours Log'!$D:$D,'Hours Log'!$A:$A,"&gt;="&amp;$J1364,'Hours Log'!$A:$A,"&lt;"&amp;$J1364+7))</f>
        <v/>
      </c>
      <c r="E1364">
        <f>IF($J1364="","",IFERROR(C1364/(B1364*40),0))</f>
        <v/>
      </c>
      <c r="F1364">
        <f>IF($J1364="","",0)</f>
        <v/>
      </c>
      <c r="G1364">
        <f>IF($J1364="","",SUMIFS('Hours Log'!$E:$E,'Hours Log'!$A:$A,"&gt;="&amp;$J1364,'Hours Log'!$A:$A,"&lt;"&amp;$J1364+7))</f>
        <v/>
      </c>
      <c r="J1364">
        <f>IF(COUNT('Hours Log'!$A$4:$A$5000)=0,"",IF(MIN('Hours Log'!$A$4:$A$5000)+7*(ROW()-10)&gt;MAX('Hours Log'!$A$4:$A$5000),"",MIN('Hours Log'!$A$4:$A$5000)+7*(ROW()-10)))</f>
        <v/>
      </c>
    </row>
    <row r="1365">
      <c r="A1365">
        <f>IF($J1365="","",YEAR($J1365-WEEKDAY($J1365,2)+4)&amp;"-W"&amp;TEXT(WEEKNUM($J1365,21),"00"))</f>
        <v/>
      </c>
      <c r="B1365" s="41">
        <f>IF($J1365="","",COUNTIFS(Roster!$D$4:$D$500,"Active",Roster!$C$4:$C$500,"&lt;="&amp;$J1365))</f>
        <v/>
      </c>
      <c r="C1365">
        <f>IF($J1365="","",SUMIFS('Hours Log'!$C:$C,'Hours Log'!$A:$A,"&gt;="&amp;$J1365,'Hours Log'!$A:$A,"&lt;"&amp;$J1365+7)+SUMIFS('Hours Log'!$D:$D,'Hours Log'!$A:$A,"&gt;="&amp;$J1365,'Hours Log'!$A:$A,"&lt;"&amp;$J1365+7))</f>
        <v/>
      </c>
      <c r="D1365">
        <f>IF($J1365="","",SUMIFS('Hours Log'!$D:$D,'Hours Log'!$A:$A,"&gt;="&amp;$J1365,'Hours Log'!$A:$A,"&lt;"&amp;$J1365+7))</f>
        <v/>
      </c>
      <c r="E1365">
        <f>IF($J1365="","",IFERROR(C1365/(B1365*40),0))</f>
        <v/>
      </c>
      <c r="F1365">
        <f>IF($J1365="","",0)</f>
        <v/>
      </c>
      <c r="G1365">
        <f>IF($J1365="","",SUMIFS('Hours Log'!$E:$E,'Hours Log'!$A:$A,"&gt;="&amp;$J1365,'Hours Log'!$A:$A,"&lt;"&amp;$J1365+7))</f>
        <v/>
      </c>
      <c r="J1365">
        <f>IF(COUNT('Hours Log'!$A$4:$A$5000)=0,"",IF(MIN('Hours Log'!$A$4:$A$5000)+7*(ROW()-10)&gt;MAX('Hours Log'!$A$4:$A$5000),"",MIN('Hours Log'!$A$4:$A$5000)+7*(ROW()-10)))</f>
        <v/>
      </c>
    </row>
    <row r="1366">
      <c r="A1366">
        <f>IF($J1366="","",YEAR($J1366-WEEKDAY($J1366,2)+4)&amp;"-W"&amp;TEXT(WEEKNUM($J1366,21),"00"))</f>
        <v/>
      </c>
      <c r="B1366" s="41">
        <f>IF($J1366="","",COUNTIFS(Roster!$D$4:$D$500,"Active",Roster!$C$4:$C$500,"&lt;="&amp;$J1366))</f>
        <v/>
      </c>
      <c r="C1366">
        <f>IF($J1366="","",SUMIFS('Hours Log'!$C:$C,'Hours Log'!$A:$A,"&gt;="&amp;$J1366,'Hours Log'!$A:$A,"&lt;"&amp;$J1366+7)+SUMIFS('Hours Log'!$D:$D,'Hours Log'!$A:$A,"&gt;="&amp;$J1366,'Hours Log'!$A:$A,"&lt;"&amp;$J1366+7))</f>
        <v/>
      </c>
      <c r="D1366">
        <f>IF($J1366="","",SUMIFS('Hours Log'!$D:$D,'Hours Log'!$A:$A,"&gt;="&amp;$J1366,'Hours Log'!$A:$A,"&lt;"&amp;$J1366+7))</f>
        <v/>
      </c>
      <c r="E1366">
        <f>IF($J1366="","",IFERROR(C1366/(B1366*40),0))</f>
        <v/>
      </c>
      <c r="F1366">
        <f>IF($J1366="","",0)</f>
        <v/>
      </c>
      <c r="G1366">
        <f>IF($J1366="","",SUMIFS('Hours Log'!$E:$E,'Hours Log'!$A:$A,"&gt;="&amp;$J1366,'Hours Log'!$A:$A,"&lt;"&amp;$J1366+7))</f>
        <v/>
      </c>
      <c r="J1366">
        <f>IF(COUNT('Hours Log'!$A$4:$A$5000)=0,"",IF(MIN('Hours Log'!$A$4:$A$5000)+7*(ROW()-10)&gt;MAX('Hours Log'!$A$4:$A$5000),"",MIN('Hours Log'!$A$4:$A$5000)+7*(ROW()-10)))</f>
        <v/>
      </c>
    </row>
    <row r="1367">
      <c r="A1367">
        <f>IF($J1367="","",YEAR($J1367-WEEKDAY($J1367,2)+4)&amp;"-W"&amp;TEXT(WEEKNUM($J1367,21),"00"))</f>
        <v/>
      </c>
      <c r="B1367" s="41">
        <f>IF($J1367="","",COUNTIFS(Roster!$D$4:$D$500,"Active",Roster!$C$4:$C$500,"&lt;="&amp;$J1367))</f>
        <v/>
      </c>
      <c r="C1367">
        <f>IF($J1367="","",SUMIFS('Hours Log'!$C:$C,'Hours Log'!$A:$A,"&gt;="&amp;$J1367,'Hours Log'!$A:$A,"&lt;"&amp;$J1367+7)+SUMIFS('Hours Log'!$D:$D,'Hours Log'!$A:$A,"&gt;="&amp;$J1367,'Hours Log'!$A:$A,"&lt;"&amp;$J1367+7))</f>
        <v/>
      </c>
      <c r="D1367">
        <f>IF($J1367="","",SUMIFS('Hours Log'!$D:$D,'Hours Log'!$A:$A,"&gt;="&amp;$J1367,'Hours Log'!$A:$A,"&lt;"&amp;$J1367+7))</f>
        <v/>
      </c>
      <c r="E1367">
        <f>IF($J1367="","",IFERROR(C1367/(B1367*40),0))</f>
        <v/>
      </c>
      <c r="F1367">
        <f>IF($J1367="","",0)</f>
        <v/>
      </c>
      <c r="G1367">
        <f>IF($J1367="","",SUMIFS('Hours Log'!$E:$E,'Hours Log'!$A:$A,"&gt;="&amp;$J1367,'Hours Log'!$A:$A,"&lt;"&amp;$J1367+7))</f>
        <v/>
      </c>
      <c r="J1367">
        <f>IF(COUNT('Hours Log'!$A$4:$A$5000)=0,"",IF(MIN('Hours Log'!$A$4:$A$5000)+7*(ROW()-10)&gt;MAX('Hours Log'!$A$4:$A$5000),"",MIN('Hours Log'!$A$4:$A$5000)+7*(ROW()-10)))</f>
        <v/>
      </c>
    </row>
    <row r="1368">
      <c r="A1368">
        <f>IF($J1368="","",YEAR($J1368-WEEKDAY($J1368,2)+4)&amp;"-W"&amp;TEXT(WEEKNUM($J1368,21),"00"))</f>
        <v/>
      </c>
      <c r="B1368" s="41">
        <f>IF($J1368="","",COUNTIFS(Roster!$D$4:$D$500,"Active",Roster!$C$4:$C$500,"&lt;="&amp;$J1368))</f>
        <v/>
      </c>
      <c r="C1368">
        <f>IF($J1368="","",SUMIFS('Hours Log'!$C:$C,'Hours Log'!$A:$A,"&gt;="&amp;$J1368,'Hours Log'!$A:$A,"&lt;"&amp;$J1368+7)+SUMIFS('Hours Log'!$D:$D,'Hours Log'!$A:$A,"&gt;="&amp;$J1368,'Hours Log'!$A:$A,"&lt;"&amp;$J1368+7))</f>
        <v/>
      </c>
      <c r="D1368">
        <f>IF($J1368="","",SUMIFS('Hours Log'!$D:$D,'Hours Log'!$A:$A,"&gt;="&amp;$J1368,'Hours Log'!$A:$A,"&lt;"&amp;$J1368+7))</f>
        <v/>
      </c>
      <c r="E1368">
        <f>IF($J1368="","",IFERROR(C1368/(B1368*40),0))</f>
        <v/>
      </c>
      <c r="F1368">
        <f>IF($J1368="","",0)</f>
        <v/>
      </c>
      <c r="G1368">
        <f>IF($J1368="","",SUMIFS('Hours Log'!$E:$E,'Hours Log'!$A:$A,"&gt;="&amp;$J1368,'Hours Log'!$A:$A,"&lt;"&amp;$J1368+7))</f>
        <v/>
      </c>
      <c r="J1368">
        <f>IF(COUNT('Hours Log'!$A$4:$A$5000)=0,"",IF(MIN('Hours Log'!$A$4:$A$5000)+7*(ROW()-10)&gt;MAX('Hours Log'!$A$4:$A$5000),"",MIN('Hours Log'!$A$4:$A$5000)+7*(ROW()-10)))</f>
        <v/>
      </c>
    </row>
    <row r="1369">
      <c r="A1369">
        <f>IF($J1369="","",YEAR($J1369-WEEKDAY($J1369,2)+4)&amp;"-W"&amp;TEXT(WEEKNUM($J1369,21),"00"))</f>
        <v/>
      </c>
      <c r="B1369" s="41">
        <f>IF($J1369="","",COUNTIFS(Roster!$D$4:$D$500,"Active",Roster!$C$4:$C$500,"&lt;="&amp;$J1369))</f>
        <v/>
      </c>
      <c r="C1369">
        <f>IF($J1369="","",SUMIFS('Hours Log'!$C:$C,'Hours Log'!$A:$A,"&gt;="&amp;$J1369,'Hours Log'!$A:$A,"&lt;"&amp;$J1369+7)+SUMIFS('Hours Log'!$D:$D,'Hours Log'!$A:$A,"&gt;="&amp;$J1369,'Hours Log'!$A:$A,"&lt;"&amp;$J1369+7))</f>
        <v/>
      </c>
      <c r="D1369">
        <f>IF($J1369="","",SUMIFS('Hours Log'!$D:$D,'Hours Log'!$A:$A,"&gt;="&amp;$J1369,'Hours Log'!$A:$A,"&lt;"&amp;$J1369+7))</f>
        <v/>
      </c>
      <c r="E1369">
        <f>IF($J1369="","",IFERROR(C1369/(B1369*40),0))</f>
        <v/>
      </c>
      <c r="F1369">
        <f>IF($J1369="","",0)</f>
        <v/>
      </c>
      <c r="G1369">
        <f>IF($J1369="","",SUMIFS('Hours Log'!$E:$E,'Hours Log'!$A:$A,"&gt;="&amp;$J1369,'Hours Log'!$A:$A,"&lt;"&amp;$J1369+7))</f>
        <v/>
      </c>
      <c r="J1369">
        <f>IF(COUNT('Hours Log'!$A$4:$A$5000)=0,"",IF(MIN('Hours Log'!$A$4:$A$5000)+7*(ROW()-10)&gt;MAX('Hours Log'!$A$4:$A$5000),"",MIN('Hours Log'!$A$4:$A$5000)+7*(ROW()-10)))</f>
        <v/>
      </c>
    </row>
    <row r="1370">
      <c r="A1370">
        <f>IF($J1370="","",YEAR($J1370-WEEKDAY($J1370,2)+4)&amp;"-W"&amp;TEXT(WEEKNUM($J1370,21),"00"))</f>
        <v/>
      </c>
      <c r="B1370" s="41">
        <f>IF($J1370="","",COUNTIFS(Roster!$D$4:$D$500,"Active",Roster!$C$4:$C$500,"&lt;="&amp;$J1370))</f>
        <v/>
      </c>
      <c r="C1370">
        <f>IF($J1370="","",SUMIFS('Hours Log'!$C:$C,'Hours Log'!$A:$A,"&gt;="&amp;$J1370,'Hours Log'!$A:$A,"&lt;"&amp;$J1370+7)+SUMIFS('Hours Log'!$D:$D,'Hours Log'!$A:$A,"&gt;="&amp;$J1370,'Hours Log'!$A:$A,"&lt;"&amp;$J1370+7))</f>
        <v/>
      </c>
      <c r="D1370">
        <f>IF($J1370="","",SUMIFS('Hours Log'!$D:$D,'Hours Log'!$A:$A,"&gt;="&amp;$J1370,'Hours Log'!$A:$A,"&lt;"&amp;$J1370+7))</f>
        <v/>
      </c>
      <c r="E1370">
        <f>IF($J1370="","",IFERROR(C1370/(B1370*40),0))</f>
        <v/>
      </c>
      <c r="F1370">
        <f>IF($J1370="","",0)</f>
        <v/>
      </c>
      <c r="G1370">
        <f>IF($J1370="","",SUMIFS('Hours Log'!$E:$E,'Hours Log'!$A:$A,"&gt;="&amp;$J1370,'Hours Log'!$A:$A,"&lt;"&amp;$J1370+7))</f>
        <v/>
      </c>
      <c r="J1370">
        <f>IF(COUNT('Hours Log'!$A$4:$A$5000)=0,"",IF(MIN('Hours Log'!$A$4:$A$5000)+7*(ROW()-10)&gt;MAX('Hours Log'!$A$4:$A$5000),"",MIN('Hours Log'!$A$4:$A$5000)+7*(ROW()-10)))</f>
        <v/>
      </c>
    </row>
    <row r="1371">
      <c r="A1371">
        <f>IF($J1371="","",YEAR($J1371-WEEKDAY($J1371,2)+4)&amp;"-W"&amp;TEXT(WEEKNUM($J1371,21),"00"))</f>
        <v/>
      </c>
      <c r="B1371" s="41">
        <f>IF($J1371="","",COUNTIFS(Roster!$D$4:$D$500,"Active",Roster!$C$4:$C$500,"&lt;="&amp;$J1371))</f>
        <v/>
      </c>
      <c r="C1371">
        <f>IF($J1371="","",SUMIFS('Hours Log'!$C:$C,'Hours Log'!$A:$A,"&gt;="&amp;$J1371,'Hours Log'!$A:$A,"&lt;"&amp;$J1371+7)+SUMIFS('Hours Log'!$D:$D,'Hours Log'!$A:$A,"&gt;="&amp;$J1371,'Hours Log'!$A:$A,"&lt;"&amp;$J1371+7))</f>
        <v/>
      </c>
      <c r="D1371">
        <f>IF($J1371="","",SUMIFS('Hours Log'!$D:$D,'Hours Log'!$A:$A,"&gt;="&amp;$J1371,'Hours Log'!$A:$A,"&lt;"&amp;$J1371+7))</f>
        <v/>
      </c>
      <c r="E1371">
        <f>IF($J1371="","",IFERROR(C1371/(B1371*40),0))</f>
        <v/>
      </c>
      <c r="F1371">
        <f>IF($J1371="","",0)</f>
        <v/>
      </c>
      <c r="G1371">
        <f>IF($J1371="","",SUMIFS('Hours Log'!$E:$E,'Hours Log'!$A:$A,"&gt;="&amp;$J1371,'Hours Log'!$A:$A,"&lt;"&amp;$J1371+7))</f>
        <v/>
      </c>
      <c r="J1371">
        <f>IF(COUNT('Hours Log'!$A$4:$A$5000)=0,"",IF(MIN('Hours Log'!$A$4:$A$5000)+7*(ROW()-10)&gt;MAX('Hours Log'!$A$4:$A$5000),"",MIN('Hours Log'!$A$4:$A$5000)+7*(ROW()-10)))</f>
        <v/>
      </c>
    </row>
    <row r="1372">
      <c r="A1372">
        <f>IF($J1372="","",YEAR($J1372-WEEKDAY($J1372,2)+4)&amp;"-W"&amp;TEXT(WEEKNUM($J1372,21),"00"))</f>
        <v/>
      </c>
      <c r="B1372" s="41">
        <f>IF($J1372="","",COUNTIFS(Roster!$D$4:$D$500,"Active",Roster!$C$4:$C$500,"&lt;="&amp;$J1372))</f>
        <v/>
      </c>
      <c r="C1372">
        <f>IF($J1372="","",SUMIFS('Hours Log'!$C:$C,'Hours Log'!$A:$A,"&gt;="&amp;$J1372,'Hours Log'!$A:$A,"&lt;"&amp;$J1372+7)+SUMIFS('Hours Log'!$D:$D,'Hours Log'!$A:$A,"&gt;="&amp;$J1372,'Hours Log'!$A:$A,"&lt;"&amp;$J1372+7))</f>
        <v/>
      </c>
      <c r="D1372">
        <f>IF($J1372="","",SUMIFS('Hours Log'!$D:$D,'Hours Log'!$A:$A,"&gt;="&amp;$J1372,'Hours Log'!$A:$A,"&lt;"&amp;$J1372+7))</f>
        <v/>
      </c>
      <c r="E1372">
        <f>IF($J1372="","",IFERROR(C1372/(B1372*40),0))</f>
        <v/>
      </c>
      <c r="F1372">
        <f>IF($J1372="","",0)</f>
        <v/>
      </c>
      <c r="G1372">
        <f>IF($J1372="","",SUMIFS('Hours Log'!$E:$E,'Hours Log'!$A:$A,"&gt;="&amp;$J1372,'Hours Log'!$A:$A,"&lt;"&amp;$J1372+7))</f>
        <v/>
      </c>
      <c r="J1372">
        <f>IF(COUNT('Hours Log'!$A$4:$A$5000)=0,"",IF(MIN('Hours Log'!$A$4:$A$5000)+7*(ROW()-10)&gt;MAX('Hours Log'!$A$4:$A$5000),"",MIN('Hours Log'!$A$4:$A$5000)+7*(ROW()-10)))</f>
        <v/>
      </c>
    </row>
    <row r="1373">
      <c r="A1373">
        <f>IF($J1373="","",YEAR($J1373-WEEKDAY($J1373,2)+4)&amp;"-W"&amp;TEXT(WEEKNUM($J1373,21),"00"))</f>
        <v/>
      </c>
      <c r="B1373" s="41">
        <f>IF($J1373="","",COUNTIFS(Roster!$D$4:$D$500,"Active",Roster!$C$4:$C$500,"&lt;="&amp;$J1373))</f>
        <v/>
      </c>
      <c r="C1373">
        <f>IF($J1373="","",SUMIFS('Hours Log'!$C:$C,'Hours Log'!$A:$A,"&gt;="&amp;$J1373,'Hours Log'!$A:$A,"&lt;"&amp;$J1373+7)+SUMIFS('Hours Log'!$D:$D,'Hours Log'!$A:$A,"&gt;="&amp;$J1373,'Hours Log'!$A:$A,"&lt;"&amp;$J1373+7))</f>
        <v/>
      </c>
      <c r="D1373">
        <f>IF($J1373="","",SUMIFS('Hours Log'!$D:$D,'Hours Log'!$A:$A,"&gt;="&amp;$J1373,'Hours Log'!$A:$A,"&lt;"&amp;$J1373+7))</f>
        <v/>
      </c>
      <c r="E1373">
        <f>IF($J1373="","",IFERROR(C1373/(B1373*40),0))</f>
        <v/>
      </c>
      <c r="F1373">
        <f>IF($J1373="","",0)</f>
        <v/>
      </c>
      <c r="G1373">
        <f>IF($J1373="","",SUMIFS('Hours Log'!$E:$E,'Hours Log'!$A:$A,"&gt;="&amp;$J1373,'Hours Log'!$A:$A,"&lt;"&amp;$J1373+7))</f>
        <v/>
      </c>
      <c r="J1373">
        <f>IF(COUNT('Hours Log'!$A$4:$A$5000)=0,"",IF(MIN('Hours Log'!$A$4:$A$5000)+7*(ROW()-10)&gt;MAX('Hours Log'!$A$4:$A$5000),"",MIN('Hours Log'!$A$4:$A$5000)+7*(ROW()-10)))</f>
        <v/>
      </c>
    </row>
    <row r="1374">
      <c r="A1374">
        <f>IF($J1374="","",YEAR($J1374-WEEKDAY($J1374,2)+4)&amp;"-W"&amp;TEXT(WEEKNUM($J1374,21),"00"))</f>
        <v/>
      </c>
      <c r="B1374" s="41">
        <f>IF($J1374="","",COUNTIFS(Roster!$D$4:$D$500,"Active",Roster!$C$4:$C$500,"&lt;="&amp;$J1374))</f>
        <v/>
      </c>
      <c r="C1374">
        <f>IF($J1374="","",SUMIFS('Hours Log'!$C:$C,'Hours Log'!$A:$A,"&gt;="&amp;$J1374,'Hours Log'!$A:$A,"&lt;"&amp;$J1374+7)+SUMIFS('Hours Log'!$D:$D,'Hours Log'!$A:$A,"&gt;="&amp;$J1374,'Hours Log'!$A:$A,"&lt;"&amp;$J1374+7))</f>
        <v/>
      </c>
      <c r="D1374">
        <f>IF($J1374="","",SUMIFS('Hours Log'!$D:$D,'Hours Log'!$A:$A,"&gt;="&amp;$J1374,'Hours Log'!$A:$A,"&lt;"&amp;$J1374+7))</f>
        <v/>
      </c>
      <c r="E1374">
        <f>IF($J1374="","",IFERROR(C1374/(B1374*40),0))</f>
        <v/>
      </c>
      <c r="F1374">
        <f>IF($J1374="","",0)</f>
        <v/>
      </c>
      <c r="G1374">
        <f>IF($J1374="","",SUMIFS('Hours Log'!$E:$E,'Hours Log'!$A:$A,"&gt;="&amp;$J1374,'Hours Log'!$A:$A,"&lt;"&amp;$J1374+7))</f>
        <v/>
      </c>
      <c r="J1374">
        <f>IF(COUNT('Hours Log'!$A$4:$A$5000)=0,"",IF(MIN('Hours Log'!$A$4:$A$5000)+7*(ROW()-10)&gt;MAX('Hours Log'!$A$4:$A$5000),"",MIN('Hours Log'!$A$4:$A$5000)+7*(ROW()-10)))</f>
        <v/>
      </c>
    </row>
    <row r="1375">
      <c r="A1375">
        <f>IF($J1375="","",YEAR($J1375-WEEKDAY($J1375,2)+4)&amp;"-W"&amp;TEXT(WEEKNUM($J1375,21),"00"))</f>
        <v/>
      </c>
      <c r="B1375" s="41">
        <f>IF($J1375="","",COUNTIFS(Roster!$D$4:$D$500,"Active",Roster!$C$4:$C$500,"&lt;="&amp;$J1375))</f>
        <v/>
      </c>
      <c r="C1375">
        <f>IF($J1375="","",SUMIFS('Hours Log'!$C:$C,'Hours Log'!$A:$A,"&gt;="&amp;$J1375,'Hours Log'!$A:$A,"&lt;"&amp;$J1375+7)+SUMIFS('Hours Log'!$D:$D,'Hours Log'!$A:$A,"&gt;="&amp;$J1375,'Hours Log'!$A:$A,"&lt;"&amp;$J1375+7))</f>
        <v/>
      </c>
      <c r="D1375">
        <f>IF($J1375="","",SUMIFS('Hours Log'!$D:$D,'Hours Log'!$A:$A,"&gt;="&amp;$J1375,'Hours Log'!$A:$A,"&lt;"&amp;$J1375+7))</f>
        <v/>
      </c>
      <c r="E1375">
        <f>IF($J1375="","",IFERROR(C1375/(B1375*40),0))</f>
        <v/>
      </c>
      <c r="F1375">
        <f>IF($J1375="","",0)</f>
        <v/>
      </c>
      <c r="G1375">
        <f>IF($J1375="","",SUMIFS('Hours Log'!$E:$E,'Hours Log'!$A:$A,"&gt;="&amp;$J1375,'Hours Log'!$A:$A,"&lt;"&amp;$J1375+7))</f>
        <v/>
      </c>
      <c r="J1375">
        <f>IF(COUNT('Hours Log'!$A$4:$A$5000)=0,"",IF(MIN('Hours Log'!$A$4:$A$5000)+7*(ROW()-10)&gt;MAX('Hours Log'!$A$4:$A$5000),"",MIN('Hours Log'!$A$4:$A$5000)+7*(ROW()-10)))</f>
        <v/>
      </c>
    </row>
    <row r="1376">
      <c r="A1376">
        <f>IF($J1376="","",YEAR($J1376-WEEKDAY($J1376,2)+4)&amp;"-W"&amp;TEXT(WEEKNUM($J1376,21),"00"))</f>
        <v/>
      </c>
      <c r="B1376" s="41">
        <f>IF($J1376="","",COUNTIFS(Roster!$D$4:$D$500,"Active",Roster!$C$4:$C$500,"&lt;="&amp;$J1376))</f>
        <v/>
      </c>
      <c r="C1376">
        <f>IF($J1376="","",SUMIFS('Hours Log'!$C:$C,'Hours Log'!$A:$A,"&gt;="&amp;$J1376,'Hours Log'!$A:$A,"&lt;"&amp;$J1376+7)+SUMIFS('Hours Log'!$D:$D,'Hours Log'!$A:$A,"&gt;="&amp;$J1376,'Hours Log'!$A:$A,"&lt;"&amp;$J1376+7))</f>
        <v/>
      </c>
      <c r="D1376">
        <f>IF($J1376="","",SUMIFS('Hours Log'!$D:$D,'Hours Log'!$A:$A,"&gt;="&amp;$J1376,'Hours Log'!$A:$A,"&lt;"&amp;$J1376+7))</f>
        <v/>
      </c>
      <c r="E1376">
        <f>IF($J1376="","",IFERROR(C1376/(B1376*40),0))</f>
        <v/>
      </c>
      <c r="F1376">
        <f>IF($J1376="","",0)</f>
        <v/>
      </c>
      <c r="G1376">
        <f>IF($J1376="","",SUMIFS('Hours Log'!$E:$E,'Hours Log'!$A:$A,"&gt;="&amp;$J1376,'Hours Log'!$A:$A,"&lt;"&amp;$J1376+7))</f>
        <v/>
      </c>
      <c r="J1376">
        <f>IF(COUNT('Hours Log'!$A$4:$A$5000)=0,"",IF(MIN('Hours Log'!$A$4:$A$5000)+7*(ROW()-10)&gt;MAX('Hours Log'!$A$4:$A$5000),"",MIN('Hours Log'!$A$4:$A$5000)+7*(ROW()-10)))</f>
        <v/>
      </c>
    </row>
    <row r="1377">
      <c r="A1377">
        <f>IF($J1377="","",YEAR($J1377-WEEKDAY($J1377,2)+4)&amp;"-W"&amp;TEXT(WEEKNUM($J1377,21),"00"))</f>
        <v/>
      </c>
      <c r="B1377" s="41">
        <f>IF($J1377="","",COUNTIFS(Roster!$D$4:$D$500,"Active",Roster!$C$4:$C$500,"&lt;="&amp;$J1377))</f>
        <v/>
      </c>
      <c r="C1377">
        <f>IF($J1377="","",SUMIFS('Hours Log'!$C:$C,'Hours Log'!$A:$A,"&gt;="&amp;$J1377,'Hours Log'!$A:$A,"&lt;"&amp;$J1377+7)+SUMIFS('Hours Log'!$D:$D,'Hours Log'!$A:$A,"&gt;="&amp;$J1377,'Hours Log'!$A:$A,"&lt;"&amp;$J1377+7))</f>
        <v/>
      </c>
      <c r="D1377">
        <f>IF($J1377="","",SUMIFS('Hours Log'!$D:$D,'Hours Log'!$A:$A,"&gt;="&amp;$J1377,'Hours Log'!$A:$A,"&lt;"&amp;$J1377+7))</f>
        <v/>
      </c>
      <c r="E1377">
        <f>IF($J1377="","",IFERROR(C1377/(B1377*40),0))</f>
        <v/>
      </c>
      <c r="F1377">
        <f>IF($J1377="","",0)</f>
        <v/>
      </c>
      <c r="G1377">
        <f>IF($J1377="","",SUMIFS('Hours Log'!$E:$E,'Hours Log'!$A:$A,"&gt;="&amp;$J1377,'Hours Log'!$A:$A,"&lt;"&amp;$J1377+7))</f>
        <v/>
      </c>
      <c r="J1377">
        <f>IF(COUNT('Hours Log'!$A$4:$A$5000)=0,"",IF(MIN('Hours Log'!$A$4:$A$5000)+7*(ROW()-10)&gt;MAX('Hours Log'!$A$4:$A$5000),"",MIN('Hours Log'!$A$4:$A$5000)+7*(ROW()-10)))</f>
        <v/>
      </c>
    </row>
    <row r="1378">
      <c r="A1378">
        <f>IF($J1378="","",YEAR($J1378-WEEKDAY($J1378,2)+4)&amp;"-W"&amp;TEXT(WEEKNUM($J1378,21),"00"))</f>
        <v/>
      </c>
      <c r="B1378" s="41">
        <f>IF($J1378="","",COUNTIFS(Roster!$D$4:$D$500,"Active",Roster!$C$4:$C$500,"&lt;="&amp;$J1378))</f>
        <v/>
      </c>
      <c r="C1378">
        <f>IF($J1378="","",SUMIFS('Hours Log'!$C:$C,'Hours Log'!$A:$A,"&gt;="&amp;$J1378,'Hours Log'!$A:$A,"&lt;"&amp;$J1378+7)+SUMIFS('Hours Log'!$D:$D,'Hours Log'!$A:$A,"&gt;="&amp;$J1378,'Hours Log'!$A:$A,"&lt;"&amp;$J1378+7))</f>
        <v/>
      </c>
      <c r="D1378">
        <f>IF($J1378="","",SUMIFS('Hours Log'!$D:$D,'Hours Log'!$A:$A,"&gt;="&amp;$J1378,'Hours Log'!$A:$A,"&lt;"&amp;$J1378+7))</f>
        <v/>
      </c>
      <c r="E1378">
        <f>IF($J1378="","",IFERROR(C1378/(B1378*40),0))</f>
        <v/>
      </c>
      <c r="F1378">
        <f>IF($J1378="","",0)</f>
        <v/>
      </c>
      <c r="G1378">
        <f>IF($J1378="","",SUMIFS('Hours Log'!$E:$E,'Hours Log'!$A:$A,"&gt;="&amp;$J1378,'Hours Log'!$A:$A,"&lt;"&amp;$J1378+7))</f>
        <v/>
      </c>
      <c r="J1378">
        <f>IF(COUNT('Hours Log'!$A$4:$A$5000)=0,"",IF(MIN('Hours Log'!$A$4:$A$5000)+7*(ROW()-10)&gt;MAX('Hours Log'!$A$4:$A$5000),"",MIN('Hours Log'!$A$4:$A$5000)+7*(ROW()-10)))</f>
        <v/>
      </c>
    </row>
    <row r="1379">
      <c r="A1379">
        <f>IF($J1379="","",YEAR($J1379-WEEKDAY($J1379,2)+4)&amp;"-W"&amp;TEXT(WEEKNUM($J1379,21),"00"))</f>
        <v/>
      </c>
      <c r="B1379" s="41">
        <f>IF($J1379="","",COUNTIFS(Roster!$D$4:$D$500,"Active",Roster!$C$4:$C$500,"&lt;="&amp;$J1379))</f>
        <v/>
      </c>
      <c r="C1379">
        <f>IF($J1379="","",SUMIFS('Hours Log'!$C:$C,'Hours Log'!$A:$A,"&gt;="&amp;$J1379,'Hours Log'!$A:$A,"&lt;"&amp;$J1379+7)+SUMIFS('Hours Log'!$D:$D,'Hours Log'!$A:$A,"&gt;="&amp;$J1379,'Hours Log'!$A:$A,"&lt;"&amp;$J1379+7))</f>
        <v/>
      </c>
      <c r="D1379">
        <f>IF($J1379="","",SUMIFS('Hours Log'!$D:$D,'Hours Log'!$A:$A,"&gt;="&amp;$J1379,'Hours Log'!$A:$A,"&lt;"&amp;$J1379+7))</f>
        <v/>
      </c>
      <c r="E1379">
        <f>IF($J1379="","",IFERROR(C1379/(B1379*40),0))</f>
        <v/>
      </c>
      <c r="F1379">
        <f>IF($J1379="","",0)</f>
        <v/>
      </c>
      <c r="G1379">
        <f>IF($J1379="","",SUMIFS('Hours Log'!$E:$E,'Hours Log'!$A:$A,"&gt;="&amp;$J1379,'Hours Log'!$A:$A,"&lt;"&amp;$J1379+7))</f>
        <v/>
      </c>
      <c r="J1379">
        <f>IF(COUNT('Hours Log'!$A$4:$A$5000)=0,"",IF(MIN('Hours Log'!$A$4:$A$5000)+7*(ROW()-10)&gt;MAX('Hours Log'!$A$4:$A$5000),"",MIN('Hours Log'!$A$4:$A$5000)+7*(ROW()-10)))</f>
        <v/>
      </c>
    </row>
    <row r="1380">
      <c r="A1380">
        <f>IF($J1380="","",YEAR($J1380-WEEKDAY($J1380,2)+4)&amp;"-W"&amp;TEXT(WEEKNUM($J1380,21),"00"))</f>
        <v/>
      </c>
      <c r="B1380" s="41">
        <f>IF($J1380="","",COUNTIFS(Roster!$D$4:$D$500,"Active",Roster!$C$4:$C$500,"&lt;="&amp;$J1380))</f>
        <v/>
      </c>
      <c r="C1380">
        <f>IF($J1380="","",SUMIFS('Hours Log'!$C:$C,'Hours Log'!$A:$A,"&gt;="&amp;$J1380,'Hours Log'!$A:$A,"&lt;"&amp;$J1380+7)+SUMIFS('Hours Log'!$D:$D,'Hours Log'!$A:$A,"&gt;="&amp;$J1380,'Hours Log'!$A:$A,"&lt;"&amp;$J1380+7))</f>
        <v/>
      </c>
      <c r="D1380">
        <f>IF($J1380="","",SUMIFS('Hours Log'!$D:$D,'Hours Log'!$A:$A,"&gt;="&amp;$J1380,'Hours Log'!$A:$A,"&lt;"&amp;$J1380+7))</f>
        <v/>
      </c>
      <c r="E1380">
        <f>IF($J1380="","",IFERROR(C1380/(B1380*40),0))</f>
        <v/>
      </c>
      <c r="F1380">
        <f>IF($J1380="","",0)</f>
        <v/>
      </c>
      <c r="G1380">
        <f>IF($J1380="","",SUMIFS('Hours Log'!$E:$E,'Hours Log'!$A:$A,"&gt;="&amp;$J1380,'Hours Log'!$A:$A,"&lt;"&amp;$J1380+7))</f>
        <v/>
      </c>
      <c r="J1380">
        <f>IF(COUNT('Hours Log'!$A$4:$A$5000)=0,"",IF(MIN('Hours Log'!$A$4:$A$5000)+7*(ROW()-10)&gt;MAX('Hours Log'!$A$4:$A$5000),"",MIN('Hours Log'!$A$4:$A$5000)+7*(ROW()-10)))</f>
        <v/>
      </c>
    </row>
    <row r="1381">
      <c r="A1381">
        <f>IF($J1381="","",YEAR($J1381-WEEKDAY($J1381,2)+4)&amp;"-W"&amp;TEXT(WEEKNUM($J1381,21),"00"))</f>
        <v/>
      </c>
      <c r="B1381" s="41">
        <f>IF($J1381="","",COUNTIFS(Roster!$D$4:$D$500,"Active",Roster!$C$4:$C$500,"&lt;="&amp;$J1381))</f>
        <v/>
      </c>
      <c r="C1381">
        <f>IF($J1381="","",SUMIFS('Hours Log'!$C:$C,'Hours Log'!$A:$A,"&gt;="&amp;$J1381,'Hours Log'!$A:$A,"&lt;"&amp;$J1381+7)+SUMIFS('Hours Log'!$D:$D,'Hours Log'!$A:$A,"&gt;="&amp;$J1381,'Hours Log'!$A:$A,"&lt;"&amp;$J1381+7))</f>
        <v/>
      </c>
      <c r="D1381">
        <f>IF($J1381="","",SUMIFS('Hours Log'!$D:$D,'Hours Log'!$A:$A,"&gt;="&amp;$J1381,'Hours Log'!$A:$A,"&lt;"&amp;$J1381+7))</f>
        <v/>
      </c>
      <c r="E1381">
        <f>IF($J1381="","",IFERROR(C1381/(B1381*40),0))</f>
        <v/>
      </c>
      <c r="F1381">
        <f>IF($J1381="","",0)</f>
        <v/>
      </c>
      <c r="G1381">
        <f>IF($J1381="","",SUMIFS('Hours Log'!$E:$E,'Hours Log'!$A:$A,"&gt;="&amp;$J1381,'Hours Log'!$A:$A,"&lt;"&amp;$J1381+7))</f>
        <v/>
      </c>
      <c r="J1381">
        <f>IF(COUNT('Hours Log'!$A$4:$A$5000)=0,"",IF(MIN('Hours Log'!$A$4:$A$5000)+7*(ROW()-10)&gt;MAX('Hours Log'!$A$4:$A$5000),"",MIN('Hours Log'!$A$4:$A$5000)+7*(ROW()-10)))</f>
        <v/>
      </c>
    </row>
    <row r="1382">
      <c r="A1382">
        <f>IF($J1382="","",YEAR($J1382-WEEKDAY($J1382,2)+4)&amp;"-W"&amp;TEXT(WEEKNUM($J1382,21),"00"))</f>
        <v/>
      </c>
      <c r="B1382" s="41">
        <f>IF($J1382="","",COUNTIFS(Roster!$D$4:$D$500,"Active",Roster!$C$4:$C$500,"&lt;="&amp;$J1382))</f>
        <v/>
      </c>
      <c r="C1382">
        <f>IF($J1382="","",SUMIFS('Hours Log'!$C:$C,'Hours Log'!$A:$A,"&gt;="&amp;$J1382,'Hours Log'!$A:$A,"&lt;"&amp;$J1382+7)+SUMIFS('Hours Log'!$D:$D,'Hours Log'!$A:$A,"&gt;="&amp;$J1382,'Hours Log'!$A:$A,"&lt;"&amp;$J1382+7))</f>
        <v/>
      </c>
      <c r="D1382">
        <f>IF($J1382="","",SUMIFS('Hours Log'!$D:$D,'Hours Log'!$A:$A,"&gt;="&amp;$J1382,'Hours Log'!$A:$A,"&lt;"&amp;$J1382+7))</f>
        <v/>
      </c>
      <c r="E1382">
        <f>IF($J1382="","",IFERROR(C1382/(B1382*40),0))</f>
        <v/>
      </c>
      <c r="F1382">
        <f>IF($J1382="","",0)</f>
        <v/>
      </c>
      <c r="G1382">
        <f>IF($J1382="","",SUMIFS('Hours Log'!$E:$E,'Hours Log'!$A:$A,"&gt;="&amp;$J1382,'Hours Log'!$A:$A,"&lt;"&amp;$J1382+7))</f>
        <v/>
      </c>
      <c r="J1382">
        <f>IF(COUNT('Hours Log'!$A$4:$A$5000)=0,"",IF(MIN('Hours Log'!$A$4:$A$5000)+7*(ROW()-10)&gt;MAX('Hours Log'!$A$4:$A$5000),"",MIN('Hours Log'!$A$4:$A$5000)+7*(ROW()-10)))</f>
        <v/>
      </c>
    </row>
    <row r="1383">
      <c r="A1383">
        <f>IF($J1383="","",YEAR($J1383-WEEKDAY($J1383,2)+4)&amp;"-W"&amp;TEXT(WEEKNUM($J1383,21),"00"))</f>
        <v/>
      </c>
      <c r="B1383" s="41">
        <f>IF($J1383="","",COUNTIFS(Roster!$D$4:$D$500,"Active",Roster!$C$4:$C$500,"&lt;="&amp;$J1383))</f>
        <v/>
      </c>
      <c r="C1383">
        <f>IF($J1383="","",SUMIFS('Hours Log'!$C:$C,'Hours Log'!$A:$A,"&gt;="&amp;$J1383,'Hours Log'!$A:$A,"&lt;"&amp;$J1383+7)+SUMIFS('Hours Log'!$D:$D,'Hours Log'!$A:$A,"&gt;="&amp;$J1383,'Hours Log'!$A:$A,"&lt;"&amp;$J1383+7))</f>
        <v/>
      </c>
      <c r="D1383">
        <f>IF($J1383="","",SUMIFS('Hours Log'!$D:$D,'Hours Log'!$A:$A,"&gt;="&amp;$J1383,'Hours Log'!$A:$A,"&lt;"&amp;$J1383+7))</f>
        <v/>
      </c>
      <c r="E1383">
        <f>IF($J1383="","",IFERROR(C1383/(B1383*40),0))</f>
        <v/>
      </c>
      <c r="F1383">
        <f>IF($J1383="","",0)</f>
        <v/>
      </c>
      <c r="G1383">
        <f>IF($J1383="","",SUMIFS('Hours Log'!$E:$E,'Hours Log'!$A:$A,"&gt;="&amp;$J1383,'Hours Log'!$A:$A,"&lt;"&amp;$J1383+7))</f>
        <v/>
      </c>
      <c r="J1383">
        <f>IF(COUNT('Hours Log'!$A$4:$A$5000)=0,"",IF(MIN('Hours Log'!$A$4:$A$5000)+7*(ROW()-10)&gt;MAX('Hours Log'!$A$4:$A$5000),"",MIN('Hours Log'!$A$4:$A$5000)+7*(ROW()-10)))</f>
        <v/>
      </c>
    </row>
    <row r="1384">
      <c r="A1384">
        <f>IF($J1384="","",YEAR($J1384-WEEKDAY($J1384,2)+4)&amp;"-W"&amp;TEXT(WEEKNUM($J1384,21),"00"))</f>
        <v/>
      </c>
      <c r="B1384" s="41">
        <f>IF($J1384="","",COUNTIFS(Roster!$D$4:$D$500,"Active",Roster!$C$4:$C$500,"&lt;="&amp;$J1384))</f>
        <v/>
      </c>
      <c r="C1384">
        <f>IF($J1384="","",SUMIFS('Hours Log'!$C:$C,'Hours Log'!$A:$A,"&gt;="&amp;$J1384,'Hours Log'!$A:$A,"&lt;"&amp;$J1384+7)+SUMIFS('Hours Log'!$D:$D,'Hours Log'!$A:$A,"&gt;="&amp;$J1384,'Hours Log'!$A:$A,"&lt;"&amp;$J1384+7))</f>
        <v/>
      </c>
      <c r="D1384">
        <f>IF($J1384="","",SUMIFS('Hours Log'!$D:$D,'Hours Log'!$A:$A,"&gt;="&amp;$J1384,'Hours Log'!$A:$A,"&lt;"&amp;$J1384+7))</f>
        <v/>
      </c>
      <c r="E1384">
        <f>IF($J1384="","",IFERROR(C1384/(B1384*40),0))</f>
        <v/>
      </c>
      <c r="F1384">
        <f>IF($J1384="","",0)</f>
        <v/>
      </c>
      <c r="G1384">
        <f>IF($J1384="","",SUMIFS('Hours Log'!$E:$E,'Hours Log'!$A:$A,"&gt;="&amp;$J1384,'Hours Log'!$A:$A,"&lt;"&amp;$J1384+7))</f>
        <v/>
      </c>
      <c r="J1384">
        <f>IF(COUNT('Hours Log'!$A$4:$A$5000)=0,"",IF(MIN('Hours Log'!$A$4:$A$5000)+7*(ROW()-10)&gt;MAX('Hours Log'!$A$4:$A$5000),"",MIN('Hours Log'!$A$4:$A$5000)+7*(ROW()-10)))</f>
        <v/>
      </c>
    </row>
    <row r="1385">
      <c r="A1385">
        <f>IF($J1385="","",YEAR($J1385-WEEKDAY($J1385,2)+4)&amp;"-W"&amp;TEXT(WEEKNUM($J1385,21),"00"))</f>
        <v/>
      </c>
      <c r="B1385" s="41">
        <f>IF($J1385="","",COUNTIFS(Roster!$D$4:$D$500,"Active",Roster!$C$4:$C$500,"&lt;="&amp;$J1385))</f>
        <v/>
      </c>
      <c r="C1385">
        <f>IF($J1385="","",SUMIFS('Hours Log'!$C:$C,'Hours Log'!$A:$A,"&gt;="&amp;$J1385,'Hours Log'!$A:$A,"&lt;"&amp;$J1385+7)+SUMIFS('Hours Log'!$D:$D,'Hours Log'!$A:$A,"&gt;="&amp;$J1385,'Hours Log'!$A:$A,"&lt;"&amp;$J1385+7))</f>
        <v/>
      </c>
      <c r="D1385">
        <f>IF($J1385="","",SUMIFS('Hours Log'!$D:$D,'Hours Log'!$A:$A,"&gt;="&amp;$J1385,'Hours Log'!$A:$A,"&lt;"&amp;$J1385+7))</f>
        <v/>
      </c>
      <c r="E1385">
        <f>IF($J1385="","",IFERROR(C1385/(B1385*40),0))</f>
        <v/>
      </c>
      <c r="F1385">
        <f>IF($J1385="","",0)</f>
        <v/>
      </c>
      <c r="G1385">
        <f>IF($J1385="","",SUMIFS('Hours Log'!$E:$E,'Hours Log'!$A:$A,"&gt;="&amp;$J1385,'Hours Log'!$A:$A,"&lt;"&amp;$J1385+7))</f>
        <v/>
      </c>
      <c r="J1385">
        <f>IF(COUNT('Hours Log'!$A$4:$A$5000)=0,"",IF(MIN('Hours Log'!$A$4:$A$5000)+7*(ROW()-10)&gt;MAX('Hours Log'!$A$4:$A$5000),"",MIN('Hours Log'!$A$4:$A$5000)+7*(ROW()-10)))</f>
        <v/>
      </c>
    </row>
    <row r="1386">
      <c r="A1386">
        <f>IF($J1386="","",YEAR($J1386-WEEKDAY($J1386,2)+4)&amp;"-W"&amp;TEXT(WEEKNUM($J1386,21),"00"))</f>
        <v/>
      </c>
      <c r="B1386" s="41">
        <f>IF($J1386="","",COUNTIFS(Roster!$D$4:$D$500,"Active",Roster!$C$4:$C$500,"&lt;="&amp;$J1386))</f>
        <v/>
      </c>
      <c r="C1386">
        <f>IF($J1386="","",SUMIFS('Hours Log'!$C:$C,'Hours Log'!$A:$A,"&gt;="&amp;$J1386,'Hours Log'!$A:$A,"&lt;"&amp;$J1386+7)+SUMIFS('Hours Log'!$D:$D,'Hours Log'!$A:$A,"&gt;="&amp;$J1386,'Hours Log'!$A:$A,"&lt;"&amp;$J1386+7))</f>
        <v/>
      </c>
      <c r="D1386">
        <f>IF($J1386="","",SUMIFS('Hours Log'!$D:$D,'Hours Log'!$A:$A,"&gt;="&amp;$J1386,'Hours Log'!$A:$A,"&lt;"&amp;$J1386+7))</f>
        <v/>
      </c>
      <c r="E1386">
        <f>IF($J1386="","",IFERROR(C1386/(B1386*40),0))</f>
        <v/>
      </c>
      <c r="F1386">
        <f>IF($J1386="","",0)</f>
        <v/>
      </c>
      <c r="G1386">
        <f>IF($J1386="","",SUMIFS('Hours Log'!$E:$E,'Hours Log'!$A:$A,"&gt;="&amp;$J1386,'Hours Log'!$A:$A,"&lt;"&amp;$J1386+7))</f>
        <v/>
      </c>
      <c r="J1386">
        <f>IF(COUNT('Hours Log'!$A$4:$A$5000)=0,"",IF(MIN('Hours Log'!$A$4:$A$5000)+7*(ROW()-10)&gt;MAX('Hours Log'!$A$4:$A$5000),"",MIN('Hours Log'!$A$4:$A$5000)+7*(ROW()-10)))</f>
        <v/>
      </c>
    </row>
    <row r="1387">
      <c r="A1387">
        <f>IF($J1387="","",YEAR($J1387-WEEKDAY($J1387,2)+4)&amp;"-W"&amp;TEXT(WEEKNUM($J1387,21),"00"))</f>
        <v/>
      </c>
      <c r="B1387" s="41">
        <f>IF($J1387="","",COUNTIFS(Roster!$D$4:$D$500,"Active",Roster!$C$4:$C$500,"&lt;="&amp;$J1387))</f>
        <v/>
      </c>
      <c r="C1387">
        <f>IF($J1387="","",SUMIFS('Hours Log'!$C:$C,'Hours Log'!$A:$A,"&gt;="&amp;$J1387,'Hours Log'!$A:$A,"&lt;"&amp;$J1387+7)+SUMIFS('Hours Log'!$D:$D,'Hours Log'!$A:$A,"&gt;="&amp;$J1387,'Hours Log'!$A:$A,"&lt;"&amp;$J1387+7))</f>
        <v/>
      </c>
      <c r="D1387">
        <f>IF($J1387="","",SUMIFS('Hours Log'!$D:$D,'Hours Log'!$A:$A,"&gt;="&amp;$J1387,'Hours Log'!$A:$A,"&lt;"&amp;$J1387+7))</f>
        <v/>
      </c>
      <c r="E1387">
        <f>IF($J1387="","",IFERROR(C1387/(B1387*40),0))</f>
        <v/>
      </c>
      <c r="F1387">
        <f>IF($J1387="","",0)</f>
        <v/>
      </c>
      <c r="G1387">
        <f>IF($J1387="","",SUMIFS('Hours Log'!$E:$E,'Hours Log'!$A:$A,"&gt;="&amp;$J1387,'Hours Log'!$A:$A,"&lt;"&amp;$J1387+7))</f>
        <v/>
      </c>
      <c r="J1387">
        <f>IF(COUNT('Hours Log'!$A$4:$A$5000)=0,"",IF(MIN('Hours Log'!$A$4:$A$5000)+7*(ROW()-10)&gt;MAX('Hours Log'!$A$4:$A$5000),"",MIN('Hours Log'!$A$4:$A$5000)+7*(ROW()-10)))</f>
        <v/>
      </c>
    </row>
    <row r="1388">
      <c r="A1388">
        <f>IF($J1388="","",YEAR($J1388-WEEKDAY($J1388,2)+4)&amp;"-W"&amp;TEXT(WEEKNUM($J1388,21),"00"))</f>
        <v/>
      </c>
      <c r="B1388" s="41">
        <f>IF($J1388="","",COUNTIFS(Roster!$D$4:$D$500,"Active",Roster!$C$4:$C$500,"&lt;="&amp;$J1388))</f>
        <v/>
      </c>
      <c r="C1388">
        <f>IF($J1388="","",SUMIFS('Hours Log'!$C:$C,'Hours Log'!$A:$A,"&gt;="&amp;$J1388,'Hours Log'!$A:$A,"&lt;"&amp;$J1388+7)+SUMIFS('Hours Log'!$D:$D,'Hours Log'!$A:$A,"&gt;="&amp;$J1388,'Hours Log'!$A:$A,"&lt;"&amp;$J1388+7))</f>
        <v/>
      </c>
      <c r="D1388">
        <f>IF($J1388="","",SUMIFS('Hours Log'!$D:$D,'Hours Log'!$A:$A,"&gt;="&amp;$J1388,'Hours Log'!$A:$A,"&lt;"&amp;$J1388+7))</f>
        <v/>
      </c>
      <c r="E1388">
        <f>IF($J1388="","",IFERROR(C1388/(B1388*40),0))</f>
        <v/>
      </c>
      <c r="F1388">
        <f>IF($J1388="","",0)</f>
        <v/>
      </c>
      <c r="G1388">
        <f>IF($J1388="","",SUMIFS('Hours Log'!$E:$E,'Hours Log'!$A:$A,"&gt;="&amp;$J1388,'Hours Log'!$A:$A,"&lt;"&amp;$J1388+7))</f>
        <v/>
      </c>
      <c r="J1388">
        <f>IF(COUNT('Hours Log'!$A$4:$A$5000)=0,"",IF(MIN('Hours Log'!$A$4:$A$5000)+7*(ROW()-10)&gt;MAX('Hours Log'!$A$4:$A$5000),"",MIN('Hours Log'!$A$4:$A$5000)+7*(ROW()-10)))</f>
        <v/>
      </c>
    </row>
    <row r="1389">
      <c r="A1389">
        <f>IF($J1389="","",YEAR($J1389-WEEKDAY($J1389,2)+4)&amp;"-W"&amp;TEXT(WEEKNUM($J1389,21),"00"))</f>
        <v/>
      </c>
      <c r="B1389" s="41">
        <f>IF($J1389="","",COUNTIFS(Roster!$D$4:$D$500,"Active",Roster!$C$4:$C$500,"&lt;="&amp;$J1389))</f>
        <v/>
      </c>
      <c r="C1389">
        <f>IF($J1389="","",SUMIFS('Hours Log'!$C:$C,'Hours Log'!$A:$A,"&gt;="&amp;$J1389,'Hours Log'!$A:$A,"&lt;"&amp;$J1389+7)+SUMIFS('Hours Log'!$D:$D,'Hours Log'!$A:$A,"&gt;="&amp;$J1389,'Hours Log'!$A:$A,"&lt;"&amp;$J1389+7))</f>
        <v/>
      </c>
      <c r="D1389">
        <f>IF($J1389="","",SUMIFS('Hours Log'!$D:$D,'Hours Log'!$A:$A,"&gt;="&amp;$J1389,'Hours Log'!$A:$A,"&lt;"&amp;$J1389+7))</f>
        <v/>
      </c>
      <c r="E1389">
        <f>IF($J1389="","",IFERROR(C1389/(B1389*40),0))</f>
        <v/>
      </c>
      <c r="F1389">
        <f>IF($J1389="","",0)</f>
        <v/>
      </c>
      <c r="G1389">
        <f>IF($J1389="","",SUMIFS('Hours Log'!$E:$E,'Hours Log'!$A:$A,"&gt;="&amp;$J1389,'Hours Log'!$A:$A,"&lt;"&amp;$J1389+7))</f>
        <v/>
      </c>
      <c r="J1389">
        <f>IF(COUNT('Hours Log'!$A$4:$A$5000)=0,"",IF(MIN('Hours Log'!$A$4:$A$5000)+7*(ROW()-10)&gt;MAX('Hours Log'!$A$4:$A$5000),"",MIN('Hours Log'!$A$4:$A$5000)+7*(ROW()-10)))</f>
        <v/>
      </c>
    </row>
    <row r="1390">
      <c r="A1390">
        <f>IF($J1390="","",YEAR($J1390-WEEKDAY($J1390,2)+4)&amp;"-W"&amp;TEXT(WEEKNUM($J1390,21),"00"))</f>
        <v/>
      </c>
      <c r="B1390" s="41">
        <f>IF($J1390="","",COUNTIFS(Roster!$D$4:$D$500,"Active",Roster!$C$4:$C$500,"&lt;="&amp;$J1390))</f>
        <v/>
      </c>
      <c r="C1390">
        <f>IF($J1390="","",SUMIFS('Hours Log'!$C:$C,'Hours Log'!$A:$A,"&gt;="&amp;$J1390,'Hours Log'!$A:$A,"&lt;"&amp;$J1390+7)+SUMIFS('Hours Log'!$D:$D,'Hours Log'!$A:$A,"&gt;="&amp;$J1390,'Hours Log'!$A:$A,"&lt;"&amp;$J1390+7))</f>
        <v/>
      </c>
      <c r="D1390">
        <f>IF($J1390="","",SUMIFS('Hours Log'!$D:$D,'Hours Log'!$A:$A,"&gt;="&amp;$J1390,'Hours Log'!$A:$A,"&lt;"&amp;$J1390+7))</f>
        <v/>
      </c>
      <c r="E1390">
        <f>IF($J1390="","",IFERROR(C1390/(B1390*40),0))</f>
        <v/>
      </c>
      <c r="F1390">
        <f>IF($J1390="","",0)</f>
        <v/>
      </c>
      <c r="G1390">
        <f>IF($J1390="","",SUMIFS('Hours Log'!$E:$E,'Hours Log'!$A:$A,"&gt;="&amp;$J1390,'Hours Log'!$A:$A,"&lt;"&amp;$J1390+7))</f>
        <v/>
      </c>
      <c r="J1390">
        <f>IF(COUNT('Hours Log'!$A$4:$A$5000)=0,"",IF(MIN('Hours Log'!$A$4:$A$5000)+7*(ROW()-10)&gt;MAX('Hours Log'!$A$4:$A$5000),"",MIN('Hours Log'!$A$4:$A$5000)+7*(ROW()-10)))</f>
        <v/>
      </c>
    </row>
    <row r="1391">
      <c r="A1391">
        <f>IF($J1391="","",YEAR($J1391-WEEKDAY($J1391,2)+4)&amp;"-W"&amp;TEXT(WEEKNUM($J1391,21),"00"))</f>
        <v/>
      </c>
      <c r="B1391" s="41">
        <f>IF($J1391="","",COUNTIFS(Roster!$D$4:$D$500,"Active",Roster!$C$4:$C$500,"&lt;="&amp;$J1391))</f>
        <v/>
      </c>
      <c r="C1391">
        <f>IF($J1391="","",SUMIFS('Hours Log'!$C:$C,'Hours Log'!$A:$A,"&gt;="&amp;$J1391,'Hours Log'!$A:$A,"&lt;"&amp;$J1391+7)+SUMIFS('Hours Log'!$D:$D,'Hours Log'!$A:$A,"&gt;="&amp;$J1391,'Hours Log'!$A:$A,"&lt;"&amp;$J1391+7))</f>
        <v/>
      </c>
      <c r="D1391">
        <f>IF($J1391="","",SUMIFS('Hours Log'!$D:$D,'Hours Log'!$A:$A,"&gt;="&amp;$J1391,'Hours Log'!$A:$A,"&lt;"&amp;$J1391+7))</f>
        <v/>
      </c>
      <c r="E1391">
        <f>IF($J1391="","",IFERROR(C1391/(B1391*40),0))</f>
        <v/>
      </c>
      <c r="F1391">
        <f>IF($J1391="","",0)</f>
        <v/>
      </c>
      <c r="G1391">
        <f>IF($J1391="","",SUMIFS('Hours Log'!$E:$E,'Hours Log'!$A:$A,"&gt;="&amp;$J1391,'Hours Log'!$A:$A,"&lt;"&amp;$J1391+7))</f>
        <v/>
      </c>
      <c r="J1391">
        <f>IF(COUNT('Hours Log'!$A$4:$A$5000)=0,"",IF(MIN('Hours Log'!$A$4:$A$5000)+7*(ROW()-10)&gt;MAX('Hours Log'!$A$4:$A$5000),"",MIN('Hours Log'!$A$4:$A$5000)+7*(ROW()-10)))</f>
        <v/>
      </c>
    </row>
    <row r="1392">
      <c r="A1392">
        <f>IF($J1392="","",YEAR($J1392-WEEKDAY($J1392,2)+4)&amp;"-W"&amp;TEXT(WEEKNUM($J1392,21),"00"))</f>
        <v/>
      </c>
      <c r="B1392" s="41">
        <f>IF($J1392="","",COUNTIFS(Roster!$D$4:$D$500,"Active",Roster!$C$4:$C$500,"&lt;="&amp;$J1392))</f>
        <v/>
      </c>
      <c r="C1392">
        <f>IF($J1392="","",SUMIFS('Hours Log'!$C:$C,'Hours Log'!$A:$A,"&gt;="&amp;$J1392,'Hours Log'!$A:$A,"&lt;"&amp;$J1392+7)+SUMIFS('Hours Log'!$D:$D,'Hours Log'!$A:$A,"&gt;="&amp;$J1392,'Hours Log'!$A:$A,"&lt;"&amp;$J1392+7))</f>
        <v/>
      </c>
      <c r="D1392">
        <f>IF($J1392="","",SUMIFS('Hours Log'!$D:$D,'Hours Log'!$A:$A,"&gt;="&amp;$J1392,'Hours Log'!$A:$A,"&lt;"&amp;$J1392+7))</f>
        <v/>
      </c>
      <c r="E1392">
        <f>IF($J1392="","",IFERROR(C1392/(B1392*40),0))</f>
        <v/>
      </c>
      <c r="F1392">
        <f>IF($J1392="","",0)</f>
        <v/>
      </c>
      <c r="G1392">
        <f>IF($J1392="","",SUMIFS('Hours Log'!$E:$E,'Hours Log'!$A:$A,"&gt;="&amp;$J1392,'Hours Log'!$A:$A,"&lt;"&amp;$J1392+7))</f>
        <v/>
      </c>
      <c r="J1392">
        <f>IF(COUNT('Hours Log'!$A$4:$A$5000)=0,"",IF(MIN('Hours Log'!$A$4:$A$5000)+7*(ROW()-10)&gt;MAX('Hours Log'!$A$4:$A$5000),"",MIN('Hours Log'!$A$4:$A$5000)+7*(ROW()-10)))</f>
        <v/>
      </c>
    </row>
    <row r="1393">
      <c r="A1393">
        <f>IF($J1393="","",YEAR($J1393-WEEKDAY($J1393,2)+4)&amp;"-W"&amp;TEXT(WEEKNUM($J1393,21),"00"))</f>
        <v/>
      </c>
      <c r="B1393" s="41">
        <f>IF($J1393="","",COUNTIFS(Roster!$D$4:$D$500,"Active",Roster!$C$4:$C$500,"&lt;="&amp;$J1393))</f>
        <v/>
      </c>
      <c r="C1393">
        <f>IF($J1393="","",SUMIFS('Hours Log'!$C:$C,'Hours Log'!$A:$A,"&gt;="&amp;$J1393,'Hours Log'!$A:$A,"&lt;"&amp;$J1393+7)+SUMIFS('Hours Log'!$D:$D,'Hours Log'!$A:$A,"&gt;="&amp;$J1393,'Hours Log'!$A:$A,"&lt;"&amp;$J1393+7))</f>
        <v/>
      </c>
      <c r="D1393">
        <f>IF($J1393="","",SUMIFS('Hours Log'!$D:$D,'Hours Log'!$A:$A,"&gt;="&amp;$J1393,'Hours Log'!$A:$A,"&lt;"&amp;$J1393+7))</f>
        <v/>
      </c>
      <c r="E1393">
        <f>IF($J1393="","",IFERROR(C1393/(B1393*40),0))</f>
        <v/>
      </c>
      <c r="F1393">
        <f>IF($J1393="","",0)</f>
        <v/>
      </c>
      <c r="G1393">
        <f>IF($J1393="","",SUMIFS('Hours Log'!$E:$E,'Hours Log'!$A:$A,"&gt;="&amp;$J1393,'Hours Log'!$A:$A,"&lt;"&amp;$J1393+7))</f>
        <v/>
      </c>
      <c r="J1393">
        <f>IF(COUNT('Hours Log'!$A$4:$A$5000)=0,"",IF(MIN('Hours Log'!$A$4:$A$5000)+7*(ROW()-10)&gt;MAX('Hours Log'!$A$4:$A$5000),"",MIN('Hours Log'!$A$4:$A$5000)+7*(ROW()-10)))</f>
        <v/>
      </c>
    </row>
    <row r="1394">
      <c r="A1394">
        <f>IF($J1394="","",YEAR($J1394-WEEKDAY($J1394,2)+4)&amp;"-W"&amp;TEXT(WEEKNUM($J1394,21),"00"))</f>
        <v/>
      </c>
      <c r="B1394" s="41">
        <f>IF($J1394="","",COUNTIFS(Roster!$D$4:$D$500,"Active",Roster!$C$4:$C$500,"&lt;="&amp;$J1394))</f>
        <v/>
      </c>
      <c r="C1394">
        <f>IF($J1394="","",SUMIFS('Hours Log'!$C:$C,'Hours Log'!$A:$A,"&gt;="&amp;$J1394,'Hours Log'!$A:$A,"&lt;"&amp;$J1394+7)+SUMIFS('Hours Log'!$D:$D,'Hours Log'!$A:$A,"&gt;="&amp;$J1394,'Hours Log'!$A:$A,"&lt;"&amp;$J1394+7))</f>
        <v/>
      </c>
      <c r="D1394">
        <f>IF($J1394="","",SUMIFS('Hours Log'!$D:$D,'Hours Log'!$A:$A,"&gt;="&amp;$J1394,'Hours Log'!$A:$A,"&lt;"&amp;$J1394+7))</f>
        <v/>
      </c>
      <c r="E1394">
        <f>IF($J1394="","",IFERROR(C1394/(B1394*40),0))</f>
        <v/>
      </c>
      <c r="F1394">
        <f>IF($J1394="","",0)</f>
        <v/>
      </c>
      <c r="G1394">
        <f>IF($J1394="","",SUMIFS('Hours Log'!$E:$E,'Hours Log'!$A:$A,"&gt;="&amp;$J1394,'Hours Log'!$A:$A,"&lt;"&amp;$J1394+7))</f>
        <v/>
      </c>
      <c r="J1394">
        <f>IF(COUNT('Hours Log'!$A$4:$A$5000)=0,"",IF(MIN('Hours Log'!$A$4:$A$5000)+7*(ROW()-10)&gt;MAX('Hours Log'!$A$4:$A$5000),"",MIN('Hours Log'!$A$4:$A$5000)+7*(ROW()-10)))</f>
        <v/>
      </c>
    </row>
    <row r="1395">
      <c r="A1395">
        <f>IF($J1395="","",YEAR($J1395-WEEKDAY($J1395,2)+4)&amp;"-W"&amp;TEXT(WEEKNUM($J1395,21),"00"))</f>
        <v/>
      </c>
      <c r="B1395" s="41">
        <f>IF($J1395="","",COUNTIFS(Roster!$D$4:$D$500,"Active",Roster!$C$4:$C$500,"&lt;="&amp;$J1395))</f>
        <v/>
      </c>
      <c r="C1395">
        <f>IF($J1395="","",SUMIFS('Hours Log'!$C:$C,'Hours Log'!$A:$A,"&gt;="&amp;$J1395,'Hours Log'!$A:$A,"&lt;"&amp;$J1395+7)+SUMIFS('Hours Log'!$D:$D,'Hours Log'!$A:$A,"&gt;="&amp;$J1395,'Hours Log'!$A:$A,"&lt;"&amp;$J1395+7))</f>
        <v/>
      </c>
      <c r="D1395">
        <f>IF($J1395="","",SUMIFS('Hours Log'!$D:$D,'Hours Log'!$A:$A,"&gt;="&amp;$J1395,'Hours Log'!$A:$A,"&lt;"&amp;$J1395+7))</f>
        <v/>
      </c>
      <c r="E1395">
        <f>IF($J1395="","",IFERROR(C1395/(B1395*40),0))</f>
        <v/>
      </c>
      <c r="F1395">
        <f>IF($J1395="","",0)</f>
        <v/>
      </c>
      <c r="G1395">
        <f>IF($J1395="","",SUMIFS('Hours Log'!$E:$E,'Hours Log'!$A:$A,"&gt;="&amp;$J1395,'Hours Log'!$A:$A,"&lt;"&amp;$J1395+7))</f>
        <v/>
      </c>
      <c r="J1395">
        <f>IF(COUNT('Hours Log'!$A$4:$A$5000)=0,"",IF(MIN('Hours Log'!$A$4:$A$5000)+7*(ROW()-10)&gt;MAX('Hours Log'!$A$4:$A$5000),"",MIN('Hours Log'!$A$4:$A$5000)+7*(ROW()-10)))</f>
        <v/>
      </c>
    </row>
    <row r="1396">
      <c r="A1396">
        <f>IF($J1396="","",YEAR($J1396-WEEKDAY($J1396,2)+4)&amp;"-W"&amp;TEXT(WEEKNUM($J1396,21),"00"))</f>
        <v/>
      </c>
      <c r="B1396" s="41">
        <f>IF($J1396="","",COUNTIFS(Roster!$D$4:$D$500,"Active",Roster!$C$4:$C$500,"&lt;="&amp;$J1396))</f>
        <v/>
      </c>
      <c r="C1396">
        <f>IF($J1396="","",SUMIFS('Hours Log'!$C:$C,'Hours Log'!$A:$A,"&gt;="&amp;$J1396,'Hours Log'!$A:$A,"&lt;"&amp;$J1396+7)+SUMIFS('Hours Log'!$D:$D,'Hours Log'!$A:$A,"&gt;="&amp;$J1396,'Hours Log'!$A:$A,"&lt;"&amp;$J1396+7))</f>
        <v/>
      </c>
      <c r="D1396">
        <f>IF($J1396="","",SUMIFS('Hours Log'!$D:$D,'Hours Log'!$A:$A,"&gt;="&amp;$J1396,'Hours Log'!$A:$A,"&lt;"&amp;$J1396+7))</f>
        <v/>
      </c>
      <c r="E1396">
        <f>IF($J1396="","",IFERROR(C1396/(B1396*40),0))</f>
        <v/>
      </c>
      <c r="F1396">
        <f>IF($J1396="","",0)</f>
        <v/>
      </c>
      <c r="G1396">
        <f>IF($J1396="","",SUMIFS('Hours Log'!$E:$E,'Hours Log'!$A:$A,"&gt;="&amp;$J1396,'Hours Log'!$A:$A,"&lt;"&amp;$J1396+7))</f>
        <v/>
      </c>
      <c r="J1396">
        <f>IF(COUNT('Hours Log'!$A$4:$A$5000)=0,"",IF(MIN('Hours Log'!$A$4:$A$5000)+7*(ROW()-10)&gt;MAX('Hours Log'!$A$4:$A$5000),"",MIN('Hours Log'!$A$4:$A$5000)+7*(ROW()-10)))</f>
        <v/>
      </c>
    </row>
    <row r="1397">
      <c r="A1397">
        <f>IF($J1397="","",YEAR($J1397-WEEKDAY($J1397,2)+4)&amp;"-W"&amp;TEXT(WEEKNUM($J1397,21),"00"))</f>
        <v/>
      </c>
      <c r="B1397" s="41">
        <f>IF($J1397="","",COUNTIFS(Roster!$D$4:$D$500,"Active",Roster!$C$4:$C$500,"&lt;="&amp;$J1397))</f>
        <v/>
      </c>
      <c r="C1397">
        <f>IF($J1397="","",SUMIFS('Hours Log'!$C:$C,'Hours Log'!$A:$A,"&gt;="&amp;$J1397,'Hours Log'!$A:$A,"&lt;"&amp;$J1397+7)+SUMIFS('Hours Log'!$D:$D,'Hours Log'!$A:$A,"&gt;="&amp;$J1397,'Hours Log'!$A:$A,"&lt;"&amp;$J1397+7))</f>
        <v/>
      </c>
      <c r="D1397">
        <f>IF($J1397="","",SUMIFS('Hours Log'!$D:$D,'Hours Log'!$A:$A,"&gt;="&amp;$J1397,'Hours Log'!$A:$A,"&lt;"&amp;$J1397+7))</f>
        <v/>
      </c>
      <c r="E1397">
        <f>IF($J1397="","",IFERROR(C1397/(B1397*40),0))</f>
        <v/>
      </c>
      <c r="F1397">
        <f>IF($J1397="","",0)</f>
        <v/>
      </c>
      <c r="G1397">
        <f>IF($J1397="","",SUMIFS('Hours Log'!$E:$E,'Hours Log'!$A:$A,"&gt;="&amp;$J1397,'Hours Log'!$A:$A,"&lt;"&amp;$J1397+7))</f>
        <v/>
      </c>
      <c r="J1397">
        <f>IF(COUNT('Hours Log'!$A$4:$A$5000)=0,"",IF(MIN('Hours Log'!$A$4:$A$5000)+7*(ROW()-10)&gt;MAX('Hours Log'!$A$4:$A$5000),"",MIN('Hours Log'!$A$4:$A$5000)+7*(ROW()-10)))</f>
        <v/>
      </c>
    </row>
    <row r="1398">
      <c r="A1398">
        <f>IF($J1398="","",YEAR($J1398-WEEKDAY($J1398,2)+4)&amp;"-W"&amp;TEXT(WEEKNUM($J1398,21),"00"))</f>
        <v/>
      </c>
      <c r="B1398" s="41">
        <f>IF($J1398="","",COUNTIFS(Roster!$D$4:$D$500,"Active",Roster!$C$4:$C$500,"&lt;="&amp;$J1398))</f>
        <v/>
      </c>
      <c r="C1398">
        <f>IF($J1398="","",SUMIFS('Hours Log'!$C:$C,'Hours Log'!$A:$A,"&gt;="&amp;$J1398,'Hours Log'!$A:$A,"&lt;"&amp;$J1398+7)+SUMIFS('Hours Log'!$D:$D,'Hours Log'!$A:$A,"&gt;="&amp;$J1398,'Hours Log'!$A:$A,"&lt;"&amp;$J1398+7))</f>
        <v/>
      </c>
      <c r="D1398">
        <f>IF($J1398="","",SUMIFS('Hours Log'!$D:$D,'Hours Log'!$A:$A,"&gt;="&amp;$J1398,'Hours Log'!$A:$A,"&lt;"&amp;$J1398+7))</f>
        <v/>
      </c>
      <c r="E1398">
        <f>IF($J1398="","",IFERROR(C1398/(B1398*40),0))</f>
        <v/>
      </c>
      <c r="F1398">
        <f>IF($J1398="","",0)</f>
        <v/>
      </c>
      <c r="G1398">
        <f>IF($J1398="","",SUMIFS('Hours Log'!$E:$E,'Hours Log'!$A:$A,"&gt;="&amp;$J1398,'Hours Log'!$A:$A,"&lt;"&amp;$J1398+7))</f>
        <v/>
      </c>
      <c r="J1398">
        <f>IF(COUNT('Hours Log'!$A$4:$A$5000)=0,"",IF(MIN('Hours Log'!$A$4:$A$5000)+7*(ROW()-10)&gt;MAX('Hours Log'!$A$4:$A$5000),"",MIN('Hours Log'!$A$4:$A$5000)+7*(ROW()-10)))</f>
        <v/>
      </c>
    </row>
    <row r="1399">
      <c r="A1399">
        <f>IF($J1399="","",YEAR($J1399-WEEKDAY($J1399,2)+4)&amp;"-W"&amp;TEXT(WEEKNUM($J1399,21),"00"))</f>
        <v/>
      </c>
      <c r="B1399" s="41">
        <f>IF($J1399="","",COUNTIFS(Roster!$D$4:$D$500,"Active",Roster!$C$4:$C$500,"&lt;="&amp;$J1399))</f>
        <v/>
      </c>
      <c r="C1399">
        <f>IF($J1399="","",SUMIFS('Hours Log'!$C:$C,'Hours Log'!$A:$A,"&gt;="&amp;$J1399,'Hours Log'!$A:$A,"&lt;"&amp;$J1399+7)+SUMIFS('Hours Log'!$D:$D,'Hours Log'!$A:$A,"&gt;="&amp;$J1399,'Hours Log'!$A:$A,"&lt;"&amp;$J1399+7))</f>
        <v/>
      </c>
      <c r="D1399">
        <f>IF($J1399="","",SUMIFS('Hours Log'!$D:$D,'Hours Log'!$A:$A,"&gt;="&amp;$J1399,'Hours Log'!$A:$A,"&lt;"&amp;$J1399+7))</f>
        <v/>
      </c>
      <c r="E1399">
        <f>IF($J1399="","",IFERROR(C1399/(B1399*40),0))</f>
        <v/>
      </c>
      <c r="F1399">
        <f>IF($J1399="","",0)</f>
        <v/>
      </c>
      <c r="G1399">
        <f>IF($J1399="","",SUMIFS('Hours Log'!$E:$E,'Hours Log'!$A:$A,"&gt;="&amp;$J1399,'Hours Log'!$A:$A,"&lt;"&amp;$J1399+7))</f>
        <v/>
      </c>
      <c r="J1399">
        <f>IF(COUNT('Hours Log'!$A$4:$A$5000)=0,"",IF(MIN('Hours Log'!$A$4:$A$5000)+7*(ROW()-10)&gt;MAX('Hours Log'!$A$4:$A$5000),"",MIN('Hours Log'!$A$4:$A$5000)+7*(ROW()-10)))</f>
        <v/>
      </c>
    </row>
    <row r="1400">
      <c r="A1400">
        <f>IF($J1400="","",YEAR($J1400-WEEKDAY($J1400,2)+4)&amp;"-W"&amp;TEXT(WEEKNUM($J1400,21),"00"))</f>
        <v/>
      </c>
      <c r="B1400" s="41">
        <f>IF($J1400="","",COUNTIFS(Roster!$D$4:$D$500,"Active",Roster!$C$4:$C$500,"&lt;="&amp;$J1400))</f>
        <v/>
      </c>
      <c r="C1400">
        <f>IF($J1400="","",SUMIFS('Hours Log'!$C:$C,'Hours Log'!$A:$A,"&gt;="&amp;$J1400,'Hours Log'!$A:$A,"&lt;"&amp;$J1400+7)+SUMIFS('Hours Log'!$D:$D,'Hours Log'!$A:$A,"&gt;="&amp;$J1400,'Hours Log'!$A:$A,"&lt;"&amp;$J1400+7))</f>
        <v/>
      </c>
      <c r="D1400">
        <f>IF($J1400="","",SUMIFS('Hours Log'!$D:$D,'Hours Log'!$A:$A,"&gt;="&amp;$J1400,'Hours Log'!$A:$A,"&lt;"&amp;$J1400+7))</f>
        <v/>
      </c>
      <c r="E1400">
        <f>IF($J1400="","",IFERROR(C1400/(B1400*40),0))</f>
        <v/>
      </c>
      <c r="F1400">
        <f>IF($J1400="","",0)</f>
        <v/>
      </c>
      <c r="G1400">
        <f>IF($J1400="","",SUMIFS('Hours Log'!$E:$E,'Hours Log'!$A:$A,"&gt;="&amp;$J1400,'Hours Log'!$A:$A,"&lt;"&amp;$J1400+7))</f>
        <v/>
      </c>
      <c r="J1400">
        <f>IF(COUNT('Hours Log'!$A$4:$A$5000)=0,"",IF(MIN('Hours Log'!$A$4:$A$5000)+7*(ROW()-10)&gt;MAX('Hours Log'!$A$4:$A$5000),"",MIN('Hours Log'!$A$4:$A$5000)+7*(ROW()-10)))</f>
        <v/>
      </c>
    </row>
    <row r="1401">
      <c r="A1401">
        <f>IF($J1401="","",YEAR($J1401-WEEKDAY($J1401,2)+4)&amp;"-W"&amp;TEXT(WEEKNUM($J1401,21),"00"))</f>
        <v/>
      </c>
      <c r="B1401" s="41">
        <f>IF($J1401="","",COUNTIFS(Roster!$D$4:$D$500,"Active",Roster!$C$4:$C$500,"&lt;="&amp;$J1401))</f>
        <v/>
      </c>
      <c r="C1401">
        <f>IF($J1401="","",SUMIFS('Hours Log'!$C:$C,'Hours Log'!$A:$A,"&gt;="&amp;$J1401,'Hours Log'!$A:$A,"&lt;"&amp;$J1401+7)+SUMIFS('Hours Log'!$D:$D,'Hours Log'!$A:$A,"&gt;="&amp;$J1401,'Hours Log'!$A:$A,"&lt;"&amp;$J1401+7))</f>
        <v/>
      </c>
      <c r="D1401">
        <f>IF($J1401="","",SUMIFS('Hours Log'!$D:$D,'Hours Log'!$A:$A,"&gt;="&amp;$J1401,'Hours Log'!$A:$A,"&lt;"&amp;$J1401+7))</f>
        <v/>
      </c>
      <c r="E1401">
        <f>IF($J1401="","",IFERROR(C1401/(B1401*40),0))</f>
        <v/>
      </c>
      <c r="F1401">
        <f>IF($J1401="","",0)</f>
        <v/>
      </c>
      <c r="G1401">
        <f>IF($J1401="","",SUMIFS('Hours Log'!$E:$E,'Hours Log'!$A:$A,"&gt;="&amp;$J1401,'Hours Log'!$A:$A,"&lt;"&amp;$J1401+7))</f>
        <v/>
      </c>
      <c r="J1401">
        <f>IF(COUNT('Hours Log'!$A$4:$A$5000)=0,"",IF(MIN('Hours Log'!$A$4:$A$5000)+7*(ROW()-10)&gt;MAX('Hours Log'!$A$4:$A$5000),"",MIN('Hours Log'!$A$4:$A$5000)+7*(ROW()-10)))</f>
        <v/>
      </c>
    </row>
    <row r="1402">
      <c r="A1402">
        <f>IF($J1402="","",YEAR($J1402-WEEKDAY($J1402,2)+4)&amp;"-W"&amp;TEXT(WEEKNUM($J1402,21),"00"))</f>
        <v/>
      </c>
      <c r="B1402" s="41">
        <f>IF($J1402="","",COUNTIFS(Roster!$D$4:$D$500,"Active",Roster!$C$4:$C$500,"&lt;="&amp;$J1402))</f>
        <v/>
      </c>
      <c r="C1402">
        <f>IF($J1402="","",SUMIFS('Hours Log'!$C:$C,'Hours Log'!$A:$A,"&gt;="&amp;$J1402,'Hours Log'!$A:$A,"&lt;"&amp;$J1402+7)+SUMIFS('Hours Log'!$D:$D,'Hours Log'!$A:$A,"&gt;="&amp;$J1402,'Hours Log'!$A:$A,"&lt;"&amp;$J1402+7))</f>
        <v/>
      </c>
      <c r="D1402">
        <f>IF($J1402="","",SUMIFS('Hours Log'!$D:$D,'Hours Log'!$A:$A,"&gt;="&amp;$J1402,'Hours Log'!$A:$A,"&lt;"&amp;$J1402+7))</f>
        <v/>
      </c>
      <c r="E1402">
        <f>IF($J1402="","",IFERROR(C1402/(B1402*40),0))</f>
        <v/>
      </c>
      <c r="F1402">
        <f>IF($J1402="","",0)</f>
        <v/>
      </c>
      <c r="G1402">
        <f>IF($J1402="","",SUMIFS('Hours Log'!$E:$E,'Hours Log'!$A:$A,"&gt;="&amp;$J1402,'Hours Log'!$A:$A,"&lt;"&amp;$J1402+7))</f>
        <v/>
      </c>
      <c r="J1402">
        <f>IF(COUNT('Hours Log'!$A$4:$A$5000)=0,"",IF(MIN('Hours Log'!$A$4:$A$5000)+7*(ROW()-10)&gt;MAX('Hours Log'!$A$4:$A$5000),"",MIN('Hours Log'!$A$4:$A$5000)+7*(ROW()-10)))</f>
        <v/>
      </c>
    </row>
    <row r="1403">
      <c r="A1403">
        <f>IF($J1403="","",YEAR($J1403-WEEKDAY($J1403,2)+4)&amp;"-W"&amp;TEXT(WEEKNUM($J1403,21),"00"))</f>
        <v/>
      </c>
      <c r="B1403" s="41">
        <f>IF($J1403="","",COUNTIFS(Roster!$D$4:$D$500,"Active",Roster!$C$4:$C$500,"&lt;="&amp;$J1403))</f>
        <v/>
      </c>
      <c r="C1403">
        <f>IF($J1403="","",SUMIFS('Hours Log'!$C:$C,'Hours Log'!$A:$A,"&gt;="&amp;$J1403,'Hours Log'!$A:$A,"&lt;"&amp;$J1403+7)+SUMIFS('Hours Log'!$D:$D,'Hours Log'!$A:$A,"&gt;="&amp;$J1403,'Hours Log'!$A:$A,"&lt;"&amp;$J1403+7))</f>
        <v/>
      </c>
      <c r="D1403">
        <f>IF($J1403="","",SUMIFS('Hours Log'!$D:$D,'Hours Log'!$A:$A,"&gt;="&amp;$J1403,'Hours Log'!$A:$A,"&lt;"&amp;$J1403+7))</f>
        <v/>
      </c>
      <c r="E1403">
        <f>IF($J1403="","",IFERROR(C1403/(B1403*40),0))</f>
        <v/>
      </c>
      <c r="F1403">
        <f>IF($J1403="","",0)</f>
        <v/>
      </c>
      <c r="G1403">
        <f>IF($J1403="","",SUMIFS('Hours Log'!$E:$E,'Hours Log'!$A:$A,"&gt;="&amp;$J1403,'Hours Log'!$A:$A,"&lt;"&amp;$J1403+7))</f>
        <v/>
      </c>
      <c r="J1403">
        <f>IF(COUNT('Hours Log'!$A$4:$A$5000)=0,"",IF(MIN('Hours Log'!$A$4:$A$5000)+7*(ROW()-10)&gt;MAX('Hours Log'!$A$4:$A$5000),"",MIN('Hours Log'!$A$4:$A$5000)+7*(ROW()-10)))</f>
        <v/>
      </c>
    </row>
    <row r="1404">
      <c r="A1404">
        <f>IF($J1404="","",YEAR($J1404-WEEKDAY($J1404,2)+4)&amp;"-W"&amp;TEXT(WEEKNUM($J1404,21),"00"))</f>
        <v/>
      </c>
      <c r="B1404" s="41">
        <f>IF($J1404="","",COUNTIFS(Roster!$D$4:$D$500,"Active",Roster!$C$4:$C$500,"&lt;="&amp;$J1404))</f>
        <v/>
      </c>
      <c r="C1404">
        <f>IF($J1404="","",SUMIFS('Hours Log'!$C:$C,'Hours Log'!$A:$A,"&gt;="&amp;$J1404,'Hours Log'!$A:$A,"&lt;"&amp;$J1404+7)+SUMIFS('Hours Log'!$D:$D,'Hours Log'!$A:$A,"&gt;="&amp;$J1404,'Hours Log'!$A:$A,"&lt;"&amp;$J1404+7))</f>
        <v/>
      </c>
      <c r="D1404">
        <f>IF($J1404="","",SUMIFS('Hours Log'!$D:$D,'Hours Log'!$A:$A,"&gt;="&amp;$J1404,'Hours Log'!$A:$A,"&lt;"&amp;$J1404+7))</f>
        <v/>
      </c>
      <c r="E1404">
        <f>IF($J1404="","",IFERROR(C1404/(B1404*40),0))</f>
        <v/>
      </c>
      <c r="F1404">
        <f>IF($J1404="","",0)</f>
        <v/>
      </c>
      <c r="G1404">
        <f>IF($J1404="","",SUMIFS('Hours Log'!$E:$E,'Hours Log'!$A:$A,"&gt;="&amp;$J1404,'Hours Log'!$A:$A,"&lt;"&amp;$J1404+7))</f>
        <v/>
      </c>
      <c r="J1404">
        <f>IF(COUNT('Hours Log'!$A$4:$A$5000)=0,"",IF(MIN('Hours Log'!$A$4:$A$5000)+7*(ROW()-10)&gt;MAX('Hours Log'!$A$4:$A$5000),"",MIN('Hours Log'!$A$4:$A$5000)+7*(ROW()-10)))</f>
        <v/>
      </c>
    </row>
    <row r="1405">
      <c r="A1405">
        <f>IF($J1405="","",YEAR($J1405-WEEKDAY($J1405,2)+4)&amp;"-W"&amp;TEXT(WEEKNUM($J1405,21),"00"))</f>
        <v/>
      </c>
      <c r="B1405" s="41">
        <f>IF($J1405="","",COUNTIFS(Roster!$D$4:$D$500,"Active",Roster!$C$4:$C$500,"&lt;="&amp;$J1405))</f>
        <v/>
      </c>
      <c r="C1405">
        <f>IF($J1405="","",SUMIFS('Hours Log'!$C:$C,'Hours Log'!$A:$A,"&gt;="&amp;$J1405,'Hours Log'!$A:$A,"&lt;"&amp;$J1405+7)+SUMIFS('Hours Log'!$D:$D,'Hours Log'!$A:$A,"&gt;="&amp;$J1405,'Hours Log'!$A:$A,"&lt;"&amp;$J1405+7))</f>
        <v/>
      </c>
      <c r="D1405">
        <f>IF($J1405="","",SUMIFS('Hours Log'!$D:$D,'Hours Log'!$A:$A,"&gt;="&amp;$J1405,'Hours Log'!$A:$A,"&lt;"&amp;$J1405+7))</f>
        <v/>
      </c>
      <c r="E1405">
        <f>IF($J1405="","",IFERROR(C1405/(B1405*40),0))</f>
        <v/>
      </c>
      <c r="F1405">
        <f>IF($J1405="","",0)</f>
        <v/>
      </c>
      <c r="G1405">
        <f>IF($J1405="","",SUMIFS('Hours Log'!$E:$E,'Hours Log'!$A:$A,"&gt;="&amp;$J1405,'Hours Log'!$A:$A,"&lt;"&amp;$J1405+7))</f>
        <v/>
      </c>
      <c r="J1405">
        <f>IF(COUNT('Hours Log'!$A$4:$A$5000)=0,"",IF(MIN('Hours Log'!$A$4:$A$5000)+7*(ROW()-10)&gt;MAX('Hours Log'!$A$4:$A$5000),"",MIN('Hours Log'!$A$4:$A$5000)+7*(ROW()-10)))</f>
        <v/>
      </c>
    </row>
    <row r="1406">
      <c r="A1406">
        <f>IF($J1406="","",YEAR($J1406-WEEKDAY($J1406,2)+4)&amp;"-W"&amp;TEXT(WEEKNUM($J1406,21),"00"))</f>
        <v/>
      </c>
      <c r="B1406" s="41">
        <f>IF($J1406="","",COUNTIFS(Roster!$D$4:$D$500,"Active",Roster!$C$4:$C$500,"&lt;="&amp;$J1406))</f>
        <v/>
      </c>
      <c r="C1406">
        <f>IF($J1406="","",SUMIFS('Hours Log'!$C:$C,'Hours Log'!$A:$A,"&gt;="&amp;$J1406,'Hours Log'!$A:$A,"&lt;"&amp;$J1406+7)+SUMIFS('Hours Log'!$D:$D,'Hours Log'!$A:$A,"&gt;="&amp;$J1406,'Hours Log'!$A:$A,"&lt;"&amp;$J1406+7))</f>
        <v/>
      </c>
      <c r="D1406">
        <f>IF($J1406="","",SUMIFS('Hours Log'!$D:$D,'Hours Log'!$A:$A,"&gt;="&amp;$J1406,'Hours Log'!$A:$A,"&lt;"&amp;$J1406+7))</f>
        <v/>
      </c>
      <c r="E1406">
        <f>IF($J1406="","",IFERROR(C1406/(B1406*40),0))</f>
        <v/>
      </c>
      <c r="F1406">
        <f>IF($J1406="","",0)</f>
        <v/>
      </c>
      <c r="G1406">
        <f>IF($J1406="","",SUMIFS('Hours Log'!$E:$E,'Hours Log'!$A:$A,"&gt;="&amp;$J1406,'Hours Log'!$A:$A,"&lt;"&amp;$J1406+7))</f>
        <v/>
      </c>
      <c r="J1406">
        <f>IF(COUNT('Hours Log'!$A$4:$A$5000)=0,"",IF(MIN('Hours Log'!$A$4:$A$5000)+7*(ROW()-10)&gt;MAX('Hours Log'!$A$4:$A$5000),"",MIN('Hours Log'!$A$4:$A$5000)+7*(ROW()-10)))</f>
        <v/>
      </c>
    </row>
    <row r="1407">
      <c r="A1407">
        <f>IF($J1407="","",YEAR($J1407-WEEKDAY($J1407,2)+4)&amp;"-W"&amp;TEXT(WEEKNUM($J1407,21),"00"))</f>
        <v/>
      </c>
      <c r="B1407" s="41">
        <f>IF($J1407="","",COUNTIFS(Roster!$D$4:$D$500,"Active",Roster!$C$4:$C$500,"&lt;="&amp;$J1407))</f>
        <v/>
      </c>
      <c r="C1407">
        <f>IF($J1407="","",SUMIFS('Hours Log'!$C:$C,'Hours Log'!$A:$A,"&gt;="&amp;$J1407,'Hours Log'!$A:$A,"&lt;"&amp;$J1407+7)+SUMIFS('Hours Log'!$D:$D,'Hours Log'!$A:$A,"&gt;="&amp;$J1407,'Hours Log'!$A:$A,"&lt;"&amp;$J1407+7))</f>
        <v/>
      </c>
      <c r="D1407">
        <f>IF($J1407="","",SUMIFS('Hours Log'!$D:$D,'Hours Log'!$A:$A,"&gt;="&amp;$J1407,'Hours Log'!$A:$A,"&lt;"&amp;$J1407+7))</f>
        <v/>
      </c>
      <c r="E1407">
        <f>IF($J1407="","",IFERROR(C1407/(B1407*40),0))</f>
        <v/>
      </c>
      <c r="F1407">
        <f>IF($J1407="","",0)</f>
        <v/>
      </c>
      <c r="G1407">
        <f>IF($J1407="","",SUMIFS('Hours Log'!$E:$E,'Hours Log'!$A:$A,"&gt;="&amp;$J1407,'Hours Log'!$A:$A,"&lt;"&amp;$J1407+7))</f>
        <v/>
      </c>
      <c r="J1407">
        <f>IF(COUNT('Hours Log'!$A$4:$A$5000)=0,"",IF(MIN('Hours Log'!$A$4:$A$5000)+7*(ROW()-10)&gt;MAX('Hours Log'!$A$4:$A$5000),"",MIN('Hours Log'!$A$4:$A$5000)+7*(ROW()-10)))</f>
        <v/>
      </c>
    </row>
    <row r="1408">
      <c r="A1408">
        <f>IF($J1408="","",YEAR($J1408-WEEKDAY($J1408,2)+4)&amp;"-W"&amp;TEXT(WEEKNUM($J1408,21),"00"))</f>
        <v/>
      </c>
      <c r="B1408" s="41">
        <f>IF($J1408="","",COUNTIFS(Roster!$D$4:$D$500,"Active",Roster!$C$4:$C$500,"&lt;="&amp;$J1408))</f>
        <v/>
      </c>
      <c r="C1408">
        <f>IF($J1408="","",SUMIFS('Hours Log'!$C:$C,'Hours Log'!$A:$A,"&gt;="&amp;$J1408,'Hours Log'!$A:$A,"&lt;"&amp;$J1408+7)+SUMIFS('Hours Log'!$D:$D,'Hours Log'!$A:$A,"&gt;="&amp;$J1408,'Hours Log'!$A:$A,"&lt;"&amp;$J1408+7))</f>
        <v/>
      </c>
      <c r="D1408">
        <f>IF($J1408="","",SUMIFS('Hours Log'!$D:$D,'Hours Log'!$A:$A,"&gt;="&amp;$J1408,'Hours Log'!$A:$A,"&lt;"&amp;$J1408+7))</f>
        <v/>
      </c>
      <c r="E1408">
        <f>IF($J1408="","",IFERROR(C1408/(B1408*40),0))</f>
        <v/>
      </c>
      <c r="F1408">
        <f>IF($J1408="","",0)</f>
        <v/>
      </c>
      <c r="G1408">
        <f>IF($J1408="","",SUMIFS('Hours Log'!$E:$E,'Hours Log'!$A:$A,"&gt;="&amp;$J1408,'Hours Log'!$A:$A,"&lt;"&amp;$J1408+7))</f>
        <v/>
      </c>
      <c r="J1408">
        <f>IF(COUNT('Hours Log'!$A$4:$A$5000)=0,"",IF(MIN('Hours Log'!$A$4:$A$5000)+7*(ROW()-10)&gt;MAX('Hours Log'!$A$4:$A$5000),"",MIN('Hours Log'!$A$4:$A$5000)+7*(ROW()-10)))</f>
        <v/>
      </c>
    </row>
    <row r="1409">
      <c r="A1409">
        <f>IF($J1409="","",YEAR($J1409-WEEKDAY($J1409,2)+4)&amp;"-W"&amp;TEXT(WEEKNUM($J1409,21),"00"))</f>
        <v/>
      </c>
      <c r="B1409" s="41">
        <f>IF($J1409="","",COUNTIFS(Roster!$D$4:$D$500,"Active",Roster!$C$4:$C$500,"&lt;="&amp;$J1409))</f>
        <v/>
      </c>
      <c r="C1409">
        <f>IF($J1409="","",SUMIFS('Hours Log'!$C:$C,'Hours Log'!$A:$A,"&gt;="&amp;$J1409,'Hours Log'!$A:$A,"&lt;"&amp;$J1409+7)+SUMIFS('Hours Log'!$D:$D,'Hours Log'!$A:$A,"&gt;="&amp;$J1409,'Hours Log'!$A:$A,"&lt;"&amp;$J1409+7))</f>
        <v/>
      </c>
      <c r="D1409">
        <f>IF($J1409="","",SUMIFS('Hours Log'!$D:$D,'Hours Log'!$A:$A,"&gt;="&amp;$J1409,'Hours Log'!$A:$A,"&lt;"&amp;$J1409+7))</f>
        <v/>
      </c>
      <c r="E1409">
        <f>IF($J1409="","",IFERROR(C1409/(B1409*40),0))</f>
        <v/>
      </c>
      <c r="F1409">
        <f>IF($J1409="","",0)</f>
        <v/>
      </c>
      <c r="G1409">
        <f>IF($J1409="","",SUMIFS('Hours Log'!$E:$E,'Hours Log'!$A:$A,"&gt;="&amp;$J1409,'Hours Log'!$A:$A,"&lt;"&amp;$J1409+7))</f>
        <v/>
      </c>
      <c r="J1409">
        <f>IF(COUNT('Hours Log'!$A$4:$A$5000)=0,"",IF(MIN('Hours Log'!$A$4:$A$5000)+7*(ROW()-10)&gt;MAX('Hours Log'!$A$4:$A$5000),"",MIN('Hours Log'!$A$4:$A$5000)+7*(ROW()-10)))</f>
        <v/>
      </c>
    </row>
    <row r="1410">
      <c r="A1410">
        <f>IF($J1410="","",YEAR($J1410-WEEKDAY($J1410,2)+4)&amp;"-W"&amp;TEXT(WEEKNUM($J1410,21),"00"))</f>
        <v/>
      </c>
      <c r="B1410" s="41">
        <f>IF($J1410="","",COUNTIFS(Roster!$D$4:$D$500,"Active",Roster!$C$4:$C$500,"&lt;="&amp;$J1410))</f>
        <v/>
      </c>
      <c r="C1410">
        <f>IF($J1410="","",SUMIFS('Hours Log'!$C:$C,'Hours Log'!$A:$A,"&gt;="&amp;$J1410,'Hours Log'!$A:$A,"&lt;"&amp;$J1410+7)+SUMIFS('Hours Log'!$D:$D,'Hours Log'!$A:$A,"&gt;="&amp;$J1410,'Hours Log'!$A:$A,"&lt;"&amp;$J1410+7))</f>
        <v/>
      </c>
      <c r="D1410">
        <f>IF($J1410="","",SUMIFS('Hours Log'!$D:$D,'Hours Log'!$A:$A,"&gt;="&amp;$J1410,'Hours Log'!$A:$A,"&lt;"&amp;$J1410+7))</f>
        <v/>
      </c>
      <c r="E1410">
        <f>IF($J1410="","",IFERROR(C1410/(B1410*40),0))</f>
        <v/>
      </c>
      <c r="F1410">
        <f>IF($J1410="","",0)</f>
        <v/>
      </c>
      <c r="G1410">
        <f>IF($J1410="","",SUMIFS('Hours Log'!$E:$E,'Hours Log'!$A:$A,"&gt;="&amp;$J1410,'Hours Log'!$A:$A,"&lt;"&amp;$J1410+7))</f>
        <v/>
      </c>
      <c r="J1410">
        <f>IF(COUNT('Hours Log'!$A$4:$A$5000)=0,"",IF(MIN('Hours Log'!$A$4:$A$5000)+7*(ROW()-10)&gt;MAX('Hours Log'!$A$4:$A$5000),"",MIN('Hours Log'!$A$4:$A$5000)+7*(ROW()-10)))</f>
        <v/>
      </c>
    </row>
    <row r="1411">
      <c r="A1411">
        <f>IF($J1411="","",YEAR($J1411-WEEKDAY($J1411,2)+4)&amp;"-W"&amp;TEXT(WEEKNUM($J1411,21),"00"))</f>
        <v/>
      </c>
      <c r="B1411" s="41">
        <f>IF($J1411="","",COUNTIFS(Roster!$D$4:$D$500,"Active",Roster!$C$4:$C$500,"&lt;="&amp;$J1411))</f>
        <v/>
      </c>
      <c r="C1411">
        <f>IF($J1411="","",SUMIFS('Hours Log'!$C:$C,'Hours Log'!$A:$A,"&gt;="&amp;$J1411,'Hours Log'!$A:$A,"&lt;"&amp;$J1411+7)+SUMIFS('Hours Log'!$D:$D,'Hours Log'!$A:$A,"&gt;="&amp;$J1411,'Hours Log'!$A:$A,"&lt;"&amp;$J1411+7))</f>
        <v/>
      </c>
      <c r="D1411">
        <f>IF($J1411="","",SUMIFS('Hours Log'!$D:$D,'Hours Log'!$A:$A,"&gt;="&amp;$J1411,'Hours Log'!$A:$A,"&lt;"&amp;$J1411+7))</f>
        <v/>
      </c>
      <c r="E1411">
        <f>IF($J1411="","",IFERROR(C1411/(B1411*40),0))</f>
        <v/>
      </c>
      <c r="F1411">
        <f>IF($J1411="","",0)</f>
        <v/>
      </c>
      <c r="G1411">
        <f>IF($J1411="","",SUMIFS('Hours Log'!$E:$E,'Hours Log'!$A:$A,"&gt;="&amp;$J1411,'Hours Log'!$A:$A,"&lt;"&amp;$J1411+7))</f>
        <v/>
      </c>
      <c r="J1411">
        <f>IF(COUNT('Hours Log'!$A$4:$A$5000)=0,"",IF(MIN('Hours Log'!$A$4:$A$5000)+7*(ROW()-10)&gt;MAX('Hours Log'!$A$4:$A$5000),"",MIN('Hours Log'!$A$4:$A$5000)+7*(ROW()-10)))</f>
        <v/>
      </c>
    </row>
    <row r="1412">
      <c r="A1412">
        <f>IF($J1412="","",YEAR($J1412-WEEKDAY($J1412,2)+4)&amp;"-W"&amp;TEXT(WEEKNUM($J1412,21),"00"))</f>
        <v/>
      </c>
      <c r="B1412" s="41">
        <f>IF($J1412="","",COUNTIFS(Roster!$D$4:$D$500,"Active",Roster!$C$4:$C$500,"&lt;="&amp;$J1412))</f>
        <v/>
      </c>
      <c r="C1412">
        <f>IF($J1412="","",SUMIFS('Hours Log'!$C:$C,'Hours Log'!$A:$A,"&gt;="&amp;$J1412,'Hours Log'!$A:$A,"&lt;"&amp;$J1412+7)+SUMIFS('Hours Log'!$D:$D,'Hours Log'!$A:$A,"&gt;="&amp;$J1412,'Hours Log'!$A:$A,"&lt;"&amp;$J1412+7))</f>
        <v/>
      </c>
      <c r="D1412">
        <f>IF($J1412="","",SUMIFS('Hours Log'!$D:$D,'Hours Log'!$A:$A,"&gt;="&amp;$J1412,'Hours Log'!$A:$A,"&lt;"&amp;$J1412+7))</f>
        <v/>
      </c>
      <c r="E1412">
        <f>IF($J1412="","",IFERROR(C1412/(B1412*40),0))</f>
        <v/>
      </c>
      <c r="F1412">
        <f>IF($J1412="","",0)</f>
        <v/>
      </c>
      <c r="G1412">
        <f>IF($J1412="","",SUMIFS('Hours Log'!$E:$E,'Hours Log'!$A:$A,"&gt;="&amp;$J1412,'Hours Log'!$A:$A,"&lt;"&amp;$J1412+7))</f>
        <v/>
      </c>
      <c r="J1412">
        <f>IF(COUNT('Hours Log'!$A$4:$A$5000)=0,"",IF(MIN('Hours Log'!$A$4:$A$5000)+7*(ROW()-10)&gt;MAX('Hours Log'!$A$4:$A$5000),"",MIN('Hours Log'!$A$4:$A$5000)+7*(ROW()-10)))</f>
        <v/>
      </c>
    </row>
    <row r="1413">
      <c r="A1413">
        <f>IF($J1413="","",YEAR($J1413-WEEKDAY($J1413,2)+4)&amp;"-W"&amp;TEXT(WEEKNUM($J1413,21),"00"))</f>
        <v/>
      </c>
      <c r="B1413" s="41">
        <f>IF($J1413="","",COUNTIFS(Roster!$D$4:$D$500,"Active",Roster!$C$4:$C$500,"&lt;="&amp;$J1413))</f>
        <v/>
      </c>
      <c r="C1413">
        <f>IF($J1413="","",SUMIFS('Hours Log'!$C:$C,'Hours Log'!$A:$A,"&gt;="&amp;$J1413,'Hours Log'!$A:$A,"&lt;"&amp;$J1413+7)+SUMIFS('Hours Log'!$D:$D,'Hours Log'!$A:$A,"&gt;="&amp;$J1413,'Hours Log'!$A:$A,"&lt;"&amp;$J1413+7))</f>
        <v/>
      </c>
      <c r="D1413">
        <f>IF($J1413="","",SUMIFS('Hours Log'!$D:$D,'Hours Log'!$A:$A,"&gt;="&amp;$J1413,'Hours Log'!$A:$A,"&lt;"&amp;$J1413+7))</f>
        <v/>
      </c>
      <c r="E1413">
        <f>IF($J1413="","",IFERROR(C1413/(B1413*40),0))</f>
        <v/>
      </c>
      <c r="F1413">
        <f>IF($J1413="","",0)</f>
        <v/>
      </c>
      <c r="G1413">
        <f>IF($J1413="","",SUMIFS('Hours Log'!$E:$E,'Hours Log'!$A:$A,"&gt;="&amp;$J1413,'Hours Log'!$A:$A,"&lt;"&amp;$J1413+7))</f>
        <v/>
      </c>
      <c r="J1413">
        <f>IF(COUNT('Hours Log'!$A$4:$A$5000)=0,"",IF(MIN('Hours Log'!$A$4:$A$5000)+7*(ROW()-10)&gt;MAX('Hours Log'!$A$4:$A$5000),"",MIN('Hours Log'!$A$4:$A$5000)+7*(ROW()-10)))</f>
        <v/>
      </c>
    </row>
    <row r="1414">
      <c r="A1414">
        <f>IF($J1414="","",YEAR($J1414-WEEKDAY($J1414,2)+4)&amp;"-W"&amp;TEXT(WEEKNUM($J1414,21),"00"))</f>
        <v/>
      </c>
      <c r="B1414" s="41">
        <f>IF($J1414="","",COUNTIFS(Roster!$D$4:$D$500,"Active",Roster!$C$4:$C$500,"&lt;="&amp;$J1414))</f>
        <v/>
      </c>
      <c r="C1414">
        <f>IF($J1414="","",SUMIFS('Hours Log'!$C:$C,'Hours Log'!$A:$A,"&gt;="&amp;$J1414,'Hours Log'!$A:$A,"&lt;"&amp;$J1414+7)+SUMIFS('Hours Log'!$D:$D,'Hours Log'!$A:$A,"&gt;="&amp;$J1414,'Hours Log'!$A:$A,"&lt;"&amp;$J1414+7))</f>
        <v/>
      </c>
      <c r="D1414">
        <f>IF($J1414="","",SUMIFS('Hours Log'!$D:$D,'Hours Log'!$A:$A,"&gt;="&amp;$J1414,'Hours Log'!$A:$A,"&lt;"&amp;$J1414+7))</f>
        <v/>
      </c>
      <c r="E1414">
        <f>IF($J1414="","",IFERROR(C1414/(B1414*40),0))</f>
        <v/>
      </c>
      <c r="F1414">
        <f>IF($J1414="","",0)</f>
        <v/>
      </c>
      <c r="G1414">
        <f>IF($J1414="","",SUMIFS('Hours Log'!$E:$E,'Hours Log'!$A:$A,"&gt;="&amp;$J1414,'Hours Log'!$A:$A,"&lt;"&amp;$J1414+7))</f>
        <v/>
      </c>
      <c r="J1414">
        <f>IF(COUNT('Hours Log'!$A$4:$A$5000)=0,"",IF(MIN('Hours Log'!$A$4:$A$5000)+7*(ROW()-10)&gt;MAX('Hours Log'!$A$4:$A$5000),"",MIN('Hours Log'!$A$4:$A$5000)+7*(ROW()-10)))</f>
        <v/>
      </c>
    </row>
    <row r="1415">
      <c r="A1415">
        <f>IF($J1415="","",YEAR($J1415-WEEKDAY($J1415,2)+4)&amp;"-W"&amp;TEXT(WEEKNUM($J1415,21),"00"))</f>
        <v/>
      </c>
      <c r="B1415" s="41">
        <f>IF($J1415="","",COUNTIFS(Roster!$D$4:$D$500,"Active",Roster!$C$4:$C$500,"&lt;="&amp;$J1415))</f>
        <v/>
      </c>
      <c r="C1415">
        <f>IF($J1415="","",SUMIFS('Hours Log'!$C:$C,'Hours Log'!$A:$A,"&gt;="&amp;$J1415,'Hours Log'!$A:$A,"&lt;"&amp;$J1415+7)+SUMIFS('Hours Log'!$D:$D,'Hours Log'!$A:$A,"&gt;="&amp;$J1415,'Hours Log'!$A:$A,"&lt;"&amp;$J1415+7))</f>
        <v/>
      </c>
      <c r="D1415">
        <f>IF($J1415="","",SUMIFS('Hours Log'!$D:$D,'Hours Log'!$A:$A,"&gt;="&amp;$J1415,'Hours Log'!$A:$A,"&lt;"&amp;$J1415+7))</f>
        <v/>
      </c>
      <c r="E1415">
        <f>IF($J1415="","",IFERROR(C1415/(B1415*40),0))</f>
        <v/>
      </c>
      <c r="F1415">
        <f>IF($J1415="","",0)</f>
        <v/>
      </c>
      <c r="G1415">
        <f>IF($J1415="","",SUMIFS('Hours Log'!$E:$E,'Hours Log'!$A:$A,"&gt;="&amp;$J1415,'Hours Log'!$A:$A,"&lt;"&amp;$J1415+7))</f>
        <v/>
      </c>
      <c r="J1415">
        <f>IF(COUNT('Hours Log'!$A$4:$A$5000)=0,"",IF(MIN('Hours Log'!$A$4:$A$5000)+7*(ROW()-10)&gt;MAX('Hours Log'!$A$4:$A$5000),"",MIN('Hours Log'!$A$4:$A$5000)+7*(ROW()-10)))</f>
        <v/>
      </c>
    </row>
    <row r="1416">
      <c r="A1416">
        <f>IF($J1416="","",YEAR($J1416-WEEKDAY($J1416,2)+4)&amp;"-W"&amp;TEXT(WEEKNUM($J1416,21),"00"))</f>
        <v/>
      </c>
      <c r="B1416" s="41">
        <f>IF($J1416="","",COUNTIFS(Roster!$D$4:$D$500,"Active",Roster!$C$4:$C$500,"&lt;="&amp;$J1416))</f>
        <v/>
      </c>
      <c r="C1416">
        <f>IF($J1416="","",SUMIFS('Hours Log'!$C:$C,'Hours Log'!$A:$A,"&gt;="&amp;$J1416,'Hours Log'!$A:$A,"&lt;"&amp;$J1416+7)+SUMIFS('Hours Log'!$D:$D,'Hours Log'!$A:$A,"&gt;="&amp;$J1416,'Hours Log'!$A:$A,"&lt;"&amp;$J1416+7))</f>
        <v/>
      </c>
      <c r="D1416">
        <f>IF($J1416="","",SUMIFS('Hours Log'!$D:$D,'Hours Log'!$A:$A,"&gt;="&amp;$J1416,'Hours Log'!$A:$A,"&lt;"&amp;$J1416+7))</f>
        <v/>
      </c>
      <c r="E1416">
        <f>IF($J1416="","",IFERROR(C1416/(B1416*40),0))</f>
        <v/>
      </c>
      <c r="F1416">
        <f>IF($J1416="","",0)</f>
        <v/>
      </c>
      <c r="G1416">
        <f>IF($J1416="","",SUMIFS('Hours Log'!$E:$E,'Hours Log'!$A:$A,"&gt;="&amp;$J1416,'Hours Log'!$A:$A,"&lt;"&amp;$J1416+7))</f>
        <v/>
      </c>
      <c r="J1416">
        <f>IF(COUNT('Hours Log'!$A$4:$A$5000)=0,"",IF(MIN('Hours Log'!$A$4:$A$5000)+7*(ROW()-10)&gt;MAX('Hours Log'!$A$4:$A$5000),"",MIN('Hours Log'!$A$4:$A$5000)+7*(ROW()-10)))</f>
        <v/>
      </c>
    </row>
    <row r="1417">
      <c r="A1417">
        <f>IF($J1417="","",YEAR($J1417-WEEKDAY($J1417,2)+4)&amp;"-W"&amp;TEXT(WEEKNUM($J1417,21),"00"))</f>
        <v/>
      </c>
      <c r="B1417" s="41">
        <f>IF($J1417="","",COUNTIFS(Roster!$D$4:$D$500,"Active",Roster!$C$4:$C$500,"&lt;="&amp;$J1417))</f>
        <v/>
      </c>
      <c r="C1417">
        <f>IF($J1417="","",SUMIFS('Hours Log'!$C:$C,'Hours Log'!$A:$A,"&gt;="&amp;$J1417,'Hours Log'!$A:$A,"&lt;"&amp;$J1417+7)+SUMIFS('Hours Log'!$D:$D,'Hours Log'!$A:$A,"&gt;="&amp;$J1417,'Hours Log'!$A:$A,"&lt;"&amp;$J1417+7))</f>
        <v/>
      </c>
      <c r="D1417">
        <f>IF($J1417="","",SUMIFS('Hours Log'!$D:$D,'Hours Log'!$A:$A,"&gt;="&amp;$J1417,'Hours Log'!$A:$A,"&lt;"&amp;$J1417+7))</f>
        <v/>
      </c>
      <c r="E1417">
        <f>IF($J1417="","",IFERROR(C1417/(B1417*40),0))</f>
        <v/>
      </c>
      <c r="F1417">
        <f>IF($J1417="","",0)</f>
        <v/>
      </c>
      <c r="G1417">
        <f>IF($J1417="","",SUMIFS('Hours Log'!$E:$E,'Hours Log'!$A:$A,"&gt;="&amp;$J1417,'Hours Log'!$A:$A,"&lt;"&amp;$J1417+7))</f>
        <v/>
      </c>
      <c r="J1417">
        <f>IF(COUNT('Hours Log'!$A$4:$A$5000)=0,"",IF(MIN('Hours Log'!$A$4:$A$5000)+7*(ROW()-10)&gt;MAX('Hours Log'!$A$4:$A$5000),"",MIN('Hours Log'!$A$4:$A$5000)+7*(ROW()-10)))</f>
        <v/>
      </c>
    </row>
    <row r="1418">
      <c r="A1418">
        <f>IF($J1418="","",YEAR($J1418-WEEKDAY($J1418,2)+4)&amp;"-W"&amp;TEXT(WEEKNUM($J1418,21),"00"))</f>
        <v/>
      </c>
      <c r="B1418" s="41">
        <f>IF($J1418="","",COUNTIFS(Roster!$D$4:$D$500,"Active",Roster!$C$4:$C$500,"&lt;="&amp;$J1418))</f>
        <v/>
      </c>
      <c r="C1418">
        <f>IF($J1418="","",SUMIFS('Hours Log'!$C:$C,'Hours Log'!$A:$A,"&gt;="&amp;$J1418,'Hours Log'!$A:$A,"&lt;"&amp;$J1418+7)+SUMIFS('Hours Log'!$D:$D,'Hours Log'!$A:$A,"&gt;="&amp;$J1418,'Hours Log'!$A:$A,"&lt;"&amp;$J1418+7))</f>
        <v/>
      </c>
      <c r="D1418">
        <f>IF($J1418="","",SUMIFS('Hours Log'!$D:$D,'Hours Log'!$A:$A,"&gt;="&amp;$J1418,'Hours Log'!$A:$A,"&lt;"&amp;$J1418+7))</f>
        <v/>
      </c>
      <c r="E1418">
        <f>IF($J1418="","",IFERROR(C1418/(B1418*40),0))</f>
        <v/>
      </c>
      <c r="F1418">
        <f>IF($J1418="","",0)</f>
        <v/>
      </c>
      <c r="G1418">
        <f>IF($J1418="","",SUMIFS('Hours Log'!$E:$E,'Hours Log'!$A:$A,"&gt;="&amp;$J1418,'Hours Log'!$A:$A,"&lt;"&amp;$J1418+7))</f>
        <v/>
      </c>
      <c r="J1418">
        <f>IF(COUNT('Hours Log'!$A$4:$A$5000)=0,"",IF(MIN('Hours Log'!$A$4:$A$5000)+7*(ROW()-10)&gt;MAX('Hours Log'!$A$4:$A$5000),"",MIN('Hours Log'!$A$4:$A$5000)+7*(ROW()-10)))</f>
        <v/>
      </c>
    </row>
    <row r="1419">
      <c r="A1419">
        <f>IF($J1419="","",YEAR($J1419-WEEKDAY($J1419,2)+4)&amp;"-W"&amp;TEXT(WEEKNUM($J1419,21),"00"))</f>
        <v/>
      </c>
      <c r="B1419" s="41">
        <f>IF($J1419="","",COUNTIFS(Roster!$D$4:$D$500,"Active",Roster!$C$4:$C$500,"&lt;="&amp;$J1419))</f>
        <v/>
      </c>
      <c r="C1419">
        <f>IF($J1419="","",SUMIFS('Hours Log'!$C:$C,'Hours Log'!$A:$A,"&gt;="&amp;$J1419,'Hours Log'!$A:$A,"&lt;"&amp;$J1419+7)+SUMIFS('Hours Log'!$D:$D,'Hours Log'!$A:$A,"&gt;="&amp;$J1419,'Hours Log'!$A:$A,"&lt;"&amp;$J1419+7))</f>
        <v/>
      </c>
      <c r="D1419">
        <f>IF($J1419="","",SUMIFS('Hours Log'!$D:$D,'Hours Log'!$A:$A,"&gt;="&amp;$J1419,'Hours Log'!$A:$A,"&lt;"&amp;$J1419+7))</f>
        <v/>
      </c>
      <c r="E1419">
        <f>IF($J1419="","",IFERROR(C1419/(B1419*40),0))</f>
        <v/>
      </c>
      <c r="F1419">
        <f>IF($J1419="","",0)</f>
        <v/>
      </c>
      <c r="G1419">
        <f>IF($J1419="","",SUMIFS('Hours Log'!$E:$E,'Hours Log'!$A:$A,"&gt;="&amp;$J1419,'Hours Log'!$A:$A,"&lt;"&amp;$J1419+7))</f>
        <v/>
      </c>
      <c r="J1419">
        <f>IF(COUNT('Hours Log'!$A$4:$A$5000)=0,"",IF(MIN('Hours Log'!$A$4:$A$5000)+7*(ROW()-10)&gt;MAX('Hours Log'!$A$4:$A$5000),"",MIN('Hours Log'!$A$4:$A$5000)+7*(ROW()-10)))</f>
        <v/>
      </c>
    </row>
    <row r="1420">
      <c r="A1420">
        <f>IF($J1420="","",YEAR($J1420-WEEKDAY($J1420,2)+4)&amp;"-W"&amp;TEXT(WEEKNUM($J1420,21),"00"))</f>
        <v/>
      </c>
      <c r="B1420" s="41">
        <f>IF($J1420="","",COUNTIFS(Roster!$D$4:$D$500,"Active",Roster!$C$4:$C$500,"&lt;="&amp;$J1420))</f>
        <v/>
      </c>
      <c r="C1420">
        <f>IF($J1420="","",SUMIFS('Hours Log'!$C:$C,'Hours Log'!$A:$A,"&gt;="&amp;$J1420,'Hours Log'!$A:$A,"&lt;"&amp;$J1420+7)+SUMIFS('Hours Log'!$D:$D,'Hours Log'!$A:$A,"&gt;="&amp;$J1420,'Hours Log'!$A:$A,"&lt;"&amp;$J1420+7))</f>
        <v/>
      </c>
      <c r="D1420">
        <f>IF($J1420="","",SUMIFS('Hours Log'!$D:$D,'Hours Log'!$A:$A,"&gt;="&amp;$J1420,'Hours Log'!$A:$A,"&lt;"&amp;$J1420+7))</f>
        <v/>
      </c>
      <c r="E1420">
        <f>IF($J1420="","",IFERROR(C1420/(B1420*40),0))</f>
        <v/>
      </c>
      <c r="F1420">
        <f>IF($J1420="","",0)</f>
        <v/>
      </c>
      <c r="G1420">
        <f>IF($J1420="","",SUMIFS('Hours Log'!$E:$E,'Hours Log'!$A:$A,"&gt;="&amp;$J1420,'Hours Log'!$A:$A,"&lt;"&amp;$J1420+7))</f>
        <v/>
      </c>
      <c r="J1420">
        <f>IF(COUNT('Hours Log'!$A$4:$A$5000)=0,"",IF(MIN('Hours Log'!$A$4:$A$5000)+7*(ROW()-10)&gt;MAX('Hours Log'!$A$4:$A$5000),"",MIN('Hours Log'!$A$4:$A$5000)+7*(ROW()-10)))</f>
        <v/>
      </c>
    </row>
    <row r="1421">
      <c r="A1421">
        <f>IF($J1421="","",YEAR($J1421-WEEKDAY($J1421,2)+4)&amp;"-W"&amp;TEXT(WEEKNUM($J1421,21),"00"))</f>
        <v/>
      </c>
      <c r="B1421" s="41">
        <f>IF($J1421="","",COUNTIFS(Roster!$D$4:$D$500,"Active",Roster!$C$4:$C$500,"&lt;="&amp;$J1421))</f>
        <v/>
      </c>
      <c r="C1421">
        <f>IF($J1421="","",SUMIFS('Hours Log'!$C:$C,'Hours Log'!$A:$A,"&gt;="&amp;$J1421,'Hours Log'!$A:$A,"&lt;"&amp;$J1421+7)+SUMIFS('Hours Log'!$D:$D,'Hours Log'!$A:$A,"&gt;="&amp;$J1421,'Hours Log'!$A:$A,"&lt;"&amp;$J1421+7))</f>
        <v/>
      </c>
      <c r="D1421">
        <f>IF($J1421="","",SUMIFS('Hours Log'!$D:$D,'Hours Log'!$A:$A,"&gt;="&amp;$J1421,'Hours Log'!$A:$A,"&lt;"&amp;$J1421+7))</f>
        <v/>
      </c>
      <c r="E1421">
        <f>IF($J1421="","",IFERROR(C1421/(B1421*40),0))</f>
        <v/>
      </c>
      <c r="F1421">
        <f>IF($J1421="","",0)</f>
        <v/>
      </c>
      <c r="G1421">
        <f>IF($J1421="","",SUMIFS('Hours Log'!$E:$E,'Hours Log'!$A:$A,"&gt;="&amp;$J1421,'Hours Log'!$A:$A,"&lt;"&amp;$J1421+7))</f>
        <v/>
      </c>
      <c r="J1421">
        <f>IF(COUNT('Hours Log'!$A$4:$A$5000)=0,"",IF(MIN('Hours Log'!$A$4:$A$5000)+7*(ROW()-10)&gt;MAX('Hours Log'!$A$4:$A$5000),"",MIN('Hours Log'!$A$4:$A$5000)+7*(ROW()-10)))</f>
        <v/>
      </c>
    </row>
    <row r="1422">
      <c r="A1422">
        <f>IF($J1422="","",YEAR($J1422-WEEKDAY($J1422,2)+4)&amp;"-W"&amp;TEXT(WEEKNUM($J1422,21),"00"))</f>
        <v/>
      </c>
      <c r="B1422" s="41">
        <f>IF($J1422="","",COUNTIFS(Roster!$D$4:$D$500,"Active",Roster!$C$4:$C$500,"&lt;="&amp;$J1422))</f>
        <v/>
      </c>
      <c r="C1422">
        <f>IF($J1422="","",SUMIFS('Hours Log'!$C:$C,'Hours Log'!$A:$A,"&gt;="&amp;$J1422,'Hours Log'!$A:$A,"&lt;"&amp;$J1422+7)+SUMIFS('Hours Log'!$D:$D,'Hours Log'!$A:$A,"&gt;="&amp;$J1422,'Hours Log'!$A:$A,"&lt;"&amp;$J1422+7))</f>
        <v/>
      </c>
      <c r="D1422">
        <f>IF($J1422="","",SUMIFS('Hours Log'!$D:$D,'Hours Log'!$A:$A,"&gt;="&amp;$J1422,'Hours Log'!$A:$A,"&lt;"&amp;$J1422+7))</f>
        <v/>
      </c>
      <c r="E1422">
        <f>IF($J1422="","",IFERROR(C1422/(B1422*40),0))</f>
        <v/>
      </c>
      <c r="F1422">
        <f>IF($J1422="","",0)</f>
        <v/>
      </c>
      <c r="G1422">
        <f>IF($J1422="","",SUMIFS('Hours Log'!$E:$E,'Hours Log'!$A:$A,"&gt;="&amp;$J1422,'Hours Log'!$A:$A,"&lt;"&amp;$J1422+7))</f>
        <v/>
      </c>
      <c r="J1422">
        <f>IF(COUNT('Hours Log'!$A$4:$A$5000)=0,"",IF(MIN('Hours Log'!$A$4:$A$5000)+7*(ROW()-10)&gt;MAX('Hours Log'!$A$4:$A$5000),"",MIN('Hours Log'!$A$4:$A$5000)+7*(ROW()-10)))</f>
        <v/>
      </c>
    </row>
    <row r="1423">
      <c r="A1423">
        <f>IF($J1423="","",YEAR($J1423-WEEKDAY($J1423,2)+4)&amp;"-W"&amp;TEXT(WEEKNUM($J1423,21),"00"))</f>
        <v/>
      </c>
      <c r="B1423" s="41">
        <f>IF($J1423="","",COUNTIFS(Roster!$D$4:$D$500,"Active",Roster!$C$4:$C$500,"&lt;="&amp;$J1423))</f>
        <v/>
      </c>
      <c r="C1423">
        <f>IF($J1423="","",SUMIFS('Hours Log'!$C:$C,'Hours Log'!$A:$A,"&gt;="&amp;$J1423,'Hours Log'!$A:$A,"&lt;"&amp;$J1423+7)+SUMIFS('Hours Log'!$D:$D,'Hours Log'!$A:$A,"&gt;="&amp;$J1423,'Hours Log'!$A:$A,"&lt;"&amp;$J1423+7))</f>
        <v/>
      </c>
      <c r="D1423">
        <f>IF($J1423="","",SUMIFS('Hours Log'!$D:$D,'Hours Log'!$A:$A,"&gt;="&amp;$J1423,'Hours Log'!$A:$A,"&lt;"&amp;$J1423+7))</f>
        <v/>
      </c>
      <c r="E1423">
        <f>IF($J1423="","",IFERROR(C1423/(B1423*40),0))</f>
        <v/>
      </c>
      <c r="F1423">
        <f>IF($J1423="","",0)</f>
        <v/>
      </c>
      <c r="G1423">
        <f>IF($J1423="","",SUMIFS('Hours Log'!$E:$E,'Hours Log'!$A:$A,"&gt;="&amp;$J1423,'Hours Log'!$A:$A,"&lt;"&amp;$J1423+7))</f>
        <v/>
      </c>
      <c r="J1423">
        <f>IF(COUNT('Hours Log'!$A$4:$A$5000)=0,"",IF(MIN('Hours Log'!$A$4:$A$5000)+7*(ROW()-10)&gt;MAX('Hours Log'!$A$4:$A$5000),"",MIN('Hours Log'!$A$4:$A$5000)+7*(ROW()-10)))</f>
        <v/>
      </c>
    </row>
    <row r="1424">
      <c r="A1424">
        <f>IF($J1424="","",YEAR($J1424-WEEKDAY($J1424,2)+4)&amp;"-W"&amp;TEXT(WEEKNUM($J1424,21),"00"))</f>
        <v/>
      </c>
      <c r="B1424" s="41">
        <f>IF($J1424="","",COUNTIFS(Roster!$D$4:$D$500,"Active",Roster!$C$4:$C$500,"&lt;="&amp;$J1424))</f>
        <v/>
      </c>
      <c r="C1424">
        <f>IF($J1424="","",SUMIFS('Hours Log'!$C:$C,'Hours Log'!$A:$A,"&gt;="&amp;$J1424,'Hours Log'!$A:$A,"&lt;"&amp;$J1424+7)+SUMIFS('Hours Log'!$D:$D,'Hours Log'!$A:$A,"&gt;="&amp;$J1424,'Hours Log'!$A:$A,"&lt;"&amp;$J1424+7))</f>
        <v/>
      </c>
      <c r="D1424">
        <f>IF($J1424="","",SUMIFS('Hours Log'!$D:$D,'Hours Log'!$A:$A,"&gt;="&amp;$J1424,'Hours Log'!$A:$A,"&lt;"&amp;$J1424+7))</f>
        <v/>
      </c>
      <c r="E1424">
        <f>IF($J1424="","",IFERROR(C1424/(B1424*40),0))</f>
        <v/>
      </c>
      <c r="F1424">
        <f>IF($J1424="","",0)</f>
        <v/>
      </c>
      <c r="G1424">
        <f>IF($J1424="","",SUMIFS('Hours Log'!$E:$E,'Hours Log'!$A:$A,"&gt;="&amp;$J1424,'Hours Log'!$A:$A,"&lt;"&amp;$J1424+7))</f>
        <v/>
      </c>
      <c r="J1424">
        <f>IF(COUNT('Hours Log'!$A$4:$A$5000)=0,"",IF(MIN('Hours Log'!$A$4:$A$5000)+7*(ROW()-10)&gt;MAX('Hours Log'!$A$4:$A$5000),"",MIN('Hours Log'!$A$4:$A$5000)+7*(ROW()-10)))</f>
        <v/>
      </c>
    </row>
    <row r="1425">
      <c r="A1425">
        <f>IF($J1425="","",YEAR($J1425-WEEKDAY($J1425,2)+4)&amp;"-W"&amp;TEXT(WEEKNUM($J1425,21),"00"))</f>
        <v/>
      </c>
      <c r="B1425" s="41">
        <f>IF($J1425="","",COUNTIFS(Roster!$D$4:$D$500,"Active",Roster!$C$4:$C$500,"&lt;="&amp;$J1425))</f>
        <v/>
      </c>
      <c r="C1425">
        <f>IF($J1425="","",SUMIFS('Hours Log'!$C:$C,'Hours Log'!$A:$A,"&gt;="&amp;$J1425,'Hours Log'!$A:$A,"&lt;"&amp;$J1425+7)+SUMIFS('Hours Log'!$D:$D,'Hours Log'!$A:$A,"&gt;="&amp;$J1425,'Hours Log'!$A:$A,"&lt;"&amp;$J1425+7))</f>
        <v/>
      </c>
      <c r="D1425">
        <f>IF($J1425="","",SUMIFS('Hours Log'!$D:$D,'Hours Log'!$A:$A,"&gt;="&amp;$J1425,'Hours Log'!$A:$A,"&lt;"&amp;$J1425+7))</f>
        <v/>
      </c>
      <c r="E1425">
        <f>IF($J1425="","",IFERROR(C1425/(B1425*40),0))</f>
        <v/>
      </c>
      <c r="F1425">
        <f>IF($J1425="","",0)</f>
        <v/>
      </c>
      <c r="G1425">
        <f>IF($J1425="","",SUMIFS('Hours Log'!$E:$E,'Hours Log'!$A:$A,"&gt;="&amp;$J1425,'Hours Log'!$A:$A,"&lt;"&amp;$J1425+7))</f>
        <v/>
      </c>
      <c r="J1425">
        <f>IF(COUNT('Hours Log'!$A$4:$A$5000)=0,"",IF(MIN('Hours Log'!$A$4:$A$5000)+7*(ROW()-10)&gt;MAX('Hours Log'!$A$4:$A$5000),"",MIN('Hours Log'!$A$4:$A$5000)+7*(ROW()-10)))</f>
        <v/>
      </c>
    </row>
    <row r="1426">
      <c r="A1426">
        <f>IF($J1426="","",YEAR($J1426-WEEKDAY($J1426,2)+4)&amp;"-W"&amp;TEXT(WEEKNUM($J1426,21),"00"))</f>
        <v/>
      </c>
      <c r="B1426" s="41">
        <f>IF($J1426="","",COUNTIFS(Roster!$D$4:$D$500,"Active",Roster!$C$4:$C$500,"&lt;="&amp;$J1426))</f>
        <v/>
      </c>
      <c r="C1426">
        <f>IF($J1426="","",SUMIFS('Hours Log'!$C:$C,'Hours Log'!$A:$A,"&gt;="&amp;$J1426,'Hours Log'!$A:$A,"&lt;"&amp;$J1426+7)+SUMIFS('Hours Log'!$D:$D,'Hours Log'!$A:$A,"&gt;="&amp;$J1426,'Hours Log'!$A:$A,"&lt;"&amp;$J1426+7))</f>
        <v/>
      </c>
      <c r="D1426">
        <f>IF($J1426="","",SUMIFS('Hours Log'!$D:$D,'Hours Log'!$A:$A,"&gt;="&amp;$J1426,'Hours Log'!$A:$A,"&lt;"&amp;$J1426+7))</f>
        <v/>
      </c>
      <c r="E1426">
        <f>IF($J1426="","",IFERROR(C1426/(B1426*40),0))</f>
        <v/>
      </c>
      <c r="F1426">
        <f>IF($J1426="","",0)</f>
        <v/>
      </c>
      <c r="G1426">
        <f>IF($J1426="","",SUMIFS('Hours Log'!$E:$E,'Hours Log'!$A:$A,"&gt;="&amp;$J1426,'Hours Log'!$A:$A,"&lt;"&amp;$J1426+7))</f>
        <v/>
      </c>
      <c r="J1426">
        <f>IF(COUNT('Hours Log'!$A$4:$A$5000)=0,"",IF(MIN('Hours Log'!$A$4:$A$5000)+7*(ROW()-10)&gt;MAX('Hours Log'!$A$4:$A$5000),"",MIN('Hours Log'!$A$4:$A$5000)+7*(ROW()-10)))</f>
        <v/>
      </c>
    </row>
    <row r="1427">
      <c r="A1427">
        <f>IF($J1427="","",YEAR($J1427-WEEKDAY($J1427,2)+4)&amp;"-W"&amp;TEXT(WEEKNUM($J1427,21),"00"))</f>
        <v/>
      </c>
      <c r="B1427" s="41">
        <f>IF($J1427="","",COUNTIFS(Roster!$D$4:$D$500,"Active",Roster!$C$4:$C$500,"&lt;="&amp;$J1427))</f>
        <v/>
      </c>
      <c r="C1427">
        <f>IF($J1427="","",SUMIFS('Hours Log'!$C:$C,'Hours Log'!$A:$A,"&gt;="&amp;$J1427,'Hours Log'!$A:$A,"&lt;"&amp;$J1427+7)+SUMIFS('Hours Log'!$D:$D,'Hours Log'!$A:$A,"&gt;="&amp;$J1427,'Hours Log'!$A:$A,"&lt;"&amp;$J1427+7))</f>
        <v/>
      </c>
      <c r="D1427">
        <f>IF($J1427="","",SUMIFS('Hours Log'!$D:$D,'Hours Log'!$A:$A,"&gt;="&amp;$J1427,'Hours Log'!$A:$A,"&lt;"&amp;$J1427+7))</f>
        <v/>
      </c>
      <c r="E1427">
        <f>IF($J1427="","",IFERROR(C1427/(B1427*40),0))</f>
        <v/>
      </c>
      <c r="F1427">
        <f>IF($J1427="","",0)</f>
        <v/>
      </c>
      <c r="G1427">
        <f>IF($J1427="","",SUMIFS('Hours Log'!$E:$E,'Hours Log'!$A:$A,"&gt;="&amp;$J1427,'Hours Log'!$A:$A,"&lt;"&amp;$J1427+7))</f>
        <v/>
      </c>
      <c r="J1427">
        <f>IF(COUNT('Hours Log'!$A$4:$A$5000)=0,"",IF(MIN('Hours Log'!$A$4:$A$5000)+7*(ROW()-10)&gt;MAX('Hours Log'!$A$4:$A$5000),"",MIN('Hours Log'!$A$4:$A$5000)+7*(ROW()-10)))</f>
        <v/>
      </c>
    </row>
    <row r="1428">
      <c r="A1428">
        <f>IF($J1428="","",YEAR($J1428-WEEKDAY($J1428,2)+4)&amp;"-W"&amp;TEXT(WEEKNUM($J1428,21),"00"))</f>
        <v/>
      </c>
      <c r="B1428" s="41">
        <f>IF($J1428="","",COUNTIFS(Roster!$D$4:$D$500,"Active",Roster!$C$4:$C$500,"&lt;="&amp;$J1428))</f>
        <v/>
      </c>
      <c r="C1428">
        <f>IF($J1428="","",SUMIFS('Hours Log'!$C:$C,'Hours Log'!$A:$A,"&gt;="&amp;$J1428,'Hours Log'!$A:$A,"&lt;"&amp;$J1428+7)+SUMIFS('Hours Log'!$D:$D,'Hours Log'!$A:$A,"&gt;="&amp;$J1428,'Hours Log'!$A:$A,"&lt;"&amp;$J1428+7))</f>
        <v/>
      </c>
      <c r="D1428">
        <f>IF($J1428="","",SUMIFS('Hours Log'!$D:$D,'Hours Log'!$A:$A,"&gt;="&amp;$J1428,'Hours Log'!$A:$A,"&lt;"&amp;$J1428+7))</f>
        <v/>
      </c>
      <c r="E1428">
        <f>IF($J1428="","",IFERROR(C1428/(B1428*40),0))</f>
        <v/>
      </c>
      <c r="F1428">
        <f>IF($J1428="","",0)</f>
        <v/>
      </c>
      <c r="G1428">
        <f>IF($J1428="","",SUMIFS('Hours Log'!$E:$E,'Hours Log'!$A:$A,"&gt;="&amp;$J1428,'Hours Log'!$A:$A,"&lt;"&amp;$J1428+7))</f>
        <v/>
      </c>
      <c r="J1428">
        <f>IF(COUNT('Hours Log'!$A$4:$A$5000)=0,"",IF(MIN('Hours Log'!$A$4:$A$5000)+7*(ROW()-10)&gt;MAX('Hours Log'!$A$4:$A$5000),"",MIN('Hours Log'!$A$4:$A$5000)+7*(ROW()-10)))</f>
        <v/>
      </c>
    </row>
    <row r="1429">
      <c r="A1429">
        <f>IF($J1429="","",YEAR($J1429-WEEKDAY($J1429,2)+4)&amp;"-W"&amp;TEXT(WEEKNUM($J1429,21),"00"))</f>
        <v/>
      </c>
      <c r="B1429" s="41">
        <f>IF($J1429="","",COUNTIFS(Roster!$D$4:$D$500,"Active",Roster!$C$4:$C$500,"&lt;="&amp;$J1429))</f>
        <v/>
      </c>
      <c r="C1429">
        <f>IF($J1429="","",SUMIFS('Hours Log'!$C:$C,'Hours Log'!$A:$A,"&gt;="&amp;$J1429,'Hours Log'!$A:$A,"&lt;"&amp;$J1429+7)+SUMIFS('Hours Log'!$D:$D,'Hours Log'!$A:$A,"&gt;="&amp;$J1429,'Hours Log'!$A:$A,"&lt;"&amp;$J1429+7))</f>
        <v/>
      </c>
      <c r="D1429">
        <f>IF($J1429="","",SUMIFS('Hours Log'!$D:$D,'Hours Log'!$A:$A,"&gt;="&amp;$J1429,'Hours Log'!$A:$A,"&lt;"&amp;$J1429+7))</f>
        <v/>
      </c>
      <c r="E1429">
        <f>IF($J1429="","",IFERROR(C1429/(B1429*40),0))</f>
        <v/>
      </c>
      <c r="F1429">
        <f>IF($J1429="","",0)</f>
        <v/>
      </c>
      <c r="G1429">
        <f>IF($J1429="","",SUMIFS('Hours Log'!$E:$E,'Hours Log'!$A:$A,"&gt;="&amp;$J1429,'Hours Log'!$A:$A,"&lt;"&amp;$J1429+7))</f>
        <v/>
      </c>
      <c r="J1429">
        <f>IF(COUNT('Hours Log'!$A$4:$A$5000)=0,"",IF(MIN('Hours Log'!$A$4:$A$5000)+7*(ROW()-10)&gt;MAX('Hours Log'!$A$4:$A$5000),"",MIN('Hours Log'!$A$4:$A$5000)+7*(ROW()-10)))</f>
        <v/>
      </c>
    </row>
    <row r="1430">
      <c r="A1430">
        <f>IF($J1430="","",YEAR($J1430-WEEKDAY($J1430,2)+4)&amp;"-W"&amp;TEXT(WEEKNUM($J1430,21),"00"))</f>
        <v/>
      </c>
      <c r="B1430" s="41">
        <f>IF($J1430="","",COUNTIFS(Roster!$D$4:$D$500,"Active",Roster!$C$4:$C$500,"&lt;="&amp;$J1430))</f>
        <v/>
      </c>
      <c r="C1430">
        <f>IF($J1430="","",SUMIFS('Hours Log'!$C:$C,'Hours Log'!$A:$A,"&gt;="&amp;$J1430,'Hours Log'!$A:$A,"&lt;"&amp;$J1430+7)+SUMIFS('Hours Log'!$D:$D,'Hours Log'!$A:$A,"&gt;="&amp;$J1430,'Hours Log'!$A:$A,"&lt;"&amp;$J1430+7))</f>
        <v/>
      </c>
      <c r="D1430">
        <f>IF($J1430="","",SUMIFS('Hours Log'!$D:$D,'Hours Log'!$A:$A,"&gt;="&amp;$J1430,'Hours Log'!$A:$A,"&lt;"&amp;$J1430+7))</f>
        <v/>
      </c>
      <c r="E1430">
        <f>IF($J1430="","",IFERROR(C1430/(B1430*40),0))</f>
        <v/>
      </c>
      <c r="F1430">
        <f>IF($J1430="","",0)</f>
        <v/>
      </c>
      <c r="G1430">
        <f>IF($J1430="","",SUMIFS('Hours Log'!$E:$E,'Hours Log'!$A:$A,"&gt;="&amp;$J1430,'Hours Log'!$A:$A,"&lt;"&amp;$J1430+7))</f>
        <v/>
      </c>
      <c r="J1430">
        <f>IF(COUNT('Hours Log'!$A$4:$A$5000)=0,"",IF(MIN('Hours Log'!$A$4:$A$5000)+7*(ROW()-10)&gt;MAX('Hours Log'!$A$4:$A$5000),"",MIN('Hours Log'!$A$4:$A$5000)+7*(ROW()-10)))</f>
        <v/>
      </c>
    </row>
    <row r="1431">
      <c r="A1431">
        <f>IF($J1431="","",YEAR($J1431-WEEKDAY($J1431,2)+4)&amp;"-W"&amp;TEXT(WEEKNUM($J1431,21),"00"))</f>
        <v/>
      </c>
      <c r="B1431" s="41">
        <f>IF($J1431="","",COUNTIFS(Roster!$D$4:$D$500,"Active",Roster!$C$4:$C$500,"&lt;="&amp;$J1431))</f>
        <v/>
      </c>
      <c r="C1431">
        <f>IF($J1431="","",SUMIFS('Hours Log'!$C:$C,'Hours Log'!$A:$A,"&gt;="&amp;$J1431,'Hours Log'!$A:$A,"&lt;"&amp;$J1431+7)+SUMIFS('Hours Log'!$D:$D,'Hours Log'!$A:$A,"&gt;="&amp;$J1431,'Hours Log'!$A:$A,"&lt;"&amp;$J1431+7))</f>
        <v/>
      </c>
      <c r="D1431">
        <f>IF($J1431="","",SUMIFS('Hours Log'!$D:$D,'Hours Log'!$A:$A,"&gt;="&amp;$J1431,'Hours Log'!$A:$A,"&lt;"&amp;$J1431+7))</f>
        <v/>
      </c>
      <c r="E1431">
        <f>IF($J1431="","",IFERROR(C1431/(B1431*40),0))</f>
        <v/>
      </c>
      <c r="F1431">
        <f>IF($J1431="","",0)</f>
        <v/>
      </c>
      <c r="G1431">
        <f>IF($J1431="","",SUMIFS('Hours Log'!$E:$E,'Hours Log'!$A:$A,"&gt;="&amp;$J1431,'Hours Log'!$A:$A,"&lt;"&amp;$J1431+7))</f>
        <v/>
      </c>
      <c r="J1431">
        <f>IF(COUNT('Hours Log'!$A$4:$A$5000)=0,"",IF(MIN('Hours Log'!$A$4:$A$5000)+7*(ROW()-10)&gt;MAX('Hours Log'!$A$4:$A$5000),"",MIN('Hours Log'!$A$4:$A$5000)+7*(ROW()-10)))</f>
        <v/>
      </c>
    </row>
    <row r="1432">
      <c r="A1432">
        <f>IF($J1432="","",YEAR($J1432-WEEKDAY($J1432,2)+4)&amp;"-W"&amp;TEXT(WEEKNUM($J1432,21),"00"))</f>
        <v/>
      </c>
      <c r="B1432" s="41">
        <f>IF($J1432="","",COUNTIFS(Roster!$D$4:$D$500,"Active",Roster!$C$4:$C$500,"&lt;="&amp;$J1432))</f>
        <v/>
      </c>
      <c r="C1432">
        <f>IF($J1432="","",SUMIFS('Hours Log'!$C:$C,'Hours Log'!$A:$A,"&gt;="&amp;$J1432,'Hours Log'!$A:$A,"&lt;"&amp;$J1432+7)+SUMIFS('Hours Log'!$D:$D,'Hours Log'!$A:$A,"&gt;="&amp;$J1432,'Hours Log'!$A:$A,"&lt;"&amp;$J1432+7))</f>
        <v/>
      </c>
      <c r="D1432">
        <f>IF($J1432="","",SUMIFS('Hours Log'!$D:$D,'Hours Log'!$A:$A,"&gt;="&amp;$J1432,'Hours Log'!$A:$A,"&lt;"&amp;$J1432+7))</f>
        <v/>
      </c>
      <c r="E1432">
        <f>IF($J1432="","",IFERROR(C1432/(B1432*40),0))</f>
        <v/>
      </c>
      <c r="F1432">
        <f>IF($J1432="","",0)</f>
        <v/>
      </c>
      <c r="G1432">
        <f>IF($J1432="","",SUMIFS('Hours Log'!$E:$E,'Hours Log'!$A:$A,"&gt;="&amp;$J1432,'Hours Log'!$A:$A,"&lt;"&amp;$J1432+7))</f>
        <v/>
      </c>
      <c r="J1432">
        <f>IF(COUNT('Hours Log'!$A$4:$A$5000)=0,"",IF(MIN('Hours Log'!$A$4:$A$5000)+7*(ROW()-10)&gt;MAX('Hours Log'!$A$4:$A$5000),"",MIN('Hours Log'!$A$4:$A$5000)+7*(ROW()-10)))</f>
        <v/>
      </c>
    </row>
    <row r="1433">
      <c r="A1433">
        <f>IF($J1433="","",YEAR($J1433-WEEKDAY($J1433,2)+4)&amp;"-W"&amp;TEXT(WEEKNUM($J1433,21),"00"))</f>
        <v/>
      </c>
      <c r="B1433" s="41">
        <f>IF($J1433="","",COUNTIFS(Roster!$D$4:$D$500,"Active",Roster!$C$4:$C$500,"&lt;="&amp;$J1433))</f>
        <v/>
      </c>
      <c r="C1433">
        <f>IF($J1433="","",SUMIFS('Hours Log'!$C:$C,'Hours Log'!$A:$A,"&gt;="&amp;$J1433,'Hours Log'!$A:$A,"&lt;"&amp;$J1433+7)+SUMIFS('Hours Log'!$D:$D,'Hours Log'!$A:$A,"&gt;="&amp;$J1433,'Hours Log'!$A:$A,"&lt;"&amp;$J1433+7))</f>
        <v/>
      </c>
      <c r="D1433">
        <f>IF($J1433="","",SUMIFS('Hours Log'!$D:$D,'Hours Log'!$A:$A,"&gt;="&amp;$J1433,'Hours Log'!$A:$A,"&lt;"&amp;$J1433+7))</f>
        <v/>
      </c>
      <c r="E1433">
        <f>IF($J1433="","",IFERROR(C1433/(B1433*40),0))</f>
        <v/>
      </c>
      <c r="F1433">
        <f>IF($J1433="","",0)</f>
        <v/>
      </c>
      <c r="G1433">
        <f>IF($J1433="","",SUMIFS('Hours Log'!$E:$E,'Hours Log'!$A:$A,"&gt;="&amp;$J1433,'Hours Log'!$A:$A,"&lt;"&amp;$J1433+7))</f>
        <v/>
      </c>
      <c r="J1433">
        <f>IF(COUNT('Hours Log'!$A$4:$A$5000)=0,"",IF(MIN('Hours Log'!$A$4:$A$5000)+7*(ROW()-10)&gt;MAX('Hours Log'!$A$4:$A$5000),"",MIN('Hours Log'!$A$4:$A$5000)+7*(ROW()-10)))</f>
        <v/>
      </c>
    </row>
    <row r="1434">
      <c r="A1434">
        <f>IF($J1434="","",YEAR($J1434-WEEKDAY($J1434,2)+4)&amp;"-W"&amp;TEXT(WEEKNUM($J1434,21),"00"))</f>
        <v/>
      </c>
      <c r="B1434" s="41">
        <f>IF($J1434="","",COUNTIFS(Roster!$D$4:$D$500,"Active",Roster!$C$4:$C$500,"&lt;="&amp;$J1434))</f>
        <v/>
      </c>
      <c r="C1434">
        <f>IF($J1434="","",SUMIFS('Hours Log'!$C:$C,'Hours Log'!$A:$A,"&gt;="&amp;$J1434,'Hours Log'!$A:$A,"&lt;"&amp;$J1434+7)+SUMIFS('Hours Log'!$D:$D,'Hours Log'!$A:$A,"&gt;="&amp;$J1434,'Hours Log'!$A:$A,"&lt;"&amp;$J1434+7))</f>
        <v/>
      </c>
      <c r="D1434">
        <f>IF($J1434="","",SUMIFS('Hours Log'!$D:$D,'Hours Log'!$A:$A,"&gt;="&amp;$J1434,'Hours Log'!$A:$A,"&lt;"&amp;$J1434+7))</f>
        <v/>
      </c>
      <c r="E1434">
        <f>IF($J1434="","",IFERROR(C1434/(B1434*40),0))</f>
        <v/>
      </c>
      <c r="F1434">
        <f>IF($J1434="","",0)</f>
        <v/>
      </c>
      <c r="G1434">
        <f>IF($J1434="","",SUMIFS('Hours Log'!$E:$E,'Hours Log'!$A:$A,"&gt;="&amp;$J1434,'Hours Log'!$A:$A,"&lt;"&amp;$J1434+7))</f>
        <v/>
      </c>
      <c r="J1434">
        <f>IF(COUNT('Hours Log'!$A$4:$A$5000)=0,"",IF(MIN('Hours Log'!$A$4:$A$5000)+7*(ROW()-10)&gt;MAX('Hours Log'!$A$4:$A$5000),"",MIN('Hours Log'!$A$4:$A$5000)+7*(ROW()-10)))</f>
        <v/>
      </c>
    </row>
    <row r="1435">
      <c r="A1435">
        <f>IF($J1435="","",YEAR($J1435-WEEKDAY($J1435,2)+4)&amp;"-W"&amp;TEXT(WEEKNUM($J1435,21),"00"))</f>
        <v/>
      </c>
      <c r="B1435" s="41">
        <f>IF($J1435="","",COUNTIFS(Roster!$D$4:$D$500,"Active",Roster!$C$4:$C$500,"&lt;="&amp;$J1435))</f>
        <v/>
      </c>
      <c r="C1435">
        <f>IF($J1435="","",SUMIFS('Hours Log'!$C:$C,'Hours Log'!$A:$A,"&gt;="&amp;$J1435,'Hours Log'!$A:$A,"&lt;"&amp;$J1435+7)+SUMIFS('Hours Log'!$D:$D,'Hours Log'!$A:$A,"&gt;="&amp;$J1435,'Hours Log'!$A:$A,"&lt;"&amp;$J1435+7))</f>
        <v/>
      </c>
      <c r="D1435">
        <f>IF($J1435="","",SUMIFS('Hours Log'!$D:$D,'Hours Log'!$A:$A,"&gt;="&amp;$J1435,'Hours Log'!$A:$A,"&lt;"&amp;$J1435+7))</f>
        <v/>
      </c>
      <c r="E1435">
        <f>IF($J1435="","",IFERROR(C1435/(B1435*40),0))</f>
        <v/>
      </c>
      <c r="F1435">
        <f>IF($J1435="","",0)</f>
        <v/>
      </c>
      <c r="G1435">
        <f>IF($J1435="","",SUMIFS('Hours Log'!$E:$E,'Hours Log'!$A:$A,"&gt;="&amp;$J1435,'Hours Log'!$A:$A,"&lt;"&amp;$J1435+7))</f>
        <v/>
      </c>
      <c r="J1435">
        <f>IF(COUNT('Hours Log'!$A$4:$A$5000)=0,"",IF(MIN('Hours Log'!$A$4:$A$5000)+7*(ROW()-10)&gt;MAX('Hours Log'!$A$4:$A$5000),"",MIN('Hours Log'!$A$4:$A$5000)+7*(ROW()-10)))</f>
        <v/>
      </c>
    </row>
    <row r="1436">
      <c r="A1436">
        <f>IF($J1436="","",YEAR($J1436-WEEKDAY($J1436,2)+4)&amp;"-W"&amp;TEXT(WEEKNUM($J1436,21),"00"))</f>
        <v/>
      </c>
      <c r="B1436" s="41">
        <f>IF($J1436="","",COUNTIFS(Roster!$D$4:$D$500,"Active",Roster!$C$4:$C$500,"&lt;="&amp;$J1436))</f>
        <v/>
      </c>
      <c r="C1436">
        <f>IF($J1436="","",SUMIFS('Hours Log'!$C:$C,'Hours Log'!$A:$A,"&gt;="&amp;$J1436,'Hours Log'!$A:$A,"&lt;"&amp;$J1436+7)+SUMIFS('Hours Log'!$D:$D,'Hours Log'!$A:$A,"&gt;="&amp;$J1436,'Hours Log'!$A:$A,"&lt;"&amp;$J1436+7))</f>
        <v/>
      </c>
      <c r="D1436">
        <f>IF($J1436="","",SUMIFS('Hours Log'!$D:$D,'Hours Log'!$A:$A,"&gt;="&amp;$J1436,'Hours Log'!$A:$A,"&lt;"&amp;$J1436+7))</f>
        <v/>
      </c>
      <c r="E1436">
        <f>IF($J1436="","",IFERROR(C1436/(B1436*40),0))</f>
        <v/>
      </c>
      <c r="F1436">
        <f>IF($J1436="","",0)</f>
        <v/>
      </c>
      <c r="G1436">
        <f>IF($J1436="","",SUMIFS('Hours Log'!$E:$E,'Hours Log'!$A:$A,"&gt;="&amp;$J1436,'Hours Log'!$A:$A,"&lt;"&amp;$J1436+7))</f>
        <v/>
      </c>
      <c r="J1436">
        <f>IF(COUNT('Hours Log'!$A$4:$A$5000)=0,"",IF(MIN('Hours Log'!$A$4:$A$5000)+7*(ROW()-10)&gt;MAX('Hours Log'!$A$4:$A$5000),"",MIN('Hours Log'!$A$4:$A$5000)+7*(ROW()-10)))</f>
        <v/>
      </c>
    </row>
    <row r="1437">
      <c r="A1437">
        <f>IF($J1437="","",YEAR($J1437-WEEKDAY($J1437,2)+4)&amp;"-W"&amp;TEXT(WEEKNUM($J1437,21),"00"))</f>
        <v/>
      </c>
      <c r="B1437" s="41">
        <f>IF($J1437="","",COUNTIFS(Roster!$D$4:$D$500,"Active",Roster!$C$4:$C$500,"&lt;="&amp;$J1437))</f>
        <v/>
      </c>
      <c r="C1437">
        <f>IF($J1437="","",SUMIFS('Hours Log'!$C:$C,'Hours Log'!$A:$A,"&gt;="&amp;$J1437,'Hours Log'!$A:$A,"&lt;"&amp;$J1437+7)+SUMIFS('Hours Log'!$D:$D,'Hours Log'!$A:$A,"&gt;="&amp;$J1437,'Hours Log'!$A:$A,"&lt;"&amp;$J1437+7))</f>
        <v/>
      </c>
      <c r="D1437">
        <f>IF($J1437="","",SUMIFS('Hours Log'!$D:$D,'Hours Log'!$A:$A,"&gt;="&amp;$J1437,'Hours Log'!$A:$A,"&lt;"&amp;$J1437+7))</f>
        <v/>
      </c>
      <c r="E1437">
        <f>IF($J1437="","",IFERROR(C1437/(B1437*40),0))</f>
        <v/>
      </c>
      <c r="F1437">
        <f>IF($J1437="","",0)</f>
        <v/>
      </c>
      <c r="G1437">
        <f>IF($J1437="","",SUMIFS('Hours Log'!$E:$E,'Hours Log'!$A:$A,"&gt;="&amp;$J1437,'Hours Log'!$A:$A,"&lt;"&amp;$J1437+7))</f>
        <v/>
      </c>
      <c r="J1437">
        <f>IF(COUNT('Hours Log'!$A$4:$A$5000)=0,"",IF(MIN('Hours Log'!$A$4:$A$5000)+7*(ROW()-10)&gt;MAX('Hours Log'!$A$4:$A$5000),"",MIN('Hours Log'!$A$4:$A$5000)+7*(ROW()-10)))</f>
        <v/>
      </c>
    </row>
    <row r="1438">
      <c r="A1438">
        <f>IF($J1438="","",YEAR($J1438-WEEKDAY($J1438,2)+4)&amp;"-W"&amp;TEXT(WEEKNUM($J1438,21),"00"))</f>
        <v/>
      </c>
      <c r="B1438" s="41">
        <f>IF($J1438="","",COUNTIFS(Roster!$D$4:$D$500,"Active",Roster!$C$4:$C$500,"&lt;="&amp;$J1438))</f>
        <v/>
      </c>
      <c r="C1438">
        <f>IF($J1438="","",SUMIFS('Hours Log'!$C:$C,'Hours Log'!$A:$A,"&gt;="&amp;$J1438,'Hours Log'!$A:$A,"&lt;"&amp;$J1438+7)+SUMIFS('Hours Log'!$D:$D,'Hours Log'!$A:$A,"&gt;="&amp;$J1438,'Hours Log'!$A:$A,"&lt;"&amp;$J1438+7))</f>
        <v/>
      </c>
      <c r="D1438">
        <f>IF($J1438="","",SUMIFS('Hours Log'!$D:$D,'Hours Log'!$A:$A,"&gt;="&amp;$J1438,'Hours Log'!$A:$A,"&lt;"&amp;$J1438+7))</f>
        <v/>
      </c>
      <c r="E1438">
        <f>IF($J1438="","",IFERROR(C1438/(B1438*40),0))</f>
        <v/>
      </c>
      <c r="F1438">
        <f>IF($J1438="","",0)</f>
        <v/>
      </c>
      <c r="G1438">
        <f>IF($J1438="","",SUMIFS('Hours Log'!$E:$E,'Hours Log'!$A:$A,"&gt;="&amp;$J1438,'Hours Log'!$A:$A,"&lt;"&amp;$J1438+7))</f>
        <v/>
      </c>
      <c r="J1438">
        <f>IF(COUNT('Hours Log'!$A$4:$A$5000)=0,"",IF(MIN('Hours Log'!$A$4:$A$5000)+7*(ROW()-10)&gt;MAX('Hours Log'!$A$4:$A$5000),"",MIN('Hours Log'!$A$4:$A$5000)+7*(ROW()-10)))</f>
        <v/>
      </c>
    </row>
    <row r="1439">
      <c r="A1439">
        <f>IF($J1439="","",YEAR($J1439-WEEKDAY($J1439,2)+4)&amp;"-W"&amp;TEXT(WEEKNUM($J1439,21),"00"))</f>
        <v/>
      </c>
      <c r="B1439" s="41">
        <f>IF($J1439="","",COUNTIFS(Roster!$D$4:$D$500,"Active",Roster!$C$4:$C$500,"&lt;="&amp;$J1439))</f>
        <v/>
      </c>
      <c r="C1439">
        <f>IF($J1439="","",SUMIFS('Hours Log'!$C:$C,'Hours Log'!$A:$A,"&gt;="&amp;$J1439,'Hours Log'!$A:$A,"&lt;"&amp;$J1439+7)+SUMIFS('Hours Log'!$D:$D,'Hours Log'!$A:$A,"&gt;="&amp;$J1439,'Hours Log'!$A:$A,"&lt;"&amp;$J1439+7))</f>
        <v/>
      </c>
      <c r="D1439">
        <f>IF($J1439="","",SUMIFS('Hours Log'!$D:$D,'Hours Log'!$A:$A,"&gt;="&amp;$J1439,'Hours Log'!$A:$A,"&lt;"&amp;$J1439+7))</f>
        <v/>
      </c>
      <c r="E1439">
        <f>IF($J1439="","",IFERROR(C1439/(B1439*40),0))</f>
        <v/>
      </c>
      <c r="F1439">
        <f>IF($J1439="","",0)</f>
        <v/>
      </c>
      <c r="G1439">
        <f>IF($J1439="","",SUMIFS('Hours Log'!$E:$E,'Hours Log'!$A:$A,"&gt;="&amp;$J1439,'Hours Log'!$A:$A,"&lt;"&amp;$J1439+7))</f>
        <v/>
      </c>
      <c r="J1439">
        <f>IF(COUNT('Hours Log'!$A$4:$A$5000)=0,"",IF(MIN('Hours Log'!$A$4:$A$5000)+7*(ROW()-10)&gt;MAX('Hours Log'!$A$4:$A$5000),"",MIN('Hours Log'!$A$4:$A$5000)+7*(ROW()-10)))</f>
        <v/>
      </c>
    </row>
    <row r="1440">
      <c r="A1440">
        <f>IF($J1440="","",YEAR($J1440-WEEKDAY($J1440,2)+4)&amp;"-W"&amp;TEXT(WEEKNUM($J1440,21),"00"))</f>
        <v/>
      </c>
      <c r="B1440" s="41">
        <f>IF($J1440="","",COUNTIFS(Roster!$D$4:$D$500,"Active",Roster!$C$4:$C$500,"&lt;="&amp;$J1440))</f>
        <v/>
      </c>
      <c r="C1440">
        <f>IF($J1440="","",SUMIFS('Hours Log'!$C:$C,'Hours Log'!$A:$A,"&gt;="&amp;$J1440,'Hours Log'!$A:$A,"&lt;"&amp;$J1440+7)+SUMIFS('Hours Log'!$D:$D,'Hours Log'!$A:$A,"&gt;="&amp;$J1440,'Hours Log'!$A:$A,"&lt;"&amp;$J1440+7))</f>
        <v/>
      </c>
      <c r="D1440">
        <f>IF($J1440="","",SUMIFS('Hours Log'!$D:$D,'Hours Log'!$A:$A,"&gt;="&amp;$J1440,'Hours Log'!$A:$A,"&lt;"&amp;$J1440+7))</f>
        <v/>
      </c>
      <c r="E1440">
        <f>IF($J1440="","",IFERROR(C1440/(B1440*40),0))</f>
        <v/>
      </c>
      <c r="F1440">
        <f>IF($J1440="","",0)</f>
        <v/>
      </c>
      <c r="G1440">
        <f>IF($J1440="","",SUMIFS('Hours Log'!$E:$E,'Hours Log'!$A:$A,"&gt;="&amp;$J1440,'Hours Log'!$A:$A,"&lt;"&amp;$J1440+7))</f>
        <v/>
      </c>
      <c r="J1440">
        <f>IF(COUNT('Hours Log'!$A$4:$A$5000)=0,"",IF(MIN('Hours Log'!$A$4:$A$5000)+7*(ROW()-10)&gt;MAX('Hours Log'!$A$4:$A$5000),"",MIN('Hours Log'!$A$4:$A$5000)+7*(ROW()-10)))</f>
        <v/>
      </c>
    </row>
    <row r="1441">
      <c r="A1441">
        <f>IF($J1441="","",YEAR($J1441-WEEKDAY($J1441,2)+4)&amp;"-W"&amp;TEXT(WEEKNUM($J1441,21),"00"))</f>
        <v/>
      </c>
      <c r="B1441" s="41">
        <f>IF($J1441="","",COUNTIFS(Roster!$D$4:$D$500,"Active",Roster!$C$4:$C$500,"&lt;="&amp;$J1441))</f>
        <v/>
      </c>
      <c r="C1441">
        <f>IF($J1441="","",SUMIFS('Hours Log'!$C:$C,'Hours Log'!$A:$A,"&gt;="&amp;$J1441,'Hours Log'!$A:$A,"&lt;"&amp;$J1441+7)+SUMIFS('Hours Log'!$D:$D,'Hours Log'!$A:$A,"&gt;="&amp;$J1441,'Hours Log'!$A:$A,"&lt;"&amp;$J1441+7))</f>
        <v/>
      </c>
      <c r="D1441">
        <f>IF($J1441="","",SUMIFS('Hours Log'!$D:$D,'Hours Log'!$A:$A,"&gt;="&amp;$J1441,'Hours Log'!$A:$A,"&lt;"&amp;$J1441+7))</f>
        <v/>
      </c>
      <c r="E1441">
        <f>IF($J1441="","",IFERROR(C1441/(B1441*40),0))</f>
        <v/>
      </c>
      <c r="F1441">
        <f>IF($J1441="","",0)</f>
        <v/>
      </c>
      <c r="G1441">
        <f>IF($J1441="","",SUMIFS('Hours Log'!$E:$E,'Hours Log'!$A:$A,"&gt;="&amp;$J1441,'Hours Log'!$A:$A,"&lt;"&amp;$J1441+7))</f>
        <v/>
      </c>
      <c r="J1441">
        <f>IF(COUNT('Hours Log'!$A$4:$A$5000)=0,"",IF(MIN('Hours Log'!$A$4:$A$5000)+7*(ROW()-10)&gt;MAX('Hours Log'!$A$4:$A$5000),"",MIN('Hours Log'!$A$4:$A$5000)+7*(ROW()-10)))</f>
        <v/>
      </c>
    </row>
    <row r="1442">
      <c r="A1442">
        <f>IF($J1442="","",YEAR($J1442-WEEKDAY($J1442,2)+4)&amp;"-W"&amp;TEXT(WEEKNUM($J1442,21),"00"))</f>
        <v/>
      </c>
      <c r="B1442" s="41">
        <f>IF($J1442="","",COUNTIFS(Roster!$D$4:$D$500,"Active",Roster!$C$4:$C$500,"&lt;="&amp;$J1442))</f>
        <v/>
      </c>
      <c r="C1442">
        <f>IF($J1442="","",SUMIFS('Hours Log'!$C:$C,'Hours Log'!$A:$A,"&gt;="&amp;$J1442,'Hours Log'!$A:$A,"&lt;"&amp;$J1442+7)+SUMIFS('Hours Log'!$D:$D,'Hours Log'!$A:$A,"&gt;="&amp;$J1442,'Hours Log'!$A:$A,"&lt;"&amp;$J1442+7))</f>
        <v/>
      </c>
      <c r="D1442">
        <f>IF($J1442="","",SUMIFS('Hours Log'!$D:$D,'Hours Log'!$A:$A,"&gt;="&amp;$J1442,'Hours Log'!$A:$A,"&lt;"&amp;$J1442+7))</f>
        <v/>
      </c>
      <c r="E1442">
        <f>IF($J1442="","",IFERROR(C1442/(B1442*40),0))</f>
        <v/>
      </c>
      <c r="F1442">
        <f>IF($J1442="","",0)</f>
        <v/>
      </c>
      <c r="G1442">
        <f>IF($J1442="","",SUMIFS('Hours Log'!$E:$E,'Hours Log'!$A:$A,"&gt;="&amp;$J1442,'Hours Log'!$A:$A,"&lt;"&amp;$J1442+7))</f>
        <v/>
      </c>
      <c r="J1442">
        <f>IF(COUNT('Hours Log'!$A$4:$A$5000)=0,"",IF(MIN('Hours Log'!$A$4:$A$5000)+7*(ROW()-10)&gt;MAX('Hours Log'!$A$4:$A$5000),"",MIN('Hours Log'!$A$4:$A$5000)+7*(ROW()-10)))</f>
        <v/>
      </c>
    </row>
    <row r="1443">
      <c r="A1443">
        <f>IF($J1443="","",YEAR($J1443-WEEKDAY($J1443,2)+4)&amp;"-W"&amp;TEXT(WEEKNUM($J1443,21),"00"))</f>
        <v/>
      </c>
      <c r="B1443" s="41">
        <f>IF($J1443="","",COUNTIFS(Roster!$D$4:$D$500,"Active",Roster!$C$4:$C$500,"&lt;="&amp;$J1443))</f>
        <v/>
      </c>
      <c r="C1443">
        <f>IF($J1443="","",SUMIFS('Hours Log'!$C:$C,'Hours Log'!$A:$A,"&gt;="&amp;$J1443,'Hours Log'!$A:$A,"&lt;"&amp;$J1443+7)+SUMIFS('Hours Log'!$D:$D,'Hours Log'!$A:$A,"&gt;="&amp;$J1443,'Hours Log'!$A:$A,"&lt;"&amp;$J1443+7))</f>
        <v/>
      </c>
      <c r="D1443">
        <f>IF($J1443="","",SUMIFS('Hours Log'!$D:$D,'Hours Log'!$A:$A,"&gt;="&amp;$J1443,'Hours Log'!$A:$A,"&lt;"&amp;$J1443+7))</f>
        <v/>
      </c>
      <c r="E1443">
        <f>IF($J1443="","",IFERROR(C1443/(B1443*40),0))</f>
        <v/>
      </c>
      <c r="F1443">
        <f>IF($J1443="","",0)</f>
        <v/>
      </c>
      <c r="G1443">
        <f>IF($J1443="","",SUMIFS('Hours Log'!$E:$E,'Hours Log'!$A:$A,"&gt;="&amp;$J1443,'Hours Log'!$A:$A,"&lt;"&amp;$J1443+7))</f>
        <v/>
      </c>
      <c r="J1443">
        <f>IF(COUNT('Hours Log'!$A$4:$A$5000)=0,"",IF(MIN('Hours Log'!$A$4:$A$5000)+7*(ROW()-10)&gt;MAX('Hours Log'!$A$4:$A$5000),"",MIN('Hours Log'!$A$4:$A$5000)+7*(ROW()-10)))</f>
        <v/>
      </c>
    </row>
    <row r="1444">
      <c r="A1444">
        <f>IF($J1444="","",YEAR($J1444-WEEKDAY($J1444,2)+4)&amp;"-W"&amp;TEXT(WEEKNUM($J1444,21),"00"))</f>
        <v/>
      </c>
      <c r="B1444" s="41">
        <f>IF($J1444="","",COUNTIFS(Roster!$D$4:$D$500,"Active",Roster!$C$4:$C$500,"&lt;="&amp;$J1444))</f>
        <v/>
      </c>
      <c r="C1444">
        <f>IF($J1444="","",SUMIFS('Hours Log'!$C:$C,'Hours Log'!$A:$A,"&gt;="&amp;$J1444,'Hours Log'!$A:$A,"&lt;"&amp;$J1444+7)+SUMIFS('Hours Log'!$D:$D,'Hours Log'!$A:$A,"&gt;="&amp;$J1444,'Hours Log'!$A:$A,"&lt;"&amp;$J1444+7))</f>
        <v/>
      </c>
      <c r="D1444">
        <f>IF($J1444="","",SUMIFS('Hours Log'!$D:$D,'Hours Log'!$A:$A,"&gt;="&amp;$J1444,'Hours Log'!$A:$A,"&lt;"&amp;$J1444+7))</f>
        <v/>
      </c>
      <c r="E1444">
        <f>IF($J1444="","",IFERROR(C1444/(B1444*40),0))</f>
        <v/>
      </c>
      <c r="F1444">
        <f>IF($J1444="","",0)</f>
        <v/>
      </c>
      <c r="G1444">
        <f>IF($J1444="","",SUMIFS('Hours Log'!$E:$E,'Hours Log'!$A:$A,"&gt;="&amp;$J1444,'Hours Log'!$A:$A,"&lt;"&amp;$J1444+7))</f>
        <v/>
      </c>
      <c r="J1444">
        <f>IF(COUNT('Hours Log'!$A$4:$A$5000)=0,"",IF(MIN('Hours Log'!$A$4:$A$5000)+7*(ROW()-10)&gt;MAX('Hours Log'!$A$4:$A$5000),"",MIN('Hours Log'!$A$4:$A$5000)+7*(ROW()-10)))</f>
        <v/>
      </c>
    </row>
    <row r="1445">
      <c r="A1445">
        <f>IF($J1445="","",YEAR($J1445-WEEKDAY($J1445,2)+4)&amp;"-W"&amp;TEXT(WEEKNUM($J1445,21),"00"))</f>
        <v/>
      </c>
      <c r="B1445" s="41">
        <f>IF($J1445="","",COUNTIFS(Roster!$D$4:$D$500,"Active",Roster!$C$4:$C$500,"&lt;="&amp;$J1445))</f>
        <v/>
      </c>
      <c r="C1445">
        <f>IF($J1445="","",SUMIFS('Hours Log'!$C:$C,'Hours Log'!$A:$A,"&gt;="&amp;$J1445,'Hours Log'!$A:$A,"&lt;"&amp;$J1445+7)+SUMIFS('Hours Log'!$D:$D,'Hours Log'!$A:$A,"&gt;="&amp;$J1445,'Hours Log'!$A:$A,"&lt;"&amp;$J1445+7))</f>
        <v/>
      </c>
      <c r="D1445">
        <f>IF($J1445="","",SUMIFS('Hours Log'!$D:$D,'Hours Log'!$A:$A,"&gt;="&amp;$J1445,'Hours Log'!$A:$A,"&lt;"&amp;$J1445+7))</f>
        <v/>
      </c>
      <c r="E1445">
        <f>IF($J1445="","",IFERROR(C1445/(B1445*40),0))</f>
        <v/>
      </c>
      <c r="F1445">
        <f>IF($J1445="","",0)</f>
        <v/>
      </c>
      <c r="G1445">
        <f>IF($J1445="","",SUMIFS('Hours Log'!$E:$E,'Hours Log'!$A:$A,"&gt;="&amp;$J1445,'Hours Log'!$A:$A,"&lt;"&amp;$J1445+7))</f>
        <v/>
      </c>
      <c r="J1445">
        <f>IF(COUNT('Hours Log'!$A$4:$A$5000)=0,"",IF(MIN('Hours Log'!$A$4:$A$5000)+7*(ROW()-10)&gt;MAX('Hours Log'!$A$4:$A$5000),"",MIN('Hours Log'!$A$4:$A$5000)+7*(ROW()-10)))</f>
        <v/>
      </c>
    </row>
    <row r="1446">
      <c r="A1446">
        <f>IF($J1446="","",YEAR($J1446-WEEKDAY($J1446,2)+4)&amp;"-W"&amp;TEXT(WEEKNUM($J1446,21),"00"))</f>
        <v/>
      </c>
      <c r="B1446" s="41">
        <f>IF($J1446="","",COUNTIFS(Roster!$D$4:$D$500,"Active",Roster!$C$4:$C$500,"&lt;="&amp;$J1446))</f>
        <v/>
      </c>
      <c r="C1446">
        <f>IF($J1446="","",SUMIFS('Hours Log'!$C:$C,'Hours Log'!$A:$A,"&gt;="&amp;$J1446,'Hours Log'!$A:$A,"&lt;"&amp;$J1446+7)+SUMIFS('Hours Log'!$D:$D,'Hours Log'!$A:$A,"&gt;="&amp;$J1446,'Hours Log'!$A:$A,"&lt;"&amp;$J1446+7))</f>
        <v/>
      </c>
      <c r="D1446">
        <f>IF($J1446="","",SUMIFS('Hours Log'!$D:$D,'Hours Log'!$A:$A,"&gt;="&amp;$J1446,'Hours Log'!$A:$A,"&lt;"&amp;$J1446+7))</f>
        <v/>
      </c>
      <c r="E1446">
        <f>IF($J1446="","",IFERROR(C1446/(B1446*40),0))</f>
        <v/>
      </c>
      <c r="F1446">
        <f>IF($J1446="","",0)</f>
        <v/>
      </c>
      <c r="G1446">
        <f>IF($J1446="","",SUMIFS('Hours Log'!$E:$E,'Hours Log'!$A:$A,"&gt;="&amp;$J1446,'Hours Log'!$A:$A,"&lt;"&amp;$J1446+7))</f>
        <v/>
      </c>
      <c r="J1446">
        <f>IF(COUNT('Hours Log'!$A$4:$A$5000)=0,"",IF(MIN('Hours Log'!$A$4:$A$5000)+7*(ROW()-10)&gt;MAX('Hours Log'!$A$4:$A$5000),"",MIN('Hours Log'!$A$4:$A$5000)+7*(ROW()-10)))</f>
        <v/>
      </c>
    </row>
    <row r="1447">
      <c r="A1447">
        <f>IF($J1447="","",YEAR($J1447-WEEKDAY($J1447,2)+4)&amp;"-W"&amp;TEXT(WEEKNUM($J1447,21),"00"))</f>
        <v/>
      </c>
      <c r="B1447" s="41">
        <f>IF($J1447="","",COUNTIFS(Roster!$D$4:$D$500,"Active",Roster!$C$4:$C$500,"&lt;="&amp;$J1447))</f>
        <v/>
      </c>
      <c r="C1447">
        <f>IF($J1447="","",SUMIFS('Hours Log'!$C:$C,'Hours Log'!$A:$A,"&gt;="&amp;$J1447,'Hours Log'!$A:$A,"&lt;"&amp;$J1447+7)+SUMIFS('Hours Log'!$D:$D,'Hours Log'!$A:$A,"&gt;="&amp;$J1447,'Hours Log'!$A:$A,"&lt;"&amp;$J1447+7))</f>
        <v/>
      </c>
      <c r="D1447">
        <f>IF($J1447="","",SUMIFS('Hours Log'!$D:$D,'Hours Log'!$A:$A,"&gt;="&amp;$J1447,'Hours Log'!$A:$A,"&lt;"&amp;$J1447+7))</f>
        <v/>
      </c>
      <c r="E1447">
        <f>IF($J1447="","",IFERROR(C1447/(B1447*40),0))</f>
        <v/>
      </c>
      <c r="F1447">
        <f>IF($J1447="","",0)</f>
        <v/>
      </c>
      <c r="G1447">
        <f>IF($J1447="","",SUMIFS('Hours Log'!$E:$E,'Hours Log'!$A:$A,"&gt;="&amp;$J1447,'Hours Log'!$A:$A,"&lt;"&amp;$J1447+7))</f>
        <v/>
      </c>
      <c r="J1447">
        <f>IF(COUNT('Hours Log'!$A$4:$A$5000)=0,"",IF(MIN('Hours Log'!$A$4:$A$5000)+7*(ROW()-10)&gt;MAX('Hours Log'!$A$4:$A$5000),"",MIN('Hours Log'!$A$4:$A$5000)+7*(ROW()-10)))</f>
        <v/>
      </c>
    </row>
    <row r="1448">
      <c r="A1448">
        <f>IF($J1448="","",YEAR($J1448-WEEKDAY($J1448,2)+4)&amp;"-W"&amp;TEXT(WEEKNUM($J1448,21),"00"))</f>
        <v/>
      </c>
      <c r="B1448" s="41">
        <f>IF($J1448="","",COUNTIFS(Roster!$D$4:$D$500,"Active",Roster!$C$4:$C$500,"&lt;="&amp;$J1448))</f>
        <v/>
      </c>
      <c r="C1448">
        <f>IF($J1448="","",SUMIFS('Hours Log'!$C:$C,'Hours Log'!$A:$A,"&gt;="&amp;$J1448,'Hours Log'!$A:$A,"&lt;"&amp;$J1448+7)+SUMIFS('Hours Log'!$D:$D,'Hours Log'!$A:$A,"&gt;="&amp;$J1448,'Hours Log'!$A:$A,"&lt;"&amp;$J1448+7))</f>
        <v/>
      </c>
      <c r="D1448">
        <f>IF($J1448="","",SUMIFS('Hours Log'!$D:$D,'Hours Log'!$A:$A,"&gt;="&amp;$J1448,'Hours Log'!$A:$A,"&lt;"&amp;$J1448+7))</f>
        <v/>
      </c>
      <c r="E1448">
        <f>IF($J1448="","",IFERROR(C1448/(B1448*40),0))</f>
        <v/>
      </c>
      <c r="F1448">
        <f>IF($J1448="","",0)</f>
        <v/>
      </c>
      <c r="G1448">
        <f>IF($J1448="","",SUMIFS('Hours Log'!$E:$E,'Hours Log'!$A:$A,"&gt;="&amp;$J1448,'Hours Log'!$A:$A,"&lt;"&amp;$J1448+7))</f>
        <v/>
      </c>
      <c r="J1448">
        <f>IF(COUNT('Hours Log'!$A$4:$A$5000)=0,"",IF(MIN('Hours Log'!$A$4:$A$5000)+7*(ROW()-10)&gt;MAX('Hours Log'!$A$4:$A$5000),"",MIN('Hours Log'!$A$4:$A$5000)+7*(ROW()-10)))</f>
        <v/>
      </c>
    </row>
    <row r="1449">
      <c r="A1449">
        <f>IF($J1449="","",YEAR($J1449-WEEKDAY($J1449,2)+4)&amp;"-W"&amp;TEXT(WEEKNUM($J1449,21),"00"))</f>
        <v/>
      </c>
      <c r="B1449" s="41">
        <f>IF($J1449="","",COUNTIFS(Roster!$D$4:$D$500,"Active",Roster!$C$4:$C$500,"&lt;="&amp;$J1449))</f>
        <v/>
      </c>
      <c r="C1449">
        <f>IF($J1449="","",SUMIFS('Hours Log'!$C:$C,'Hours Log'!$A:$A,"&gt;="&amp;$J1449,'Hours Log'!$A:$A,"&lt;"&amp;$J1449+7)+SUMIFS('Hours Log'!$D:$D,'Hours Log'!$A:$A,"&gt;="&amp;$J1449,'Hours Log'!$A:$A,"&lt;"&amp;$J1449+7))</f>
        <v/>
      </c>
      <c r="D1449">
        <f>IF($J1449="","",SUMIFS('Hours Log'!$D:$D,'Hours Log'!$A:$A,"&gt;="&amp;$J1449,'Hours Log'!$A:$A,"&lt;"&amp;$J1449+7))</f>
        <v/>
      </c>
      <c r="E1449">
        <f>IF($J1449="","",IFERROR(C1449/(B1449*40),0))</f>
        <v/>
      </c>
      <c r="F1449">
        <f>IF($J1449="","",0)</f>
        <v/>
      </c>
      <c r="G1449">
        <f>IF($J1449="","",SUMIFS('Hours Log'!$E:$E,'Hours Log'!$A:$A,"&gt;="&amp;$J1449,'Hours Log'!$A:$A,"&lt;"&amp;$J1449+7))</f>
        <v/>
      </c>
      <c r="J1449">
        <f>IF(COUNT('Hours Log'!$A$4:$A$5000)=0,"",IF(MIN('Hours Log'!$A$4:$A$5000)+7*(ROW()-10)&gt;MAX('Hours Log'!$A$4:$A$5000),"",MIN('Hours Log'!$A$4:$A$5000)+7*(ROW()-10)))</f>
        <v/>
      </c>
    </row>
    <row r="1450">
      <c r="A1450">
        <f>IF($J1450="","",YEAR($J1450-WEEKDAY($J1450,2)+4)&amp;"-W"&amp;TEXT(WEEKNUM($J1450,21),"00"))</f>
        <v/>
      </c>
      <c r="B1450" s="41">
        <f>IF($J1450="","",COUNTIFS(Roster!$D$4:$D$500,"Active",Roster!$C$4:$C$500,"&lt;="&amp;$J1450))</f>
        <v/>
      </c>
      <c r="C1450">
        <f>IF($J1450="","",SUMIFS('Hours Log'!$C:$C,'Hours Log'!$A:$A,"&gt;="&amp;$J1450,'Hours Log'!$A:$A,"&lt;"&amp;$J1450+7)+SUMIFS('Hours Log'!$D:$D,'Hours Log'!$A:$A,"&gt;="&amp;$J1450,'Hours Log'!$A:$A,"&lt;"&amp;$J1450+7))</f>
        <v/>
      </c>
      <c r="D1450">
        <f>IF($J1450="","",SUMIFS('Hours Log'!$D:$D,'Hours Log'!$A:$A,"&gt;="&amp;$J1450,'Hours Log'!$A:$A,"&lt;"&amp;$J1450+7))</f>
        <v/>
      </c>
      <c r="E1450">
        <f>IF($J1450="","",IFERROR(C1450/(B1450*40),0))</f>
        <v/>
      </c>
      <c r="F1450">
        <f>IF($J1450="","",0)</f>
        <v/>
      </c>
      <c r="G1450">
        <f>IF($J1450="","",SUMIFS('Hours Log'!$E:$E,'Hours Log'!$A:$A,"&gt;="&amp;$J1450,'Hours Log'!$A:$A,"&lt;"&amp;$J1450+7))</f>
        <v/>
      </c>
      <c r="J1450">
        <f>IF(COUNT('Hours Log'!$A$4:$A$5000)=0,"",IF(MIN('Hours Log'!$A$4:$A$5000)+7*(ROW()-10)&gt;MAX('Hours Log'!$A$4:$A$5000),"",MIN('Hours Log'!$A$4:$A$5000)+7*(ROW()-10)))</f>
        <v/>
      </c>
    </row>
    <row r="1451">
      <c r="A1451">
        <f>IF($J1451="","",YEAR($J1451-WEEKDAY($J1451,2)+4)&amp;"-W"&amp;TEXT(WEEKNUM($J1451,21),"00"))</f>
        <v/>
      </c>
      <c r="B1451" s="41">
        <f>IF($J1451="","",COUNTIFS(Roster!$D$4:$D$500,"Active",Roster!$C$4:$C$500,"&lt;="&amp;$J1451))</f>
        <v/>
      </c>
      <c r="C1451">
        <f>IF($J1451="","",SUMIFS('Hours Log'!$C:$C,'Hours Log'!$A:$A,"&gt;="&amp;$J1451,'Hours Log'!$A:$A,"&lt;"&amp;$J1451+7)+SUMIFS('Hours Log'!$D:$D,'Hours Log'!$A:$A,"&gt;="&amp;$J1451,'Hours Log'!$A:$A,"&lt;"&amp;$J1451+7))</f>
        <v/>
      </c>
      <c r="D1451">
        <f>IF($J1451="","",SUMIFS('Hours Log'!$D:$D,'Hours Log'!$A:$A,"&gt;="&amp;$J1451,'Hours Log'!$A:$A,"&lt;"&amp;$J1451+7))</f>
        <v/>
      </c>
      <c r="E1451">
        <f>IF($J1451="","",IFERROR(C1451/(B1451*40),0))</f>
        <v/>
      </c>
      <c r="F1451">
        <f>IF($J1451="","",0)</f>
        <v/>
      </c>
      <c r="G1451">
        <f>IF($J1451="","",SUMIFS('Hours Log'!$E:$E,'Hours Log'!$A:$A,"&gt;="&amp;$J1451,'Hours Log'!$A:$A,"&lt;"&amp;$J1451+7))</f>
        <v/>
      </c>
      <c r="J1451">
        <f>IF(COUNT('Hours Log'!$A$4:$A$5000)=0,"",IF(MIN('Hours Log'!$A$4:$A$5000)+7*(ROW()-10)&gt;MAX('Hours Log'!$A$4:$A$5000),"",MIN('Hours Log'!$A$4:$A$5000)+7*(ROW()-10)))</f>
        <v/>
      </c>
    </row>
    <row r="1452">
      <c r="A1452">
        <f>IF($J1452="","",YEAR($J1452-WEEKDAY($J1452,2)+4)&amp;"-W"&amp;TEXT(WEEKNUM($J1452,21),"00"))</f>
        <v/>
      </c>
      <c r="B1452" s="41">
        <f>IF($J1452="","",COUNTIFS(Roster!$D$4:$D$500,"Active",Roster!$C$4:$C$500,"&lt;="&amp;$J1452))</f>
        <v/>
      </c>
      <c r="C1452">
        <f>IF($J1452="","",SUMIFS('Hours Log'!$C:$C,'Hours Log'!$A:$A,"&gt;="&amp;$J1452,'Hours Log'!$A:$A,"&lt;"&amp;$J1452+7)+SUMIFS('Hours Log'!$D:$D,'Hours Log'!$A:$A,"&gt;="&amp;$J1452,'Hours Log'!$A:$A,"&lt;"&amp;$J1452+7))</f>
        <v/>
      </c>
      <c r="D1452">
        <f>IF($J1452="","",SUMIFS('Hours Log'!$D:$D,'Hours Log'!$A:$A,"&gt;="&amp;$J1452,'Hours Log'!$A:$A,"&lt;"&amp;$J1452+7))</f>
        <v/>
      </c>
      <c r="E1452">
        <f>IF($J1452="","",IFERROR(C1452/(B1452*40),0))</f>
        <v/>
      </c>
      <c r="F1452">
        <f>IF($J1452="","",0)</f>
        <v/>
      </c>
      <c r="G1452">
        <f>IF($J1452="","",SUMIFS('Hours Log'!$E:$E,'Hours Log'!$A:$A,"&gt;="&amp;$J1452,'Hours Log'!$A:$A,"&lt;"&amp;$J1452+7))</f>
        <v/>
      </c>
      <c r="J1452">
        <f>IF(COUNT('Hours Log'!$A$4:$A$5000)=0,"",IF(MIN('Hours Log'!$A$4:$A$5000)+7*(ROW()-10)&gt;MAX('Hours Log'!$A$4:$A$5000),"",MIN('Hours Log'!$A$4:$A$5000)+7*(ROW()-10)))</f>
        <v/>
      </c>
    </row>
    <row r="1453">
      <c r="A1453">
        <f>IF($J1453="","",YEAR($J1453-WEEKDAY($J1453,2)+4)&amp;"-W"&amp;TEXT(WEEKNUM($J1453,21),"00"))</f>
        <v/>
      </c>
      <c r="B1453" s="41">
        <f>IF($J1453="","",COUNTIFS(Roster!$D$4:$D$500,"Active",Roster!$C$4:$C$500,"&lt;="&amp;$J1453))</f>
        <v/>
      </c>
      <c r="C1453">
        <f>IF($J1453="","",SUMIFS('Hours Log'!$C:$C,'Hours Log'!$A:$A,"&gt;="&amp;$J1453,'Hours Log'!$A:$A,"&lt;"&amp;$J1453+7)+SUMIFS('Hours Log'!$D:$D,'Hours Log'!$A:$A,"&gt;="&amp;$J1453,'Hours Log'!$A:$A,"&lt;"&amp;$J1453+7))</f>
        <v/>
      </c>
      <c r="D1453">
        <f>IF($J1453="","",SUMIFS('Hours Log'!$D:$D,'Hours Log'!$A:$A,"&gt;="&amp;$J1453,'Hours Log'!$A:$A,"&lt;"&amp;$J1453+7))</f>
        <v/>
      </c>
      <c r="E1453">
        <f>IF($J1453="","",IFERROR(C1453/(B1453*40),0))</f>
        <v/>
      </c>
      <c r="F1453">
        <f>IF($J1453="","",0)</f>
        <v/>
      </c>
      <c r="G1453">
        <f>IF($J1453="","",SUMIFS('Hours Log'!$E:$E,'Hours Log'!$A:$A,"&gt;="&amp;$J1453,'Hours Log'!$A:$A,"&lt;"&amp;$J1453+7))</f>
        <v/>
      </c>
      <c r="J1453">
        <f>IF(COUNT('Hours Log'!$A$4:$A$5000)=0,"",IF(MIN('Hours Log'!$A$4:$A$5000)+7*(ROW()-10)&gt;MAX('Hours Log'!$A$4:$A$5000),"",MIN('Hours Log'!$A$4:$A$5000)+7*(ROW()-10)))</f>
        <v/>
      </c>
    </row>
    <row r="1454">
      <c r="A1454">
        <f>IF($J1454="","",YEAR($J1454-WEEKDAY($J1454,2)+4)&amp;"-W"&amp;TEXT(WEEKNUM($J1454,21),"00"))</f>
        <v/>
      </c>
      <c r="B1454" s="41">
        <f>IF($J1454="","",COUNTIFS(Roster!$D$4:$D$500,"Active",Roster!$C$4:$C$500,"&lt;="&amp;$J1454))</f>
        <v/>
      </c>
      <c r="C1454">
        <f>IF($J1454="","",SUMIFS('Hours Log'!$C:$C,'Hours Log'!$A:$A,"&gt;="&amp;$J1454,'Hours Log'!$A:$A,"&lt;"&amp;$J1454+7)+SUMIFS('Hours Log'!$D:$D,'Hours Log'!$A:$A,"&gt;="&amp;$J1454,'Hours Log'!$A:$A,"&lt;"&amp;$J1454+7))</f>
        <v/>
      </c>
      <c r="D1454">
        <f>IF($J1454="","",SUMIFS('Hours Log'!$D:$D,'Hours Log'!$A:$A,"&gt;="&amp;$J1454,'Hours Log'!$A:$A,"&lt;"&amp;$J1454+7))</f>
        <v/>
      </c>
      <c r="E1454">
        <f>IF($J1454="","",IFERROR(C1454/(B1454*40),0))</f>
        <v/>
      </c>
      <c r="F1454">
        <f>IF($J1454="","",0)</f>
        <v/>
      </c>
      <c r="G1454">
        <f>IF($J1454="","",SUMIFS('Hours Log'!$E:$E,'Hours Log'!$A:$A,"&gt;="&amp;$J1454,'Hours Log'!$A:$A,"&lt;"&amp;$J1454+7))</f>
        <v/>
      </c>
      <c r="J1454">
        <f>IF(COUNT('Hours Log'!$A$4:$A$5000)=0,"",IF(MIN('Hours Log'!$A$4:$A$5000)+7*(ROW()-10)&gt;MAX('Hours Log'!$A$4:$A$5000),"",MIN('Hours Log'!$A$4:$A$5000)+7*(ROW()-10)))</f>
        <v/>
      </c>
    </row>
    <row r="1455">
      <c r="A1455">
        <f>IF($J1455="","",YEAR($J1455-WEEKDAY($J1455,2)+4)&amp;"-W"&amp;TEXT(WEEKNUM($J1455,21),"00"))</f>
        <v/>
      </c>
      <c r="B1455" s="41">
        <f>IF($J1455="","",COUNTIFS(Roster!$D$4:$D$500,"Active",Roster!$C$4:$C$500,"&lt;="&amp;$J1455))</f>
        <v/>
      </c>
      <c r="C1455">
        <f>IF($J1455="","",SUMIFS('Hours Log'!$C:$C,'Hours Log'!$A:$A,"&gt;="&amp;$J1455,'Hours Log'!$A:$A,"&lt;"&amp;$J1455+7)+SUMIFS('Hours Log'!$D:$D,'Hours Log'!$A:$A,"&gt;="&amp;$J1455,'Hours Log'!$A:$A,"&lt;"&amp;$J1455+7))</f>
        <v/>
      </c>
      <c r="D1455">
        <f>IF($J1455="","",SUMIFS('Hours Log'!$D:$D,'Hours Log'!$A:$A,"&gt;="&amp;$J1455,'Hours Log'!$A:$A,"&lt;"&amp;$J1455+7))</f>
        <v/>
      </c>
      <c r="E1455">
        <f>IF($J1455="","",IFERROR(C1455/(B1455*40),0))</f>
        <v/>
      </c>
      <c r="F1455">
        <f>IF($J1455="","",0)</f>
        <v/>
      </c>
      <c r="G1455">
        <f>IF($J1455="","",SUMIFS('Hours Log'!$E:$E,'Hours Log'!$A:$A,"&gt;="&amp;$J1455,'Hours Log'!$A:$A,"&lt;"&amp;$J1455+7))</f>
        <v/>
      </c>
      <c r="J1455">
        <f>IF(COUNT('Hours Log'!$A$4:$A$5000)=0,"",IF(MIN('Hours Log'!$A$4:$A$5000)+7*(ROW()-10)&gt;MAX('Hours Log'!$A$4:$A$5000),"",MIN('Hours Log'!$A$4:$A$5000)+7*(ROW()-10)))</f>
        <v/>
      </c>
    </row>
    <row r="1456">
      <c r="A1456">
        <f>IF($J1456="","",YEAR($J1456-WEEKDAY($J1456,2)+4)&amp;"-W"&amp;TEXT(WEEKNUM($J1456,21),"00"))</f>
        <v/>
      </c>
      <c r="B1456" s="41">
        <f>IF($J1456="","",COUNTIFS(Roster!$D$4:$D$500,"Active",Roster!$C$4:$C$500,"&lt;="&amp;$J1456))</f>
        <v/>
      </c>
      <c r="C1456">
        <f>IF($J1456="","",SUMIFS('Hours Log'!$C:$C,'Hours Log'!$A:$A,"&gt;="&amp;$J1456,'Hours Log'!$A:$A,"&lt;"&amp;$J1456+7)+SUMIFS('Hours Log'!$D:$D,'Hours Log'!$A:$A,"&gt;="&amp;$J1456,'Hours Log'!$A:$A,"&lt;"&amp;$J1456+7))</f>
        <v/>
      </c>
      <c r="D1456">
        <f>IF($J1456="","",SUMIFS('Hours Log'!$D:$D,'Hours Log'!$A:$A,"&gt;="&amp;$J1456,'Hours Log'!$A:$A,"&lt;"&amp;$J1456+7))</f>
        <v/>
      </c>
      <c r="E1456">
        <f>IF($J1456="","",IFERROR(C1456/(B1456*40),0))</f>
        <v/>
      </c>
      <c r="F1456">
        <f>IF($J1456="","",0)</f>
        <v/>
      </c>
      <c r="G1456">
        <f>IF($J1456="","",SUMIFS('Hours Log'!$E:$E,'Hours Log'!$A:$A,"&gt;="&amp;$J1456,'Hours Log'!$A:$A,"&lt;"&amp;$J1456+7))</f>
        <v/>
      </c>
      <c r="J1456">
        <f>IF(COUNT('Hours Log'!$A$4:$A$5000)=0,"",IF(MIN('Hours Log'!$A$4:$A$5000)+7*(ROW()-10)&gt;MAX('Hours Log'!$A$4:$A$5000),"",MIN('Hours Log'!$A$4:$A$5000)+7*(ROW()-10)))</f>
        <v/>
      </c>
    </row>
    <row r="1457">
      <c r="A1457">
        <f>IF($J1457="","",YEAR($J1457-WEEKDAY($J1457,2)+4)&amp;"-W"&amp;TEXT(WEEKNUM($J1457,21),"00"))</f>
        <v/>
      </c>
      <c r="B1457" s="41">
        <f>IF($J1457="","",COUNTIFS(Roster!$D$4:$D$500,"Active",Roster!$C$4:$C$500,"&lt;="&amp;$J1457))</f>
        <v/>
      </c>
      <c r="C1457">
        <f>IF($J1457="","",SUMIFS('Hours Log'!$C:$C,'Hours Log'!$A:$A,"&gt;="&amp;$J1457,'Hours Log'!$A:$A,"&lt;"&amp;$J1457+7)+SUMIFS('Hours Log'!$D:$D,'Hours Log'!$A:$A,"&gt;="&amp;$J1457,'Hours Log'!$A:$A,"&lt;"&amp;$J1457+7))</f>
        <v/>
      </c>
      <c r="D1457">
        <f>IF($J1457="","",SUMIFS('Hours Log'!$D:$D,'Hours Log'!$A:$A,"&gt;="&amp;$J1457,'Hours Log'!$A:$A,"&lt;"&amp;$J1457+7))</f>
        <v/>
      </c>
      <c r="E1457">
        <f>IF($J1457="","",IFERROR(C1457/(B1457*40),0))</f>
        <v/>
      </c>
      <c r="F1457">
        <f>IF($J1457="","",0)</f>
        <v/>
      </c>
      <c r="G1457">
        <f>IF($J1457="","",SUMIFS('Hours Log'!$E:$E,'Hours Log'!$A:$A,"&gt;="&amp;$J1457,'Hours Log'!$A:$A,"&lt;"&amp;$J1457+7))</f>
        <v/>
      </c>
      <c r="J1457">
        <f>IF(COUNT('Hours Log'!$A$4:$A$5000)=0,"",IF(MIN('Hours Log'!$A$4:$A$5000)+7*(ROW()-10)&gt;MAX('Hours Log'!$A$4:$A$5000),"",MIN('Hours Log'!$A$4:$A$5000)+7*(ROW()-10)))</f>
        <v/>
      </c>
    </row>
    <row r="1458">
      <c r="A1458">
        <f>IF($J1458="","",YEAR($J1458-WEEKDAY($J1458,2)+4)&amp;"-W"&amp;TEXT(WEEKNUM($J1458,21),"00"))</f>
        <v/>
      </c>
      <c r="B1458" s="41">
        <f>IF($J1458="","",COUNTIFS(Roster!$D$4:$D$500,"Active",Roster!$C$4:$C$500,"&lt;="&amp;$J1458))</f>
        <v/>
      </c>
      <c r="C1458">
        <f>IF($J1458="","",SUMIFS('Hours Log'!$C:$C,'Hours Log'!$A:$A,"&gt;="&amp;$J1458,'Hours Log'!$A:$A,"&lt;"&amp;$J1458+7)+SUMIFS('Hours Log'!$D:$D,'Hours Log'!$A:$A,"&gt;="&amp;$J1458,'Hours Log'!$A:$A,"&lt;"&amp;$J1458+7))</f>
        <v/>
      </c>
      <c r="D1458">
        <f>IF($J1458="","",SUMIFS('Hours Log'!$D:$D,'Hours Log'!$A:$A,"&gt;="&amp;$J1458,'Hours Log'!$A:$A,"&lt;"&amp;$J1458+7))</f>
        <v/>
      </c>
      <c r="E1458">
        <f>IF($J1458="","",IFERROR(C1458/(B1458*40),0))</f>
        <v/>
      </c>
      <c r="F1458">
        <f>IF($J1458="","",0)</f>
        <v/>
      </c>
      <c r="G1458">
        <f>IF($J1458="","",SUMIFS('Hours Log'!$E:$E,'Hours Log'!$A:$A,"&gt;="&amp;$J1458,'Hours Log'!$A:$A,"&lt;"&amp;$J1458+7))</f>
        <v/>
      </c>
      <c r="J1458">
        <f>IF(COUNT('Hours Log'!$A$4:$A$5000)=0,"",IF(MIN('Hours Log'!$A$4:$A$5000)+7*(ROW()-10)&gt;MAX('Hours Log'!$A$4:$A$5000),"",MIN('Hours Log'!$A$4:$A$5000)+7*(ROW()-10)))</f>
        <v/>
      </c>
    </row>
    <row r="1459">
      <c r="A1459">
        <f>IF($J1459="","",YEAR($J1459-WEEKDAY($J1459,2)+4)&amp;"-W"&amp;TEXT(WEEKNUM($J1459,21),"00"))</f>
        <v/>
      </c>
      <c r="B1459" s="41">
        <f>IF($J1459="","",COUNTIFS(Roster!$D$4:$D$500,"Active",Roster!$C$4:$C$500,"&lt;="&amp;$J1459))</f>
        <v/>
      </c>
      <c r="C1459">
        <f>IF($J1459="","",SUMIFS('Hours Log'!$C:$C,'Hours Log'!$A:$A,"&gt;="&amp;$J1459,'Hours Log'!$A:$A,"&lt;"&amp;$J1459+7)+SUMIFS('Hours Log'!$D:$D,'Hours Log'!$A:$A,"&gt;="&amp;$J1459,'Hours Log'!$A:$A,"&lt;"&amp;$J1459+7))</f>
        <v/>
      </c>
      <c r="D1459">
        <f>IF($J1459="","",SUMIFS('Hours Log'!$D:$D,'Hours Log'!$A:$A,"&gt;="&amp;$J1459,'Hours Log'!$A:$A,"&lt;"&amp;$J1459+7))</f>
        <v/>
      </c>
      <c r="E1459">
        <f>IF($J1459="","",IFERROR(C1459/(B1459*40),0))</f>
        <v/>
      </c>
      <c r="F1459">
        <f>IF($J1459="","",0)</f>
        <v/>
      </c>
      <c r="G1459">
        <f>IF($J1459="","",SUMIFS('Hours Log'!$E:$E,'Hours Log'!$A:$A,"&gt;="&amp;$J1459,'Hours Log'!$A:$A,"&lt;"&amp;$J1459+7))</f>
        <v/>
      </c>
      <c r="J1459">
        <f>IF(COUNT('Hours Log'!$A$4:$A$5000)=0,"",IF(MIN('Hours Log'!$A$4:$A$5000)+7*(ROW()-10)&gt;MAX('Hours Log'!$A$4:$A$5000),"",MIN('Hours Log'!$A$4:$A$5000)+7*(ROW()-10)))</f>
        <v/>
      </c>
    </row>
    <row r="1460">
      <c r="A1460">
        <f>IF($J1460="","",YEAR($J1460-WEEKDAY($J1460,2)+4)&amp;"-W"&amp;TEXT(WEEKNUM($J1460,21),"00"))</f>
        <v/>
      </c>
      <c r="B1460" s="41">
        <f>IF($J1460="","",COUNTIFS(Roster!$D$4:$D$500,"Active",Roster!$C$4:$C$500,"&lt;="&amp;$J1460))</f>
        <v/>
      </c>
      <c r="C1460">
        <f>IF($J1460="","",SUMIFS('Hours Log'!$C:$C,'Hours Log'!$A:$A,"&gt;="&amp;$J1460,'Hours Log'!$A:$A,"&lt;"&amp;$J1460+7)+SUMIFS('Hours Log'!$D:$D,'Hours Log'!$A:$A,"&gt;="&amp;$J1460,'Hours Log'!$A:$A,"&lt;"&amp;$J1460+7))</f>
        <v/>
      </c>
      <c r="D1460">
        <f>IF($J1460="","",SUMIFS('Hours Log'!$D:$D,'Hours Log'!$A:$A,"&gt;="&amp;$J1460,'Hours Log'!$A:$A,"&lt;"&amp;$J1460+7))</f>
        <v/>
      </c>
      <c r="E1460">
        <f>IF($J1460="","",IFERROR(C1460/(B1460*40),0))</f>
        <v/>
      </c>
      <c r="F1460">
        <f>IF($J1460="","",0)</f>
        <v/>
      </c>
      <c r="G1460">
        <f>IF($J1460="","",SUMIFS('Hours Log'!$E:$E,'Hours Log'!$A:$A,"&gt;="&amp;$J1460,'Hours Log'!$A:$A,"&lt;"&amp;$J1460+7))</f>
        <v/>
      </c>
      <c r="J1460">
        <f>IF(COUNT('Hours Log'!$A$4:$A$5000)=0,"",IF(MIN('Hours Log'!$A$4:$A$5000)+7*(ROW()-10)&gt;MAX('Hours Log'!$A$4:$A$5000),"",MIN('Hours Log'!$A$4:$A$5000)+7*(ROW()-10)))</f>
        <v/>
      </c>
    </row>
    <row r="1461">
      <c r="A1461">
        <f>IF($J1461="","",YEAR($J1461-WEEKDAY($J1461,2)+4)&amp;"-W"&amp;TEXT(WEEKNUM($J1461,21),"00"))</f>
        <v/>
      </c>
      <c r="B1461" s="41">
        <f>IF($J1461="","",COUNTIFS(Roster!$D$4:$D$500,"Active",Roster!$C$4:$C$500,"&lt;="&amp;$J1461))</f>
        <v/>
      </c>
      <c r="C1461">
        <f>IF($J1461="","",SUMIFS('Hours Log'!$C:$C,'Hours Log'!$A:$A,"&gt;="&amp;$J1461,'Hours Log'!$A:$A,"&lt;"&amp;$J1461+7)+SUMIFS('Hours Log'!$D:$D,'Hours Log'!$A:$A,"&gt;="&amp;$J1461,'Hours Log'!$A:$A,"&lt;"&amp;$J1461+7))</f>
        <v/>
      </c>
      <c r="D1461">
        <f>IF($J1461="","",SUMIFS('Hours Log'!$D:$D,'Hours Log'!$A:$A,"&gt;="&amp;$J1461,'Hours Log'!$A:$A,"&lt;"&amp;$J1461+7))</f>
        <v/>
      </c>
      <c r="E1461">
        <f>IF($J1461="","",IFERROR(C1461/(B1461*40),0))</f>
        <v/>
      </c>
      <c r="F1461">
        <f>IF($J1461="","",0)</f>
        <v/>
      </c>
      <c r="G1461">
        <f>IF($J1461="","",SUMIFS('Hours Log'!$E:$E,'Hours Log'!$A:$A,"&gt;="&amp;$J1461,'Hours Log'!$A:$A,"&lt;"&amp;$J1461+7))</f>
        <v/>
      </c>
      <c r="J1461">
        <f>IF(COUNT('Hours Log'!$A$4:$A$5000)=0,"",IF(MIN('Hours Log'!$A$4:$A$5000)+7*(ROW()-10)&gt;MAX('Hours Log'!$A$4:$A$5000),"",MIN('Hours Log'!$A$4:$A$5000)+7*(ROW()-10)))</f>
        <v/>
      </c>
    </row>
    <row r="1462">
      <c r="A1462">
        <f>IF($J1462="","",YEAR($J1462-WEEKDAY($J1462,2)+4)&amp;"-W"&amp;TEXT(WEEKNUM($J1462,21),"00"))</f>
        <v/>
      </c>
      <c r="B1462" s="41">
        <f>IF($J1462="","",COUNTIFS(Roster!$D$4:$D$500,"Active",Roster!$C$4:$C$500,"&lt;="&amp;$J1462))</f>
        <v/>
      </c>
      <c r="C1462">
        <f>IF($J1462="","",SUMIFS('Hours Log'!$C:$C,'Hours Log'!$A:$A,"&gt;="&amp;$J1462,'Hours Log'!$A:$A,"&lt;"&amp;$J1462+7)+SUMIFS('Hours Log'!$D:$D,'Hours Log'!$A:$A,"&gt;="&amp;$J1462,'Hours Log'!$A:$A,"&lt;"&amp;$J1462+7))</f>
        <v/>
      </c>
      <c r="D1462">
        <f>IF($J1462="","",SUMIFS('Hours Log'!$D:$D,'Hours Log'!$A:$A,"&gt;="&amp;$J1462,'Hours Log'!$A:$A,"&lt;"&amp;$J1462+7))</f>
        <v/>
      </c>
      <c r="E1462">
        <f>IF($J1462="","",IFERROR(C1462/(B1462*40),0))</f>
        <v/>
      </c>
      <c r="F1462">
        <f>IF($J1462="","",0)</f>
        <v/>
      </c>
      <c r="G1462">
        <f>IF($J1462="","",SUMIFS('Hours Log'!$E:$E,'Hours Log'!$A:$A,"&gt;="&amp;$J1462,'Hours Log'!$A:$A,"&lt;"&amp;$J1462+7))</f>
        <v/>
      </c>
      <c r="J1462">
        <f>IF(COUNT('Hours Log'!$A$4:$A$5000)=0,"",IF(MIN('Hours Log'!$A$4:$A$5000)+7*(ROW()-10)&gt;MAX('Hours Log'!$A$4:$A$5000),"",MIN('Hours Log'!$A$4:$A$5000)+7*(ROW()-10)))</f>
        <v/>
      </c>
    </row>
    <row r="1463">
      <c r="A1463">
        <f>IF($J1463="","",YEAR($J1463-WEEKDAY($J1463,2)+4)&amp;"-W"&amp;TEXT(WEEKNUM($J1463,21),"00"))</f>
        <v/>
      </c>
      <c r="B1463" s="41">
        <f>IF($J1463="","",COUNTIFS(Roster!$D$4:$D$500,"Active",Roster!$C$4:$C$500,"&lt;="&amp;$J1463))</f>
        <v/>
      </c>
      <c r="C1463">
        <f>IF($J1463="","",SUMIFS('Hours Log'!$C:$C,'Hours Log'!$A:$A,"&gt;="&amp;$J1463,'Hours Log'!$A:$A,"&lt;"&amp;$J1463+7)+SUMIFS('Hours Log'!$D:$D,'Hours Log'!$A:$A,"&gt;="&amp;$J1463,'Hours Log'!$A:$A,"&lt;"&amp;$J1463+7))</f>
        <v/>
      </c>
      <c r="D1463">
        <f>IF($J1463="","",SUMIFS('Hours Log'!$D:$D,'Hours Log'!$A:$A,"&gt;="&amp;$J1463,'Hours Log'!$A:$A,"&lt;"&amp;$J1463+7))</f>
        <v/>
      </c>
      <c r="E1463">
        <f>IF($J1463="","",IFERROR(C1463/(B1463*40),0))</f>
        <v/>
      </c>
      <c r="F1463">
        <f>IF($J1463="","",0)</f>
        <v/>
      </c>
      <c r="G1463">
        <f>IF($J1463="","",SUMIFS('Hours Log'!$E:$E,'Hours Log'!$A:$A,"&gt;="&amp;$J1463,'Hours Log'!$A:$A,"&lt;"&amp;$J1463+7))</f>
        <v/>
      </c>
      <c r="J1463">
        <f>IF(COUNT('Hours Log'!$A$4:$A$5000)=0,"",IF(MIN('Hours Log'!$A$4:$A$5000)+7*(ROW()-10)&gt;MAX('Hours Log'!$A$4:$A$5000),"",MIN('Hours Log'!$A$4:$A$5000)+7*(ROW()-10)))</f>
        <v/>
      </c>
    </row>
    <row r="1464">
      <c r="A1464">
        <f>IF($J1464="","",YEAR($J1464-WEEKDAY($J1464,2)+4)&amp;"-W"&amp;TEXT(WEEKNUM($J1464,21),"00"))</f>
        <v/>
      </c>
      <c r="B1464" s="41">
        <f>IF($J1464="","",COUNTIFS(Roster!$D$4:$D$500,"Active",Roster!$C$4:$C$500,"&lt;="&amp;$J1464))</f>
        <v/>
      </c>
      <c r="C1464">
        <f>IF($J1464="","",SUMIFS('Hours Log'!$C:$C,'Hours Log'!$A:$A,"&gt;="&amp;$J1464,'Hours Log'!$A:$A,"&lt;"&amp;$J1464+7)+SUMIFS('Hours Log'!$D:$D,'Hours Log'!$A:$A,"&gt;="&amp;$J1464,'Hours Log'!$A:$A,"&lt;"&amp;$J1464+7))</f>
        <v/>
      </c>
      <c r="D1464">
        <f>IF($J1464="","",SUMIFS('Hours Log'!$D:$D,'Hours Log'!$A:$A,"&gt;="&amp;$J1464,'Hours Log'!$A:$A,"&lt;"&amp;$J1464+7))</f>
        <v/>
      </c>
      <c r="E1464">
        <f>IF($J1464="","",IFERROR(C1464/(B1464*40),0))</f>
        <v/>
      </c>
      <c r="F1464">
        <f>IF($J1464="","",0)</f>
        <v/>
      </c>
      <c r="G1464">
        <f>IF($J1464="","",SUMIFS('Hours Log'!$E:$E,'Hours Log'!$A:$A,"&gt;="&amp;$J1464,'Hours Log'!$A:$A,"&lt;"&amp;$J1464+7))</f>
        <v/>
      </c>
      <c r="J1464">
        <f>IF(COUNT('Hours Log'!$A$4:$A$5000)=0,"",IF(MIN('Hours Log'!$A$4:$A$5000)+7*(ROW()-10)&gt;MAX('Hours Log'!$A$4:$A$5000),"",MIN('Hours Log'!$A$4:$A$5000)+7*(ROW()-10)))</f>
        <v/>
      </c>
    </row>
    <row r="1465">
      <c r="A1465">
        <f>IF($J1465="","",YEAR($J1465-WEEKDAY($J1465,2)+4)&amp;"-W"&amp;TEXT(WEEKNUM($J1465,21),"00"))</f>
        <v/>
      </c>
      <c r="B1465" s="41">
        <f>IF($J1465="","",COUNTIFS(Roster!$D$4:$D$500,"Active",Roster!$C$4:$C$500,"&lt;="&amp;$J1465))</f>
        <v/>
      </c>
      <c r="C1465">
        <f>IF($J1465="","",SUMIFS('Hours Log'!$C:$C,'Hours Log'!$A:$A,"&gt;="&amp;$J1465,'Hours Log'!$A:$A,"&lt;"&amp;$J1465+7)+SUMIFS('Hours Log'!$D:$D,'Hours Log'!$A:$A,"&gt;="&amp;$J1465,'Hours Log'!$A:$A,"&lt;"&amp;$J1465+7))</f>
        <v/>
      </c>
      <c r="D1465">
        <f>IF($J1465="","",SUMIFS('Hours Log'!$D:$D,'Hours Log'!$A:$A,"&gt;="&amp;$J1465,'Hours Log'!$A:$A,"&lt;"&amp;$J1465+7))</f>
        <v/>
      </c>
      <c r="E1465">
        <f>IF($J1465="","",IFERROR(C1465/(B1465*40),0))</f>
        <v/>
      </c>
      <c r="F1465">
        <f>IF($J1465="","",0)</f>
        <v/>
      </c>
      <c r="G1465">
        <f>IF($J1465="","",SUMIFS('Hours Log'!$E:$E,'Hours Log'!$A:$A,"&gt;="&amp;$J1465,'Hours Log'!$A:$A,"&lt;"&amp;$J1465+7))</f>
        <v/>
      </c>
      <c r="J1465">
        <f>IF(COUNT('Hours Log'!$A$4:$A$5000)=0,"",IF(MIN('Hours Log'!$A$4:$A$5000)+7*(ROW()-10)&gt;MAX('Hours Log'!$A$4:$A$5000),"",MIN('Hours Log'!$A$4:$A$5000)+7*(ROW()-10)))</f>
        <v/>
      </c>
    </row>
    <row r="1466">
      <c r="A1466">
        <f>IF($J1466="","",YEAR($J1466-WEEKDAY($J1466,2)+4)&amp;"-W"&amp;TEXT(WEEKNUM($J1466,21),"00"))</f>
        <v/>
      </c>
      <c r="B1466" s="41">
        <f>IF($J1466="","",COUNTIFS(Roster!$D$4:$D$500,"Active",Roster!$C$4:$C$500,"&lt;="&amp;$J1466))</f>
        <v/>
      </c>
      <c r="C1466">
        <f>IF($J1466="","",SUMIFS('Hours Log'!$C:$C,'Hours Log'!$A:$A,"&gt;="&amp;$J1466,'Hours Log'!$A:$A,"&lt;"&amp;$J1466+7)+SUMIFS('Hours Log'!$D:$D,'Hours Log'!$A:$A,"&gt;="&amp;$J1466,'Hours Log'!$A:$A,"&lt;"&amp;$J1466+7))</f>
        <v/>
      </c>
      <c r="D1466">
        <f>IF($J1466="","",SUMIFS('Hours Log'!$D:$D,'Hours Log'!$A:$A,"&gt;="&amp;$J1466,'Hours Log'!$A:$A,"&lt;"&amp;$J1466+7))</f>
        <v/>
      </c>
      <c r="E1466">
        <f>IF($J1466="","",IFERROR(C1466/(B1466*40),0))</f>
        <v/>
      </c>
      <c r="F1466">
        <f>IF($J1466="","",0)</f>
        <v/>
      </c>
      <c r="G1466">
        <f>IF($J1466="","",SUMIFS('Hours Log'!$E:$E,'Hours Log'!$A:$A,"&gt;="&amp;$J1466,'Hours Log'!$A:$A,"&lt;"&amp;$J1466+7))</f>
        <v/>
      </c>
      <c r="J1466">
        <f>IF(COUNT('Hours Log'!$A$4:$A$5000)=0,"",IF(MIN('Hours Log'!$A$4:$A$5000)+7*(ROW()-10)&gt;MAX('Hours Log'!$A$4:$A$5000),"",MIN('Hours Log'!$A$4:$A$5000)+7*(ROW()-10)))</f>
        <v/>
      </c>
    </row>
    <row r="1467">
      <c r="A1467">
        <f>IF($J1467="","",YEAR($J1467-WEEKDAY($J1467,2)+4)&amp;"-W"&amp;TEXT(WEEKNUM($J1467,21),"00"))</f>
        <v/>
      </c>
      <c r="B1467" s="41">
        <f>IF($J1467="","",COUNTIFS(Roster!$D$4:$D$500,"Active",Roster!$C$4:$C$500,"&lt;="&amp;$J1467))</f>
        <v/>
      </c>
      <c r="C1467">
        <f>IF($J1467="","",SUMIFS('Hours Log'!$C:$C,'Hours Log'!$A:$A,"&gt;="&amp;$J1467,'Hours Log'!$A:$A,"&lt;"&amp;$J1467+7)+SUMIFS('Hours Log'!$D:$D,'Hours Log'!$A:$A,"&gt;="&amp;$J1467,'Hours Log'!$A:$A,"&lt;"&amp;$J1467+7))</f>
        <v/>
      </c>
      <c r="D1467">
        <f>IF($J1467="","",SUMIFS('Hours Log'!$D:$D,'Hours Log'!$A:$A,"&gt;="&amp;$J1467,'Hours Log'!$A:$A,"&lt;"&amp;$J1467+7))</f>
        <v/>
      </c>
      <c r="E1467">
        <f>IF($J1467="","",IFERROR(C1467/(B1467*40),0))</f>
        <v/>
      </c>
      <c r="F1467">
        <f>IF($J1467="","",0)</f>
        <v/>
      </c>
      <c r="G1467">
        <f>IF($J1467="","",SUMIFS('Hours Log'!$E:$E,'Hours Log'!$A:$A,"&gt;="&amp;$J1467,'Hours Log'!$A:$A,"&lt;"&amp;$J1467+7))</f>
        <v/>
      </c>
      <c r="J1467">
        <f>IF(COUNT('Hours Log'!$A$4:$A$5000)=0,"",IF(MIN('Hours Log'!$A$4:$A$5000)+7*(ROW()-10)&gt;MAX('Hours Log'!$A$4:$A$5000),"",MIN('Hours Log'!$A$4:$A$5000)+7*(ROW()-10)))</f>
        <v/>
      </c>
    </row>
    <row r="1468">
      <c r="A1468">
        <f>IF($J1468="","",YEAR($J1468-WEEKDAY($J1468,2)+4)&amp;"-W"&amp;TEXT(WEEKNUM($J1468,21),"00"))</f>
        <v/>
      </c>
      <c r="B1468" s="41">
        <f>IF($J1468="","",COUNTIFS(Roster!$D$4:$D$500,"Active",Roster!$C$4:$C$500,"&lt;="&amp;$J1468))</f>
        <v/>
      </c>
      <c r="C1468">
        <f>IF($J1468="","",SUMIFS('Hours Log'!$C:$C,'Hours Log'!$A:$A,"&gt;="&amp;$J1468,'Hours Log'!$A:$A,"&lt;"&amp;$J1468+7)+SUMIFS('Hours Log'!$D:$D,'Hours Log'!$A:$A,"&gt;="&amp;$J1468,'Hours Log'!$A:$A,"&lt;"&amp;$J1468+7))</f>
        <v/>
      </c>
      <c r="D1468">
        <f>IF($J1468="","",SUMIFS('Hours Log'!$D:$D,'Hours Log'!$A:$A,"&gt;="&amp;$J1468,'Hours Log'!$A:$A,"&lt;"&amp;$J1468+7))</f>
        <v/>
      </c>
      <c r="E1468">
        <f>IF($J1468="","",IFERROR(C1468/(B1468*40),0))</f>
        <v/>
      </c>
      <c r="F1468">
        <f>IF($J1468="","",0)</f>
        <v/>
      </c>
      <c r="G1468">
        <f>IF($J1468="","",SUMIFS('Hours Log'!$E:$E,'Hours Log'!$A:$A,"&gt;="&amp;$J1468,'Hours Log'!$A:$A,"&lt;"&amp;$J1468+7))</f>
        <v/>
      </c>
      <c r="J1468">
        <f>IF(COUNT('Hours Log'!$A$4:$A$5000)=0,"",IF(MIN('Hours Log'!$A$4:$A$5000)+7*(ROW()-10)&gt;MAX('Hours Log'!$A$4:$A$5000),"",MIN('Hours Log'!$A$4:$A$5000)+7*(ROW()-10)))</f>
        <v/>
      </c>
    </row>
    <row r="1469">
      <c r="A1469">
        <f>IF($J1469="","",YEAR($J1469-WEEKDAY($J1469,2)+4)&amp;"-W"&amp;TEXT(WEEKNUM($J1469,21),"00"))</f>
        <v/>
      </c>
      <c r="B1469" s="41">
        <f>IF($J1469="","",COUNTIFS(Roster!$D$4:$D$500,"Active",Roster!$C$4:$C$500,"&lt;="&amp;$J1469))</f>
        <v/>
      </c>
      <c r="C1469">
        <f>IF($J1469="","",SUMIFS('Hours Log'!$C:$C,'Hours Log'!$A:$A,"&gt;="&amp;$J1469,'Hours Log'!$A:$A,"&lt;"&amp;$J1469+7)+SUMIFS('Hours Log'!$D:$D,'Hours Log'!$A:$A,"&gt;="&amp;$J1469,'Hours Log'!$A:$A,"&lt;"&amp;$J1469+7))</f>
        <v/>
      </c>
      <c r="D1469">
        <f>IF($J1469="","",SUMIFS('Hours Log'!$D:$D,'Hours Log'!$A:$A,"&gt;="&amp;$J1469,'Hours Log'!$A:$A,"&lt;"&amp;$J1469+7))</f>
        <v/>
      </c>
      <c r="E1469">
        <f>IF($J1469="","",IFERROR(C1469/(B1469*40),0))</f>
        <v/>
      </c>
      <c r="F1469">
        <f>IF($J1469="","",0)</f>
        <v/>
      </c>
      <c r="G1469">
        <f>IF($J1469="","",SUMIFS('Hours Log'!$E:$E,'Hours Log'!$A:$A,"&gt;="&amp;$J1469,'Hours Log'!$A:$A,"&lt;"&amp;$J1469+7))</f>
        <v/>
      </c>
      <c r="J1469">
        <f>IF(COUNT('Hours Log'!$A$4:$A$5000)=0,"",IF(MIN('Hours Log'!$A$4:$A$5000)+7*(ROW()-10)&gt;MAX('Hours Log'!$A$4:$A$5000),"",MIN('Hours Log'!$A$4:$A$5000)+7*(ROW()-10)))</f>
        <v/>
      </c>
    </row>
    <row r="1470">
      <c r="A1470">
        <f>IF($J1470="","",YEAR($J1470-WEEKDAY($J1470,2)+4)&amp;"-W"&amp;TEXT(WEEKNUM($J1470,21),"00"))</f>
        <v/>
      </c>
      <c r="B1470" s="41">
        <f>IF($J1470="","",COUNTIFS(Roster!$D$4:$D$500,"Active",Roster!$C$4:$C$500,"&lt;="&amp;$J1470))</f>
        <v/>
      </c>
      <c r="C1470">
        <f>IF($J1470="","",SUMIFS('Hours Log'!$C:$C,'Hours Log'!$A:$A,"&gt;="&amp;$J1470,'Hours Log'!$A:$A,"&lt;"&amp;$J1470+7)+SUMIFS('Hours Log'!$D:$D,'Hours Log'!$A:$A,"&gt;="&amp;$J1470,'Hours Log'!$A:$A,"&lt;"&amp;$J1470+7))</f>
        <v/>
      </c>
      <c r="D1470">
        <f>IF($J1470="","",SUMIFS('Hours Log'!$D:$D,'Hours Log'!$A:$A,"&gt;="&amp;$J1470,'Hours Log'!$A:$A,"&lt;"&amp;$J1470+7))</f>
        <v/>
      </c>
      <c r="E1470">
        <f>IF($J1470="","",IFERROR(C1470/(B1470*40),0))</f>
        <v/>
      </c>
      <c r="F1470">
        <f>IF($J1470="","",0)</f>
        <v/>
      </c>
      <c r="G1470">
        <f>IF($J1470="","",SUMIFS('Hours Log'!$E:$E,'Hours Log'!$A:$A,"&gt;="&amp;$J1470,'Hours Log'!$A:$A,"&lt;"&amp;$J1470+7))</f>
        <v/>
      </c>
      <c r="J1470">
        <f>IF(COUNT('Hours Log'!$A$4:$A$5000)=0,"",IF(MIN('Hours Log'!$A$4:$A$5000)+7*(ROW()-10)&gt;MAX('Hours Log'!$A$4:$A$5000),"",MIN('Hours Log'!$A$4:$A$5000)+7*(ROW()-10)))</f>
        <v/>
      </c>
    </row>
    <row r="1471">
      <c r="A1471">
        <f>IF($J1471="","",YEAR($J1471-WEEKDAY($J1471,2)+4)&amp;"-W"&amp;TEXT(WEEKNUM($J1471,21),"00"))</f>
        <v/>
      </c>
      <c r="B1471" s="41">
        <f>IF($J1471="","",COUNTIFS(Roster!$D$4:$D$500,"Active",Roster!$C$4:$C$500,"&lt;="&amp;$J1471))</f>
        <v/>
      </c>
      <c r="C1471">
        <f>IF($J1471="","",SUMIFS('Hours Log'!$C:$C,'Hours Log'!$A:$A,"&gt;="&amp;$J1471,'Hours Log'!$A:$A,"&lt;"&amp;$J1471+7)+SUMIFS('Hours Log'!$D:$D,'Hours Log'!$A:$A,"&gt;="&amp;$J1471,'Hours Log'!$A:$A,"&lt;"&amp;$J1471+7))</f>
        <v/>
      </c>
      <c r="D1471">
        <f>IF($J1471="","",SUMIFS('Hours Log'!$D:$D,'Hours Log'!$A:$A,"&gt;="&amp;$J1471,'Hours Log'!$A:$A,"&lt;"&amp;$J1471+7))</f>
        <v/>
      </c>
      <c r="E1471">
        <f>IF($J1471="","",IFERROR(C1471/(B1471*40),0))</f>
        <v/>
      </c>
      <c r="F1471">
        <f>IF($J1471="","",0)</f>
        <v/>
      </c>
      <c r="G1471">
        <f>IF($J1471="","",SUMIFS('Hours Log'!$E:$E,'Hours Log'!$A:$A,"&gt;="&amp;$J1471,'Hours Log'!$A:$A,"&lt;"&amp;$J1471+7))</f>
        <v/>
      </c>
      <c r="J1471">
        <f>IF(COUNT('Hours Log'!$A$4:$A$5000)=0,"",IF(MIN('Hours Log'!$A$4:$A$5000)+7*(ROW()-10)&gt;MAX('Hours Log'!$A$4:$A$5000),"",MIN('Hours Log'!$A$4:$A$5000)+7*(ROW()-10)))</f>
        <v/>
      </c>
    </row>
    <row r="1472">
      <c r="A1472">
        <f>IF($J1472="","",YEAR($J1472-WEEKDAY($J1472,2)+4)&amp;"-W"&amp;TEXT(WEEKNUM($J1472,21),"00"))</f>
        <v/>
      </c>
      <c r="B1472" s="41">
        <f>IF($J1472="","",COUNTIFS(Roster!$D$4:$D$500,"Active",Roster!$C$4:$C$500,"&lt;="&amp;$J1472))</f>
        <v/>
      </c>
      <c r="C1472">
        <f>IF($J1472="","",SUMIFS('Hours Log'!$C:$C,'Hours Log'!$A:$A,"&gt;="&amp;$J1472,'Hours Log'!$A:$A,"&lt;"&amp;$J1472+7)+SUMIFS('Hours Log'!$D:$D,'Hours Log'!$A:$A,"&gt;="&amp;$J1472,'Hours Log'!$A:$A,"&lt;"&amp;$J1472+7))</f>
        <v/>
      </c>
      <c r="D1472">
        <f>IF($J1472="","",SUMIFS('Hours Log'!$D:$D,'Hours Log'!$A:$A,"&gt;="&amp;$J1472,'Hours Log'!$A:$A,"&lt;"&amp;$J1472+7))</f>
        <v/>
      </c>
      <c r="E1472">
        <f>IF($J1472="","",IFERROR(C1472/(B1472*40),0))</f>
        <v/>
      </c>
      <c r="F1472">
        <f>IF($J1472="","",0)</f>
        <v/>
      </c>
      <c r="G1472">
        <f>IF($J1472="","",SUMIFS('Hours Log'!$E:$E,'Hours Log'!$A:$A,"&gt;="&amp;$J1472,'Hours Log'!$A:$A,"&lt;"&amp;$J1472+7))</f>
        <v/>
      </c>
      <c r="J1472">
        <f>IF(COUNT('Hours Log'!$A$4:$A$5000)=0,"",IF(MIN('Hours Log'!$A$4:$A$5000)+7*(ROW()-10)&gt;MAX('Hours Log'!$A$4:$A$5000),"",MIN('Hours Log'!$A$4:$A$5000)+7*(ROW()-10)))</f>
        <v/>
      </c>
    </row>
    <row r="1473">
      <c r="A1473">
        <f>IF($J1473="","",YEAR($J1473-WEEKDAY($J1473,2)+4)&amp;"-W"&amp;TEXT(WEEKNUM($J1473,21),"00"))</f>
        <v/>
      </c>
      <c r="B1473" s="41">
        <f>IF($J1473="","",COUNTIFS(Roster!$D$4:$D$500,"Active",Roster!$C$4:$C$500,"&lt;="&amp;$J1473))</f>
        <v/>
      </c>
      <c r="C1473">
        <f>IF($J1473="","",SUMIFS('Hours Log'!$C:$C,'Hours Log'!$A:$A,"&gt;="&amp;$J1473,'Hours Log'!$A:$A,"&lt;"&amp;$J1473+7)+SUMIFS('Hours Log'!$D:$D,'Hours Log'!$A:$A,"&gt;="&amp;$J1473,'Hours Log'!$A:$A,"&lt;"&amp;$J1473+7))</f>
        <v/>
      </c>
      <c r="D1473">
        <f>IF($J1473="","",SUMIFS('Hours Log'!$D:$D,'Hours Log'!$A:$A,"&gt;="&amp;$J1473,'Hours Log'!$A:$A,"&lt;"&amp;$J1473+7))</f>
        <v/>
      </c>
      <c r="E1473">
        <f>IF($J1473="","",IFERROR(C1473/(B1473*40),0))</f>
        <v/>
      </c>
      <c r="F1473">
        <f>IF($J1473="","",0)</f>
        <v/>
      </c>
      <c r="G1473">
        <f>IF($J1473="","",SUMIFS('Hours Log'!$E:$E,'Hours Log'!$A:$A,"&gt;="&amp;$J1473,'Hours Log'!$A:$A,"&lt;"&amp;$J1473+7))</f>
        <v/>
      </c>
      <c r="J1473">
        <f>IF(COUNT('Hours Log'!$A$4:$A$5000)=0,"",IF(MIN('Hours Log'!$A$4:$A$5000)+7*(ROW()-10)&gt;MAX('Hours Log'!$A$4:$A$5000),"",MIN('Hours Log'!$A$4:$A$5000)+7*(ROW()-10)))</f>
        <v/>
      </c>
    </row>
    <row r="1474">
      <c r="A1474">
        <f>IF($J1474="","",YEAR($J1474-WEEKDAY($J1474,2)+4)&amp;"-W"&amp;TEXT(WEEKNUM($J1474,21),"00"))</f>
        <v/>
      </c>
      <c r="B1474" s="41">
        <f>IF($J1474="","",COUNTIFS(Roster!$D$4:$D$500,"Active",Roster!$C$4:$C$500,"&lt;="&amp;$J1474))</f>
        <v/>
      </c>
      <c r="C1474">
        <f>IF($J1474="","",SUMIFS('Hours Log'!$C:$C,'Hours Log'!$A:$A,"&gt;="&amp;$J1474,'Hours Log'!$A:$A,"&lt;"&amp;$J1474+7)+SUMIFS('Hours Log'!$D:$D,'Hours Log'!$A:$A,"&gt;="&amp;$J1474,'Hours Log'!$A:$A,"&lt;"&amp;$J1474+7))</f>
        <v/>
      </c>
      <c r="D1474">
        <f>IF($J1474="","",SUMIFS('Hours Log'!$D:$D,'Hours Log'!$A:$A,"&gt;="&amp;$J1474,'Hours Log'!$A:$A,"&lt;"&amp;$J1474+7))</f>
        <v/>
      </c>
      <c r="E1474">
        <f>IF($J1474="","",IFERROR(C1474/(B1474*40),0))</f>
        <v/>
      </c>
      <c r="F1474">
        <f>IF($J1474="","",0)</f>
        <v/>
      </c>
      <c r="G1474">
        <f>IF($J1474="","",SUMIFS('Hours Log'!$E:$E,'Hours Log'!$A:$A,"&gt;="&amp;$J1474,'Hours Log'!$A:$A,"&lt;"&amp;$J1474+7))</f>
        <v/>
      </c>
      <c r="J1474">
        <f>IF(COUNT('Hours Log'!$A$4:$A$5000)=0,"",IF(MIN('Hours Log'!$A$4:$A$5000)+7*(ROW()-10)&gt;MAX('Hours Log'!$A$4:$A$5000),"",MIN('Hours Log'!$A$4:$A$5000)+7*(ROW()-10)))</f>
        <v/>
      </c>
    </row>
    <row r="1475">
      <c r="A1475">
        <f>IF($J1475="","",YEAR($J1475-WEEKDAY($J1475,2)+4)&amp;"-W"&amp;TEXT(WEEKNUM($J1475,21),"00"))</f>
        <v/>
      </c>
      <c r="B1475" s="41">
        <f>IF($J1475="","",COUNTIFS(Roster!$D$4:$D$500,"Active",Roster!$C$4:$C$500,"&lt;="&amp;$J1475))</f>
        <v/>
      </c>
      <c r="C1475">
        <f>IF($J1475="","",SUMIFS('Hours Log'!$C:$C,'Hours Log'!$A:$A,"&gt;="&amp;$J1475,'Hours Log'!$A:$A,"&lt;"&amp;$J1475+7)+SUMIFS('Hours Log'!$D:$D,'Hours Log'!$A:$A,"&gt;="&amp;$J1475,'Hours Log'!$A:$A,"&lt;"&amp;$J1475+7))</f>
        <v/>
      </c>
      <c r="D1475">
        <f>IF($J1475="","",SUMIFS('Hours Log'!$D:$D,'Hours Log'!$A:$A,"&gt;="&amp;$J1475,'Hours Log'!$A:$A,"&lt;"&amp;$J1475+7))</f>
        <v/>
      </c>
      <c r="E1475">
        <f>IF($J1475="","",IFERROR(C1475/(B1475*40),0))</f>
        <v/>
      </c>
      <c r="F1475">
        <f>IF($J1475="","",0)</f>
        <v/>
      </c>
      <c r="G1475">
        <f>IF($J1475="","",SUMIFS('Hours Log'!$E:$E,'Hours Log'!$A:$A,"&gt;="&amp;$J1475,'Hours Log'!$A:$A,"&lt;"&amp;$J1475+7))</f>
        <v/>
      </c>
      <c r="J1475">
        <f>IF(COUNT('Hours Log'!$A$4:$A$5000)=0,"",IF(MIN('Hours Log'!$A$4:$A$5000)+7*(ROW()-10)&gt;MAX('Hours Log'!$A$4:$A$5000),"",MIN('Hours Log'!$A$4:$A$5000)+7*(ROW()-10)))</f>
        <v/>
      </c>
    </row>
    <row r="1476">
      <c r="A1476">
        <f>IF($J1476="","",YEAR($J1476-WEEKDAY($J1476,2)+4)&amp;"-W"&amp;TEXT(WEEKNUM($J1476,21),"00"))</f>
        <v/>
      </c>
      <c r="B1476" s="41">
        <f>IF($J1476="","",COUNTIFS(Roster!$D$4:$D$500,"Active",Roster!$C$4:$C$500,"&lt;="&amp;$J1476))</f>
        <v/>
      </c>
      <c r="C1476">
        <f>IF($J1476="","",SUMIFS('Hours Log'!$C:$C,'Hours Log'!$A:$A,"&gt;="&amp;$J1476,'Hours Log'!$A:$A,"&lt;"&amp;$J1476+7)+SUMIFS('Hours Log'!$D:$D,'Hours Log'!$A:$A,"&gt;="&amp;$J1476,'Hours Log'!$A:$A,"&lt;"&amp;$J1476+7))</f>
        <v/>
      </c>
      <c r="D1476">
        <f>IF($J1476="","",SUMIFS('Hours Log'!$D:$D,'Hours Log'!$A:$A,"&gt;="&amp;$J1476,'Hours Log'!$A:$A,"&lt;"&amp;$J1476+7))</f>
        <v/>
      </c>
      <c r="E1476">
        <f>IF($J1476="","",IFERROR(C1476/(B1476*40),0))</f>
        <v/>
      </c>
      <c r="F1476">
        <f>IF($J1476="","",0)</f>
        <v/>
      </c>
      <c r="G1476">
        <f>IF($J1476="","",SUMIFS('Hours Log'!$E:$E,'Hours Log'!$A:$A,"&gt;="&amp;$J1476,'Hours Log'!$A:$A,"&lt;"&amp;$J1476+7))</f>
        <v/>
      </c>
      <c r="J1476">
        <f>IF(COUNT('Hours Log'!$A$4:$A$5000)=0,"",IF(MIN('Hours Log'!$A$4:$A$5000)+7*(ROW()-10)&gt;MAX('Hours Log'!$A$4:$A$5000),"",MIN('Hours Log'!$A$4:$A$5000)+7*(ROW()-10)))</f>
        <v/>
      </c>
    </row>
    <row r="1477">
      <c r="A1477">
        <f>IF($J1477="","",YEAR($J1477-WEEKDAY($J1477,2)+4)&amp;"-W"&amp;TEXT(WEEKNUM($J1477,21),"00"))</f>
        <v/>
      </c>
      <c r="B1477" s="41">
        <f>IF($J1477="","",COUNTIFS(Roster!$D$4:$D$500,"Active",Roster!$C$4:$C$500,"&lt;="&amp;$J1477))</f>
        <v/>
      </c>
      <c r="C1477">
        <f>IF($J1477="","",SUMIFS('Hours Log'!$C:$C,'Hours Log'!$A:$A,"&gt;="&amp;$J1477,'Hours Log'!$A:$A,"&lt;"&amp;$J1477+7)+SUMIFS('Hours Log'!$D:$D,'Hours Log'!$A:$A,"&gt;="&amp;$J1477,'Hours Log'!$A:$A,"&lt;"&amp;$J1477+7))</f>
        <v/>
      </c>
      <c r="D1477">
        <f>IF($J1477="","",SUMIFS('Hours Log'!$D:$D,'Hours Log'!$A:$A,"&gt;="&amp;$J1477,'Hours Log'!$A:$A,"&lt;"&amp;$J1477+7))</f>
        <v/>
      </c>
      <c r="E1477">
        <f>IF($J1477="","",IFERROR(C1477/(B1477*40),0))</f>
        <v/>
      </c>
      <c r="F1477">
        <f>IF($J1477="","",0)</f>
        <v/>
      </c>
      <c r="G1477">
        <f>IF($J1477="","",SUMIFS('Hours Log'!$E:$E,'Hours Log'!$A:$A,"&gt;="&amp;$J1477,'Hours Log'!$A:$A,"&lt;"&amp;$J1477+7))</f>
        <v/>
      </c>
      <c r="J1477">
        <f>IF(COUNT('Hours Log'!$A$4:$A$5000)=0,"",IF(MIN('Hours Log'!$A$4:$A$5000)+7*(ROW()-10)&gt;MAX('Hours Log'!$A$4:$A$5000),"",MIN('Hours Log'!$A$4:$A$5000)+7*(ROW()-10)))</f>
        <v/>
      </c>
    </row>
    <row r="1478">
      <c r="A1478">
        <f>IF($J1478="","",YEAR($J1478-WEEKDAY($J1478,2)+4)&amp;"-W"&amp;TEXT(WEEKNUM($J1478,21),"00"))</f>
        <v/>
      </c>
      <c r="B1478" s="41">
        <f>IF($J1478="","",COUNTIFS(Roster!$D$4:$D$500,"Active",Roster!$C$4:$C$500,"&lt;="&amp;$J1478))</f>
        <v/>
      </c>
      <c r="C1478">
        <f>IF($J1478="","",SUMIFS('Hours Log'!$C:$C,'Hours Log'!$A:$A,"&gt;="&amp;$J1478,'Hours Log'!$A:$A,"&lt;"&amp;$J1478+7)+SUMIFS('Hours Log'!$D:$D,'Hours Log'!$A:$A,"&gt;="&amp;$J1478,'Hours Log'!$A:$A,"&lt;"&amp;$J1478+7))</f>
        <v/>
      </c>
      <c r="D1478">
        <f>IF($J1478="","",SUMIFS('Hours Log'!$D:$D,'Hours Log'!$A:$A,"&gt;="&amp;$J1478,'Hours Log'!$A:$A,"&lt;"&amp;$J1478+7))</f>
        <v/>
      </c>
      <c r="E1478">
        <f>IF($J1478="","",IFERROR(C1478/(B1478*40),0))</f>
        <v/>
      </c>
      <c r="F1478">
        <f>IF($J1478="","",0)</f>
        <v/>
      </c>
      <c r="G1478">
        <f>IF($J1478="","",SUMIFS('Hours Log'!$E:$E,'Hours Log'!$A:$A,"&gt;="&amp;$J1478,'Hours Log'!$A:$A,"&lt;"&amp;$J1478+7))</f>
        <v/>
      </c>
      <c r="J1478">
        <f>IF(COUNT('Hours Log'!$A$4:$A$5000)=0,"",IF(MIN('Hours Log'!$A$4:$A$5000)+7*(ROW()-10)&gt;MAX('Hours Log'!$A$4:$A$5000),"",MIN('Hours Log'!$A$4:$A$5000)+7*(ROW()-10)))</f>
        <v/>
      </c>
    </row>
    <row r="1479">
      <c r="A1479">
        <f>IF($J1479="","",YEAR($J1479-WEEKDAY($J1479,2)+4)&amp;"-W"&amp;TEXT(WEEKNUM($J1479,21),"00"))</f>
        <v/>
      </c>
      <c r="B1479" s="41">
        <f>IF($J1479="","",COUNTIFS(Roster!$D$4:$D$500,"Active",Roster!$C$4:$C$500,"&lt;="&amp;$J1479))</f>
        <v/>
      </c>
      <c r="C1479">
        <f>IF($J1479="","",SUMIFS('Hours Log'!$C:$C,'Hours Log'!$A:$A,"&gt;="&amp;$J1479,'Hours Log'!$A:$A,"&lt;"&amp;$J1479+7)+SUMIFS('Hours Log'!$D:$D,'Hours Log'!$A:$A,"&gt;="&amp;$J1479,'Hours Log'!$A:$A,"&lt;"&amp;$J1479+7))</f>
        <v/>
      </c>
      <c r="D1479">
        <f>IF($J1479="","",SUMIFS('Hours Log'!$D:$D,'Hours Log'!$A:$A,"&gt;="&amp;$J1479,'Hours Log'!$A:$A,"&lt;"&amp;$J1479+7))</f>
        <v/>
      </c>
      <c r="E1479">
        <f>IF($J1479="","",IFERROR(C1479/(B1479*40),0))</f>
        <v/>
      </c>
      <c r="F1479">
        <f>IF($J1479="","",0)</f>
        <v/>
      </c>
      <c r="G1479">
        <f>IF($J1479="","",SUMIFS('Hours Log'!$E:$E,'Hours Log'!$A:$A,"&gt;="&amp;$J1479,'Hours Log'!$A:$A,"&lt;"&amp;$J1479+7))</f>
        <v/>
      </c>
      <c r="J1479">
        <f>IF(COUNT('Hours Log'!$A$4:$A$5000)=0,"",IF(MIN('Hours Log'!$A$4:$A$5000)+7*(ROW()-10)&gt;MAX('Hours Log'!$A$4:$A$5000),"",MIN('Hours Log'!$A$4:$A$5000)+7*(ROW()-10)))</f>
        <v/>
      </c>
    </row>
    <row r="1480">
      <c r="A1480">
        <f>IF($J1480="","",YEAR($J1480-WEEKDAY($J1480,2)+4)&amp;"-W"&amp;TEXT(WEEKNUM($J1480,21),"00"))</f>
        <v/>
      </c>
      <c r="B1480" s="41">
        <f>IF($J1480="","",COUNTIFS(Roster!$D$4:$D$500,"Active",Roster!$C$4:$C$500,"&lt;="&amp;$J1480))</f>
        <v/>
      </c>
      <c r="C1480">
        <f>IF($J1480="","",SUMIFS('Hours Log'!$C:$C,'Hours Log'!$A:$A,"&gt;="&amp;$J1480,'Hours Log'!$A:$A,"&lt;"&amp;$J1480+7)+SUMIFS('Hours Log'!$D:$D,'Hours Log'!$A:$A,"&gt;="&amp;$J1480,'Hours Log'!$A:$A,"&lt;"&amp;$J1480+7))</f>
        <v/>
      </c>
      <c r="D1480">
        <f>IF($J1480="","",SUMIFS('Hours Log'!$D:$D,'Hours Log'!$A:$A,"&gt;="&amp;$J1480,'Hours Log'!$A:$A,"&lt;"&amp;$J1480+7))</f>
        <v/>
      </c>
      <c r="E1480">
        <f>IF($J1480="","",IFERROR(C1480/(B1480*40),0))</f>
        <v/>
      </c>
      <c r="F1480">
        <f>IF($J1480="","",0)</f>
        <v/>
      </c>
      <c r="G1480">
        <f>IF($J1480="","",SUMIFS('Hours Log'!$E:$E,'Hours Log'!$A:$A,"&gt;="&amp;$J1480,'Hours Log'!$A:$A,"&lt;"&amp;$J1480+7))</f>
        <v/>
      </c>
      <c r="J1480">
        <f>IF(COUNT('Hours Log'!$A$4:$A$5000)=0,"",IF(MIN('Hours Log'!$A$4:$A$5000)+7*(ROW()-10)&gt;MAX('Hours Log'!$A$4:$A$5000),"",MIN('Hours Log'!$A$4:$A$5000)+7*(ROW()-10)))</f>
        <v/>
      </c>
    </row>
    <row r="1481">
      <c r="A1481">
        <f>IF($J1481="","",YEAR($J1481-WEEKDAY($J1481,2)+4)&amp;"-W"&amp;TEXT(WEEKNUM($J1481,21),"00"))</f>
        <v/>
      </c>
      <c r="B1481" s="41">
        <f>IF($J1481="","",COUNTIFS(Roster!$D$4:$D$500,"Active",Roster!$C$4:$C$500,"&lt;="&amp;$J1481))</f>
        <v/>
      </c>
      <c r="C1481">
        <f>IF($J1481="","",SUMIFS('Hours Log'!$C:$C,'Hours Log'!$A:$A,"&gt;="&amp;$J1481,'Hours Log'!$A:$A,"&lt;"&amp;$J1481+7)+SUMIFS('Hours Log'!$D:$D,'Hours Log'!$A:$A,"&gt;="&amp;$J1481,'Hours Log'!$A:$A,"&lt;"&amp;$J1481+7))</f>
        <v/>
      </c>
      <c r="D1481">
        <f>IF($J1481="","",SUMIFS('Hours Log'!$D:$D,'Hours Log'!$A:$A,"&gt;="&amp;$J1481,'Hours Log'!$A:$A,"&lt;"&amp;$J1481+7))</f>
        <v/>
      </c>
      <c r="E1481">
        <f>IF($J1481="","",IFERROR(C1481/(B1481*40),0))</f>
        <v/>
      </c>
      <c r="F1481">
        <f>IF($J1481="","",0)</f>
        <v/>
      </c>
      <c r="G1481">
        <f>IF($J1481="","",SUMIFS('Hours Log'!$E:$E,'Hours Log'!$A:$A,"&gt;="&amp;$J1481,'Hours Log'!$A:$A,"&lt;"&amp;$J1481+7))</f>
        <v/>
      </c>
      <c r="J1481">
        <f>IF(COUNT('Hours Log'!$A$4:$A$5000)=0,"",IF(MIN('Hours Log'!$A$4:$A$5000)+7*(ROW()-10)&gt;MAX('Hours Log'!$A$4:$A$5000),"",MIN('Hours Log'!$A$4:$A$5000)+7*(ROW()-10)))</f>
        <v/>
      </c>
    </row>
    <row r="1482">
      <c r="A1482">
        <f>IF($J1482="","",YEAR($J1482-WEEKDAY($J1482,2)+4)&amp;"-W"&amp;TEXT(WEEKNUM($J1482,21),"00"))</f>
        <v/>
      </c>
      <c r="B1482" s="41">
        <f>IF($J1482="","",COUNTIFS(Roster!$D$4:$D$500,"Active",Roster!$C$4:$C$500,"&lt;="&amp;$J1482))</f>
        <v/>
      </c>
      <c r="C1482">
        <f>IF($J1482="","",SUMIFS('Hours Log'!$C:$C,'Hours Log'!$A:$A,"&gt;="&amp;$J1482,'Hours Log'!$A:$A,"&lt;"&amp;$J1482+7)+SUMIFS('Hours Log'!$D:$D,'Hours Log'!$A:$A,"&gt;="&amp;$J1482,'Hours Log'!$A:$A,"&lt;"&amp;$J1482+7))</f>
        <v/>
      </c>
      <c r="D1482">
        <f>IF($J1482="","",SUMIFS('Hours Log'!$D:$D,'Hours Log'!$A:$A,"&gt;="&amp;$J1482,'Hours Log'!$A:$A,"&lt;"&amp;$J1482+7))</f>
        <v/>
      </c>
      <c r="E1482">
        <f>IF($J1482="","",IFERROR(C1482/(B1482*40),0))</f>
        <v/>
      </c>
      <c r="F1482">
        <f>IF($J1482="","",0)</f>
        <v/>
      </c>
      <c r="G1482">
        <f>IF($J1482="","",SUMIFS('Hours Log'!$E:$E,'Hours Log'!$A:$A,"&gt;="&amp;$J1482,'Hours Log'!$A:$A,"&lt;"&amp;$J1482+7))</f>
        <v/>
      </c>
      <c r="J1482">
        <f>IF(COUNT('Hours Log'!$A$4:$A$5000)=0,"",IF(MIN('Hours Log'!$A$4:$A$5000)+7*(ROW()-10)&gt;MAX('Hours Log'!$A$4:$A$5000),"",MIN('Hours Log'!$A$4:$A$5000)+7*(ROW()-10)))</f>
        <v/>
      </c>
    </row>
    <row r="1483">
      <c r="A1483">
        <f>IF($J1483="","",YEAR($J1483-WEEKDAY($J1483,2)+4)&amp;"-W"&amp;TEXT(WEEKNUM($J1483,21),"00"))</f>
        <v/>
      </c>
      <c r="B1483" s="41">
        <f>IF($J1483="","",COUNTIFS(Roster!$D$4:$D$500,"Active",Roster!$C$4:$C$500,"&lt;="&amp;$J1483))</f>
        <v/>
      </c>
      <c r="C1483">
        <f>IF($J1483="","",SUMIFS('Hours Log'!$C:$C,'Hours Log'!$A:$A,"&gt;="&amp;$J1483,'Hours Log'!$A:$A,"&lt;"&amp;$J1483+7)+SUMIFS('Hours Log'!$D:$D,'Hours Log'!$A:$A,"&gt;="&amp;$J1483,'Hours Log'!$A:$A,"&lt;"&amp;$J1483+7))</f>
        <v/>
      </c>
      <c r="D1483">
        <f>IF($J1483="","",SUMIFS('Hours Log'!$D:$D,'Hours Log'!$A:$A,"&gt;="&amp;$J1483,'Hours Log'!$A:$A,"&lt;"&amp;$J1483+7))</f>
        <v/>
      </c>
      <c r="E1483">
        <f>IF($J1483="","",IFERROR(C1483/(B1483*40),0))</f>
        <v/>
      </c>
      <c r="F1483">
        <f>IF($J1483="","",0)</f>
        <v/>
      </c>
      <c r="G1483">
        <f>IF($J1483="","",SUMIFS('Hours Log'!$E:$E,'Hours Log'!$A:$A,"&gt;="&amp;$J1483,'Hours Log'!$A:$A,"&lt;"&amp;$J1483+7))</f>
        <v/>
      </c>
      <c r="J1483">
        <f>IF(COUNT('Hours Log'!$A$4:$A$5000)=0,"",IF(MIN('Hours Log'!$A$4:$A$5000)+7*(ROW()-10)&gt;MAX('Hours Log'!$A$4:$A$5000),"",MIN('Hours Log'!$A$4:$A$5000)+7*(ROW()-10)))</f>
        <v/>
      </c>
    </row>
    <row r="1484">
      <c r="A1484">
        <f>IF($J1484="","",YEAR($J1484-WEEKDAY($J1484,2)+4)&amp;"-W"&amp;TEXT(WEEKNUM($J1484,21),"00"))</f>
        <v/>
      </c>
      <c r="B1484" s="41">
        <f>IF($J1484="","",COUNTIFS(Roster!$D$4:$D$500,"Active",Roster!$C$4:$C$500,"&lt;="&amp;$J1484))</f>
        <v/>
      </c>
      <c r="C1484">
        <f>IF($J1484="","",SUMIFS('Hours Log'!$C:$C,'Hours Log'!$A:$A,"&gt;="&amp;$J1484,'Hours Log'!$A:$A,"&lt;"&amp;$J1484+7)+SUMIFS('Hours Log'!$D:$D,'Hours Log'!$A:$A,"&gt;="&amp;$J1484,'Hours Log'!$A:$A,"&lt;"&amp;$J1484+7))</f>
        <v/>
      </c>
      <c r="D1484">
        <f>IF($J1484="","",SUMIFS('Hours Log'!$D:$D,'Hours Log'!$A:$A,"&gt;="&amp;$J1484,'Hours Log'!$A:$A,"&lt;"&amp;$J1484+7))</f>
        <v/>
      </c>
      <c r="E1484">
        <f>IF($J1484="","",IFERROR(C1484/(B1484*40),0))</f>
        <v/>
      </c>
      <c r="F1484">
        <f>IF($J1484="","",0)</f>
        <v/>
      </c>
      <c r="G1484">
        <f>IF($J1484="","",SUMIFS('Hours Log'!$E:$E,'Hours Log'!$A:$A,"&gt;="&amp;$J1484,'Hours Log'!$A:$A,"&lt;"&amp;$J1484+7))</f>
        <v/>
      </c>
      <c r="J1484">
        <f>IF(COUNT('Hours Log'!$A$4:$A$5000)=0,"",IF(MIN('Hours Log'!$A$4:$A$5000)+7*(ROW()-10)&gt;MAX('Hours Log'!$A$4:$A$5000),"",MIN('Hours Log'!$A$4:$A$5000)+7*(ROW()-10)))</f>
        <v/>
      </c>
    </row>
    <row r="1485">
      <c r="A1485">
        <f>IF($J1485="","",YEAR($J1485-WEEKDAY($J1485,2)+4)&amp;"-W"&amp;TEXT(WEEKNUM($J1485,21),"00"))</f>
        <v/>
      </c>
      <c r="B1485" s="41">
        <f>IF($J1485="","",COUNTIFS(Roster!$D$4:$D$500,"Active",Roster!$C$4:$C$500,"&lt;="&amp;$J1485))</f>
        <v/>
      </c>
      <c r="C1485">
        <f>IF($J1485="","",SUMIFS('Hours Log'!$C:$C,'Hours Log'!$A:$A,"&gt;="&amp;$J1485,'Hours Log'!$A:$A,"&lt;"&amp;$J1485+7)+SUMIFS('Hours Log'!$D:$D,'Hours Log'!$A:$A,"&gt;="&amp;$J1485,'Hours Log'!$A:$A,"&lt;"&amp;$J1485+7))</f>
        <v/>
      </c>
      <c r="D1485">
        <f>IF($J1485="","",SUMIFS('Hours Log'!$D:$D,'Hours Log'!$A:$A,"&gt;="&amp;$J1485,'Hours Log'!$A:$A,"&lt;"&amp;$J1485+7))</f>
        <v/>
      </c>
      <c r="E1485">
        <f>IF($J1485="","",IFERROR(C1485/(B1485*40),0))</f>
        <v/>
      </c>
      <c r="F1485">
        <f>IF($J1485="","",0)</f>
        <v/>
      </c>
      <c r="G1485">
        <f>IF($J1485="","",SUMIFS('Hours Log'!$E:$E,'Hours Log'!$A:$A,"&gt;="&amp;$J1485,'Hours Log'!$A:$A,"&lt;"&amp;$J1485+7))</f>
        <v/>
      </c>
      <c r="J1485">
        <f>IF(COUNT('Hours Log'!$A$4:$A$5000)=0,"",IF(MIN('Hours Log'!$A$4:$A$5000)+7*(ROW()-10)&gt;MAX('Hours Log'!$A$4:$A$5000),"",MIN('Hours Log'!$A$4:$A$5000)+7*(ROW()-10)))</f>
        <v/>
      </c>
    </row>
    <row r="1486">
      <c r="A1486">
        <f>IF($J1486="","",YEAR($J1486-WEEKDAY($J1486,2)+4)&amp;"-W"&amp;TEXT(WEEKNUM($J1486,21),"00"))</f>
        <v/>
      </c>
      <c r="B1486" s="41">
        <f>IF($J1486="","",COUNTIFS(Roster!$D$4:$D$500,"Active",Roster!$C$4:$C$500,"&lt;="&amp;$J1486))</f>
        <v/>
      </c>
      <c r="C1486">
        <f>IF($J1486="","",SUMIFS('Hours Log'!$C:$C,'Hours Log'!$A:$A,"&gt;="&amp;$J1486,'Hours Log'!$A:$A,"&lt;"&amp;$J1486+7)+SUMIFS('Hours Log'!$D:$D,'Hours Log'!$A:$A,"&gt;="&amp;$J1486,'Hours Log'!$A:$A,"&lt;"&amp;$J1486+7))</f>
        <v/>
      </c>
      <c r="D1486">
        <f>IF($J1486="","",SUMIFS('Hours Log'!$D:$D,'Hours Log'!$A:$A,"&gt;="&amp;$J1486,'Hours Log'!$A:$A,"&lt;"&amp;$J1486+7))</f>
        <v/>
      </c>
      <c r="E1486">
        <f>IF($J1486="","",IFERROR(C1486/(B1486*40),0))</f>
        <v/>
      </c>
      <c r="F1486">
        <f>IF($J1486="","",0)</f>
        <v/>
      </c>
      <c r="G1486">
        <f>IF($J1486="","",SUMIFS('Hours Log'!$E:$E,'Hours Log'!$A:$A,"&gt;="&amp;$J1486,'Hours Log'!$A:$A,"&lt;"&amp;$J1486+7))</f>
        <v/>
      </c>
      <c r="J1486">
        <f>IF(COUNT('Hours Log'!$A$4:$A$5000)=0,"",IF(MIN('Hours Log'!$A$4:$A$5000)+7*(ROW()-10)&gt;MAX('Hours Log'!$A$4:$A$5000),"",MIN('Hours Log'!$A$4:$A$5000)+7*(ROW()-10)))</f>
        <v/>
      </c>
    </row>
    <row r="1487">
      <c r="A1487">
        <f>IF($J1487="","",YEAR($J1487-WEEKDAY($J1487,2)+4)&amp;"-W"&amp;TEXT(WEEKNUM($J1487,21),"00"))</f>
        <v/>
      </c>
      <c r="B1487" s="41">
        <f>IF($J1487="","",COUNTIFS(Roster!$D$4:$D$500,"Active",Roster!$C$4:$C$500,"&lt;="&amp;$J1487))</f>
        <v/>
      </c>
      <c r="C1487">
        <f>IF($J1487="","",SUMIFS('Hours Log'!$C:$C,'Hours Log'!$A:$A,"&gt;="&amp;$J1487,'Hours Log'!$A:$A,"&lt;"&amp;$J1487+7)+SUMIFS('Hours Log'!$D:$D,'Hours Log'!$A:$A,"&gt;="&amp;$J1487,'Hours Log'!$A:$A,"&lt;"&amp;$J1487+7))</f>
        <v/>
      </c>
      <c r="D1487">
        <f>IF($J1487="","",SUMIFS('Hours Log'!$D:$D,'Hours Log'!$A:$A,"&gt;="&amp;$J1487,'Hours Log'!$A:$A,"&lt;"&amp;$J1487+7))</f>
        <v/>
      </c>
      <c r="E1487">
        <f>IF($J1487="","",IFERROR(C1487/(B1487*40),0))</f>
        <v/>
      </c>
      <c r="F1487">
        <f>IF($J1487="","",0)</f>
        <v/>
      </c>
      <c r="G1487">
        <f>IF($J1487="","",SUMIFS('Hours Log'!$E:$E,'Hours Log'!$A:$A,"&gt;="&amp;$J1487,'Hours Log'!$A:$A,"&lt;"&amp;$J1487+7))</f>
        <v/>
      </c>
      <c r="J1487">
        <f>IF(COUNT('Hours Log'!$A$4:$A$5000)=0,"",IF(MIN('Hours Log'!$A$4:$A$5000)+7*(ROW()-10)&gt;MAX('Hours Log'!$A$4:$A$5000),"",MIN('Hours Log'!$A$4:$A$5000)+7*(ROW()-10)))</f>
        <v/>
      </c>
    </row>
    <row r="1488">
      <c r="A1488">
        <f>IF($J1488="","",YEAR($J1488-WEEKDAY($J1488,2)+4)&amp;"-W"&amp;TEXT(WEEKNUM($J1488,21),"00"))</f>
        <v/>
      </c>
      <c r="B1488" s="41">
        <f>IF($J1488="","",COUNTIFS(Roster!$D$4:$D$500,"Active",Roster!$C$4:$C$500,"&lt;="&amp;$J1488))</f>
        <v/>
      </c>
      <c r="C1488">
        <f>IF($J1488="","",SUMIFS('Hours Log'!$C:$C,'Hours Log'!$A:$A,"&gt;="&amp;$J1488,'Hours Log'!$A:$A,"&lt;"&amp;$J1488+7)+SUMIFS('Hours Log'!$D:$D,'Hours Log'!$A:$A,"&gt;="&amp;$J1488,'Hours Log'!$A:$A,"&lt;"&amp;$J1488+7))</f>
        <v/>
      </c>
      <c r="D1488">
        <f>IF($J1488="","",SUMIFS('Hours Log'!$D:$D,'Hours Log'!$A:$A,"&gt;="&amp;$J1488,'Hours Log'!$A:$A,"&lt;"&amp;$J1488+7))</f>
        <v/>
      </c>
      <c r="E1488">
        <f>IF($J1488="","",IFERROR(C1488/(B1488*40),0))</f>
        <v/>
      </c>
      <c r="F1488">
        <f>IF($J1488="","",0)</f>
        <v/>
      </c>
      <c r="G1488">
        <f>IF($J1488="","",SUMIFS('Hours Log'!$E:$E,'Hours Log'!$A:$A,"&gt;="&amp;$J1488,'Hours Log'!$A:$A,"&lt;"&amp;$J1488+7))</f>
        <v/>
      </c>
      <c r="J1488">
        <f>IF(COUNT('Hours Log'!$A$4:$A$5000)=0,"",IF(MIN('Hours Log'!$A$4:$A$5000)+7*(ROW()-10)&gt;MAX('Hours Log'!$A$4:$A$5000),"",MIN('Hours Log'!$A$4:$A$5000)+7*(ROW()-10)))</f>
        <v/>
      </c>
    </row>
    <row r="1489">
      <c r="A1489">
        <f>IF($J1489="","",YEAR($J1489-WEEKDAY($J1489,2)+4)&amp;"-W"&amp;TEXT(WEEKNUM($J1489,21),"00"))</f>
        <v/>
      </c>
      <c r="B1489" s="41">
        <f>IF($J1489="","",COUNTIFS(Roster!$D$4:$D$500,"Active",Roster!$C$4:$C$500,"&lt;="&amp;$J1489))</f>
        <v/>
      </c>
      <c r="C1489">
        <f>IF($J1489="","",SUMIFS('Hours Log'!$C:$C,'Hours Log'!$A:$A,"&gt;="&amp;$J1489,'Hours Log'!$A:$A,"&lt;"&amp;$J1489+7)+SUMIFS('Hours Log'!$D:$D,'Hours Log'!$A:$A,"&gt;="&amp;$J1489,'Hours Log'!$A:$A,"&lt;"&amp;$J1489+7))</f>
        <v/>
      </c>
      <c r="D1489">
        <f>IF($J1489="","",SUMIFS('Hours Log'!$D:$D,'Hours Log'!$A:$A,"&gt;="&amp;$J1489,'Hours Log'!$A:$A,"&lt;"&amp;$J1489+7))</f>
        <v/>
      </c>
      <c r="E1489">
        <f>IF($J1489="","",IFERROR(C1489/(B1489*40),0))</f>
        <v/>
      </c>
      <c r="F1489">
        <f>IF($J1489="","",0)</f>
        <v/>
      </c>
      <c r="G1489">
        <f>IF($J1489="","",SUMIFS('Hours Log'!$E:$E,'Hours Log'!$A:$A,"&gt;="&amp;$J1489,'Hours Log'!$A:$A,"&lt;"&amp;$J1489+7))</f>
        <v/>
      </c>
      <c r="J1489">
        <f>IF(COUNT('Hours Log'!$A$4:$A$5000)=0,"",IF(MIN('Hours Log'!$A$4:$A$5000)+7*(ROW()-10)&gt;MAX('Hours Log'!$A$4:$A$5000),"",MIN('Hours Log'!$A$4:$A$5000)+7*(ROW()-10)))</f>
        <v/>
      </c>
    </row>
    <row r="1490">
      <c r="A1490">
        <f>IF($J1490="","",YEAR($J1490-WEEKDAY($J1490,2)+4)&amp;"-W"&amp;TEXT(WEEKNUM($J1490,21),"00"))</f>
        <v/>
      </c>
      <c r="B1490" s="41">
        <f>IF($J1490="","",COUNTIFS(Roster!$D$4:$D$500,"Active",Roster!$C$4:$C$500,"&lt;="&amp;$J1490))</f>
        <v/>
      </c>
      <c r="C1490">
        <f>IF($J1490="","",SUMIFS('Hours Log'!$C:$C,'Hours Log'!$A:$A,"&gt;="&amp;$J1490,'Hours Log'!$A:$A,"&lt;"&amp;$J1490+7)+SUMIFS('Hours Log'!$D:$D,'Hours Log'!$A:$A,"&gt;="&amp;$J1490,'Hours Log'!$A:$A,"&lt;"&amp;$J1490+7))</f>
        <v/>
      </c>
      <c r="D1490">
        <f>IF($J1490="","",SUMIFS('Hours Log'!$D:$D,'Hours Log'!$A:$A,"&gt;="&amp;$J1490,'Hours Log'!$A:$A,"&lt;"&amp;$J1490+7))</f>
        <v/>
      </c>
      <c r="E1490">
        <f>IF($J1490="","",IFERROR(C1490/(B1490*40),0))</f>
        <v/>
      </c>
      <c r="F1490">
        <f>IF($J1490="","",0)</f>
        <v/>
      </c>
      <c r="G1490">
        <f>IF($J1490="","",SUMIFS('Hours Log'!$E:$E,'Hours Log'!$A:$A,"&gt;="&amp;$J1490,'Hours Log'!$A:$A,"&lt;"&amp;$J1490+7))</f>
        <v/>
      </c>
      <c r="J1490">
        <f>IF(COUNT('Hours Log'!$A$4:$A$5000)=0,"",IF(MIN('Hours Log'!$A$4:$A$5000)+7*(ROW()-10)&gt;MAX('Hours Log'!$A$4:$A$5000),"",MIN('Hours Log'!$A$4:$A$5000)+7*(ROW()-10)))</f>
        <v/>
      </c>
    </row>
    <row r="1491">
      <c r="A1491">
        <f>IF($J1491="","",YEAR($J1491-WEEKDAY($J1491,2)+4)&amp;"-W"&amp;TEXT(WEEKNUM($J1491,21),"00"))</f>
        <v/>
      </c>
      <c r="B1491" s="41">
        <f>IF($J1491="","",COUNTIFS(Roster!$D$4:$D$500,"Active",Roster!$C$4:$C$500,"&lt;="&amp;$J1491))</f>
        <v/>
      </c>
      <c r="C1491">
        <f>IF($J1491="","",SUMIFS('Hours Log'!$C:$C,'Hours Log'!$A:$A,"&gt;="&amp;$J1491,'Hours Log'!$A:$A,"&lt;"&amp;$J1491+7)+SUMIFS('Hours Log'!$D:$D,'Hours Log'!$A:$A,"&gt;="&amp;$J1491,'Hours Log'!$A:$A,"&lt;"&amp;$J1491+7))</f>
        <v/>
      </c>
      <c r="D1491">
        <f>IF($J1491="","",SUMIFS('Hours Log'!$D:$D,'Hours Log'!$A:$A,"&gt;="&amp;$J1491,'Hours Log'!$A:$A,"&lt;"&amp;$J1491+7))</f>
        <v/>
      </c>
      <c r="E1491">
        <f>IF($J1491="","",IFERROR(C1491/(B1491*40),0))</f>
        <v/>
      </c>
      <c r="F1491">
        <f>IF($J1491="","",0)</f>
        <v/>
      </c>
      <c r="G1491">
        <f>IF($J1491="","",SUMIFS('Hours Log'!$E:$E,'Hours Log'!$A:$A,"&gt;="&amp;$J1491,'Hours Log'!$A:$A,"&lt;"&amp;$J1491+7))</f>
        <v/>
      </c>
      <c r="J1491">
        <f>IF(COUNT('Hours Log'!$A$4:$A$5000)=0,"",IF(MIN('Hours Log'!$A$4:$A$5000)+7*(ROW()-10)&gt;MAX('Hours Log'!$A$4:$A$5000),"",MIN('Hours Log'!$A$4:$A$5000)+7*(ROW()-10)))</f>
        <v/>
      </c>
    </row>
    <row r="1492">
      <c r="A1492">
        <f>IF($J1492="","",YEAR($J1492-WEEKDAY($J1492,2)+4)&amp;"-W"&amp;TEXT(WEEKNUM($J1492,21),"00"))</f>
        <v/>
      </c>
      <c r="B1492" s="41">
        <f>IF($J1492="","",COUNTIFS(Roster!$D$4:$D$500,"Active",Roster!$C$4:$C$500,"&lt;="&amp;$J1492))</f>
        <v/>
      </c>
      <c r="C1492">
        <f>IF($J1492="","",SUMIFS('Hours Log'!$C:$C,'Hours Log'!$A:$A,"&gt;="&amp;$J1492,'Hours Log'!$A:$A,"&lt;"&amp;$J1492+7)+SUMIFS('Hours Log'!$D:$D,'Hours Log'!$A:$A,"&gt;="&amp;$J1492,'Hours Log'!$A:$A,"&lt;"&amp;$J1492+7))</f>
        <v/>
      </c>
      <c r="D1492">
        <f>IF($J1492="","",SUMIFS('Hours Log'!$D:$D,'Hours Log'!$A:$A,"&gt;="&amp;$J1492,'Hours Log'!$A:$A,"&lt;"&amp;$J1492+7))</f>
        <v/>
      </c>
      <c r="E1492">
        <f>IF($J1492="","",IFERROR(C1492/(B1492*40),0))</f>
        <v/>
      </c>
      <c r="F1492">
        <f>IF($J1492="","",0)</f>
        <v/>
      </c>
      <c r="G1492">
        <f>IF($J1492="","",SUMIFS('Hours Log'!$E:$E,'Hours Log'!$A:$A,"&gt;="&amp;$J1492,'Hours Log'!$A:$A,"&lt;"&amp;$J1492+7))</f>
        <v/>
      </c>
      <c r="J1492">
        <f>IF(COUNT('Hours Log'!$A$4:$A$5000)=0,"",IF(MIN('Hours Log'!$A$4:$A$5000)+7*(ROW()-10)&gt;MAX('Hours Log'!$A$4:$A$5000),"",MIN('Hours Log'!$A$4:$A$5000)+7*(ROW()-10)))</f>
        <v/>
      </c>
    </row>
    <row r="1493">
      <c r="A1493">
        <f>IF($J1493="","",YEAR($J1493-WEEKDAY($J1493,2)+4)&amp;"-W"&amp;TEXT(WEEKNUM($J1493,21),"00"))</f>
        <v/>
      </c>
      <c r="B1493" s="41">
        <f>IF($J1493="","",COUNTIFS(Roster!$D$4:$D$500,"Active",Roster!$C$4:$C$500,"&lt;="&amp;$J1493))</f>
        <v/>
      </c>
      <c r="C1493">
        <f>IF($J1493="","",SUMIFS('Hours Log'!$C:$C,'Hours Log'!$A:$A,"&gt;="&amp;$J1493,'Hours Log'!$A:$A,"&lt;"&amp;$J1493+7)+SUMIFS('Hours Log'!$D:$D,'Hours Log'!$A:$A,"&gt;="&amp;$J1493,'Hours Log'!$A:$A,"&lt;"&amp;$J1493+7))</f>
        <v/>
      </c>
      <c r="D1493">
        <f>IF($J1493="","",SUMIFS('Hours Log'!$D:$D,'Hours Log'!$A:$A,"&gt;="&amp;$J1493,'Hours Log'!$A:$A,"&lt;"&amp;$J1493+7))</f>
        <v/>
      </c>
      <c r="E1493">
        <f>IF($J1493="","",IFERROR(C1493/(B1493*40),0))</f>
        <v/>
      </c>
      <c r="F1493">
        <f>IF($J1493="","",0)</f>
        <v/>
      </c>
      <c r="G1493">
        <f>IF($J1493="","",SUMIFS('Hours Log'!$E:$E,'Hours Log'!$A:$A,"&gt;="&amp;$J1493,'Hours Log'!$A:$A,"&lt;"&amp;$J1493+7))</f>
        <v/>
      </c>
      <c r="J1493">
        <f>IF(COUNT('Hours Log'!$A$4:$A$5000)=0,"",IF(MIN('Hours Log'!$A$4:$A$5000)+7*(ROW()-10)&gt;MAX('Hours Log'!$A$4:$A$5000),"",MIN('Hours Log'!$A$4:$A$5000)+7*(ROW()-10)))</f>
        <v/>
      </c>
    </row>
    <row r="1494">
      <c r="A1494">
        <f>IF($J1494="","",YEAR($J1494-WEEKDAY($J1494,2)+4)&amp;"-W"&amp;TEXT(WEEKNUM($J1494,21),"00"))</f>
        <v/>
      </c>
      <c r="B1494" s="41">
        <f>IF($J1494="","",COUNTIFS(Roster!$D$4:$D$500,"Active",Roster!$C$4:$C$500,"&lt;="&amp;$J1494))</f>
        <v/>
      </c>
      <c r="C1494">
        <f>IF($J1494="","",SUMIFS('Hours Log'!$C:$C,'Hours Log'!$A:$A,"&gt;="&amp;$J1494,'Hours Log'!$A:$A,"&lt;"&amp;$J1494+7)+SUMIFS('Hours Log'!$D:$D,'Hours Log'!$A:$A,"&gt;="&amp;$J1494,'Hours Log'!$A:$A,"&lt;"&amp;$J1494+7))</f>
        <v/>
      </c>
      <c r="D1494">
        <f>IF($J1494="","",SUMIFS('Hours Log'!$D:$D,'Hours Log'!$A:$A,"&gt;="&amp;$J1494,'Hours Log'!$A:$A,"&lt;"&amp;$J1494+7))</f>
        <v/>
      </c>
      <c r="E1494">
        <f>IF($J1494="","",IFERROR(C1494/(B1494*40),0))</f>
        <v/>
      </c>
      <c r="F1494">
        <f>IF($J1494="","",0)</f>
        <v/>
      </c>
      <c r="G1494">
        <f>IF($J1494="","",SUMIFS('Hours Log'!$E:$E,'Hours Log'!$A:$A,"&gt;="&amp;$J1494,'Hours Log'!$A:$A,"&lt;"&amp;$J1494+7))</f>
        <v/>
      </c>
      <c r="J1494">
        <f>IF(COUNT('Hours Log'!$A$4:$A$5000)=0,"",IF(MIN('Hours Log'!$A$4:$A$5000)+7*(ROW()-10)&gt;MAX('Hours Log'!$A$4:$A$5000),"",MIN('Hours Log'!$A$4:$A$5000)+7*(ROW()-10)))</f>
        <v/>
      </c>
    </row>
    <row r="1495">
      <c r="A1495">
        <f>IF($J1495="","",YEAR($J1495-WEEKDAY($J1495,2)+4)&amp;"-W"&amp;TEXT(WEEKNUM($J1495,21),"00"))</f>
        <v/>
      </c>
      <c r="B1495" s="41">
        <f>IF($J1495="","",COUNTIFS(Roster!$D$4:$D$500,"Active",Roster!$C$4:$C$500,"&lt;="&amp;$J1495))</f>
        <v/>
      </c>
      <c r="C1495">
        <f>IF($J1495="","",SUMIFS('Hours Log'!$C:$C,'Hours Log'!$A:$A,"&gt;="&amp;$J1495,'Hours Log'!$A:$A,"&lt;"&amp;$J1495+7)+SUMIFS('Hours Log'!$D:$D,'Hours Log'!$A:$A,"&gt;="&amp;$J1495,'Hours Log'!$A:$A,"&lt;"&amp;$J1495+7))</f>
        <v/>
      </c>
      <c r="D1495">
        <f>IF($J1495="","",SUMIFS('Hours Log'!$D:$D,'Hours Log'!$A:$A,"&gt;="&amp;$J1495,'Hours Log'!$A:$A,"&lt;"&amp;$J1495+7))</f>
        <v/>
      </c>
      <c r="E1495">
        <f>IF($J1495="","",IFERROR(C1495/(B1495*40),0))</f>
        <v/>
      </c>
      <c r="F1495">
        <f>IF($J1495="","",0)</f>
        <v/>
      </c>
      <c r="G1495">
        <f>IF($J1495="","",SUMIFS('Hours Log'!$E:$E,'Hours Log'!$A:$A,"&gt;="&amp;$J1495,'Hours Log'!$A:$A,"&lt;"&amp;$J1495+7))</f>
        <v/>
      </c>
      <c r="J1495">
        <f>IF(COUNT('Hours Log'!$A$4:$A$5000)=0,"",IF(MIN('Hours Log'!$A$4:$A$5000)+7*(ROW()-10)&gt;MAX('Hours Log'!$A$4:$A$5000),"",MIN('Hours Log'!$A$4:$A$5000)+7*(ROW()-10)))</f>
        <v/>
      </c>
    </row>
    <row r="1496">
      <c r="A1496">
        <f>IF($J1496="","",YEAR($J1496-WEEKDAY($J1496,2)+4)&amp;"-W"&amp;TEXT(WEEKNUM($J1496,21),"00"))</f>
        <v/>
      </c>
      <c r="B1496" s="41">
        <f>IF($J1496="","",COUNTIFS(Roster!$D$4:$D$500,"Active",Roster!$C$4:$C$500,"&lt;="&amp;$J1496))</f>
        <v/>
      </c>
      <c r="C1496">
        <f>IF($J1496="","",SUMIFS('Hours Log'!$C:$C,'Hours Log'!$A:$A,"&gt;="&amp;$J1496,'Hours Log'!$A:$A,"&lt;"&amp;$J1496+7)+SUMIFS('Hours Log'!$D:$D,'Hours Log'!$A:$A,"&gt;="&amp;$J1496,'Hours Log'!$A:$A,"&lt;"&amp;$J1496+7))</f>
        <v/>
      </c>
      <c r="D1496">
        <f>IF($J1496="","",SUMIFS('Hours Log'!$D:$D,'Hours Log'!$A:$A,"&gt;="&amp;$J1496,'Hours Log'!$A:$A,"&lt;"&amp;$J1496+7))</f>
        <v/>
      </c>
      <c r="E1496">
        <f>IF($J1496="","",IFERROR(C1496/(B1496*40),0))</f>
        <v/>
      </c>
      <c r="F1496">
        <f>IF($J1496="","",0)</f>
        <v/>
      </c>
      <c r="G1496">
        <f>IF($J1496="","",SUMIFS('Hours Log'!$E:$E,'Hours Log'!$A:$A,"&gt;="&amp;$J1496,'Hours Log'!$A:$A,"&lt;"&amp;$J1496+7))</f>
        <v/>
      </c>
      <c r="J1496">
        <f>IF(COUNT('Hours Log'!$A$4:$A$5000)=0,"",IF(MIN('Hours Log'!$A$4:$A$5000)+7*(ROW()-10)&gt;MAX('Hours Log'!$A$4:$A$5000),"",MIN('Hours Log'!$A$4:$A$5000)+7*(ROW()-10)))</f>
        <v/>
      </c>
    </row>
    <row r="1497">
      <c r="A1497">
        <f>IF($J1497="","",YEAR($J1497-WEEKDAY($J1497,2)+4)&amp;"-W"&amp;TEXT(WEEKNUM($J1497,21),"00"))</f>
        <v/>
      </c>
      <c r="B1497" s="41">
        <f>IF($J1497="","",COUNTIFS(Roster!$D$4:$D$500,"Active",Roster!$C$4:$C$500,"&lt;="&amp;$J1497))</f>
        <v/>
      </c>
      <c r="C1497">
        <f>IF($J1497="","",SUMIFS('Hours Log'!$C:$C,'Hours Log'!$A:$A,"&gt;="&amp;$J1497,'Hours Log'!$A:$A,"&lt;"&amp;$J1497+7)+SUMIFS('Hours Log'!$D:$D,'Hours Log'!$A:$A,"&gt;="&amp;$J1497,'Hours Log'!$A:$A,"&lt;"&amp;$J1497+7))</f>
        <v/>
      </c>
      <c r="D1497">
        <f>IF($J1497="","",SUMIFS('Hours Log'!$D:$D,'Hours Log'!$A:$A,"&gt;="&amp;$J1497,'Hours Log'!$A:$A,"&lt;"&amp;$J1497+7))</f>
        <v/>
      </c>
      <c r="E1497">
        <f>IF($J1497="","",IFERROR(C1497/(B1497*40),0))</f>
        <v/>
      </c>
      <c r="F1497">
        <f>IF($J1497="","",0)</f>
        <v/>
      </c>
      <c r="G1497">
        <f>IF($J1497="","",SUMIFS('Hours Log'!$E:$E,'Hours Log'!$A:$A,"&gt;="&amp;$J1497,'Hours Log'!$A:$A,"&lt;"&amp;$J1497+7))</f>
        <v/>
      </c>
      <c r="J1497">
        <f>IF(COUNT('Hours Log'!$A$4:$A$5000)=0,"",IF(MIN('Hours Log'!$A$4:$A$5000)+7*(ROW()-10)&gt;MAX('Hours Log'!$A$4:$A$5000),"",MIN('Hours Log'!$A$4:$A$5000)+7*(ROW()-10)))</f>
        <v/>
      </c>
    </row>
    <row r="1498">
      <c r="A1498">
        <f>IF($J1498="","",YEAR($J1498-WEEKDAY($J1498,2)+4)&amp;"-W"&amp;TEXT(WEEKNUM($J1498,21),"00"))</f>
        <v/>
      </c>
      <c r="B1498" s="41">
        <f>IF($J1498="","",COUNTIFS(Roster!$D$4:$D$500,"Active",Roster!$C$4:$C$500,"&lt;="&amp;$J1498))</f>
        <v/>
      </c>
      <c r="C1498">
        <f>IF($J1498="","",SUMIFS('Hours Log'!$C:$C,'Hours Log'!$A:$A,"&gt;="&amp;$J1498,'Hours Log'!$A:$A,"&lt;"&amp;$J1498+7)+SUMIFS('Hours Log'!$D:$D,'Hours Log'!$A:$A,"&gt;="&amp;$J1498,'Hours Log'!$A:$A,"&lt;"&amp;$J1498+7))</f>
        <v/>
      </c>
      <c r="D1498">
        <f>IF($J1498="","",SUMIFS('Hours Log'!$D:$D,'Hours Log'!$A:$A,"&gt;="&amp;$J1498,'Hours Log'!$A:$A,"&lt;"&amp;$J1498+7))</f>
        <v/>
      </c>
      <c r="E1498">
        <f>IF($J1498="","",IFERROR(C1498/(B1498*40),0))</f>
        <v/>
      </c>
      <c r="F1498">
        <f>IF($J1498="","",0)</f>
        <v/>
      </c>
      <c r="G1498">
        <f>IF($J1498="","",SUMIFS('Hours Log'!$E:$E,'Hours Log'!$A:$A,"&gt;="&amp;$J1498,'Hours Log'!$A:$A,"&lt;"&amp;$J1498+7))</f>
        <v/>
      </c>
      <c r="J1498">
        <f>IF(COUNT('Hours Log'!$A$4:$A$5000)=0,"",IF(MIN('Hours Log'!$A$4:$A$5000)+7*(ROW()-10)&gt;MAX('Hours Log'!$A$4:$A$5000),"",MIN('Hours Log'!$A$4:$A$5000)+7*(ROW()-10)))</f>
        <v/>
      </c>
    </row>
    <row r="1499">
      <c r="A1499">
        <f>IF($J1499="","",YEAR($J1499-WEEKDAY($J1499,2)+4)&amp;"-W"&amp;TEXT(WEEKNUM($J1499,21),"00"))</f>
        <v/>
      </c>
      <c r="B1499" s="41">
        <f>IF($J1499="","",COUNTIFS(Roster!$D$4:$D$500,"Active",Roster!$C$4:$C$500,"&lt;="&amp;$J1499))</f>
        <v/>
      </c>
      <c r="C1499">
        <f>IF($J1499="","",SUMIFS('Hours Log'!$C:$C,'Hours Log'!$A:$A,"&gt;="&amp;$J1499,'Hours Log'!$A:$A,"&lt;"&amp;$J1499+7)+SUMIFS('Hours Log'!$D:$D,'Hours Log'!$A:$A,"&gt;="&amp;$J1499,'Hours Log'!$A:$A,"&lt;"&amp;$J1499+7))</f>
        <v/>
      </c>
      <c r="D1499">
        <f>IF($J1499="","",SUMIFS('Hours Log'!$D:$D,'Hours Log'!$A:$A,"&gt;="&amp;$J1499,'Hours Log'!$A:$A,"&lt;"&amp;$J1499+7))</f>
        <v/>
      </c>
      <c r="E1499">
        <f>IF($J1499="","",IFERROR(C1499/(B1499*40),0))</f>
        <v/>
      </c>
      <c r="F1499">
        <f>IF($J1499="","",0)</f>
        <v/>
      </c>
      <c r="G1499">
        <f>IF($J1499="","",SUMIFS('Hours Log'!$E:$E,'Hours Log'!$A:$A,"&gt;="&amp;$J1499,'Hours Log'!$A:$A,"&lt;"&amp;$J1499+7))</f>
        <v/>
      </c>
      <c r="J1499">
        <f>IF(COUNT('Hours Log'!$A$4:$A$5000)=0,"",IF(MIN('Hours Log'!$A$4:$A$5000)+7*(ROW()-10)&gt;MAX('Hours Log'!$A$4:$A$5000),"",MIN('Hours Log'!$A$4:$A$5000)+7*(ROW()-10)))</f>
        <v/>
      </c>
    </row>
    <row r="1500">
      <c r="A1500">
        <f>IF($J1500="","",YEAR($J1500-WEEKDAY($J1500,2)+4)&amp;"-W"&amp;TEXT(WEEKNUM($J1500,21),"00"))</f>
        <v/>
      </c>
      <c r="B1500" s="41">
        <f>IF($J1500="","",COUNTIFS(Roster!$D$4:$D$500,"Active",Roster!$C$4:$C$500,"&lt;="&amp;$J1500))</f>
        <v/>
      </c>
      <c r="C1500">
        <f>IF($J1500="","",SUMIFS('Hours Log'!$C:$C,'Hours Log'!$A:$A,"&gt;="&amp;$J1500,'Hours Log'!$A:$A,"&lt;"&amp;$J1500+7)+SUMIFS('Hours Log'!$D:$D,'Hours Log'!$A:$A,"&gt;="&amp;$J1500,'Hours Log'!$A:$A,"&lt;"&amp;$J1500+7))</f>
        <v/>
      </c>
      <c r="D1500">
        <f>IF($J1500="","",SUMIFS('Hours Log'!$D:$D,'Hours Log'!$A:$A,"&gt;="&amp;$J1500,'Hours Log'!$A:$A,"&lt;"&amp;$J1500+7))</f>
        <v/>
      </c>
      <c r="E1500">
        <f>IF($J1500="","",IFERROR(C1500/(B1500*40),0))</f>
        <v/>
      </c>
      <c r="F1500">
        <f>IF($J1500="","",0)</f>
        <v/>
      </c>
      <c r="G1500">
        <f>IF($J1500="","",SUMIFS('Hours Log'!$E:$E,'Hours Log'!$A:$A,"&gt;="&amp;$J1500,'Hours Log'!$A:$A,"&lt;"&amp;$J1500+7))</f>
        <v/>
      </c>
      <c r="J1500">
        <f>IF(COUNT('Hours Log'!$A$4:$A$5000)=0,"",IF(MIN('Hours Log'!$A$4:$A$5000)+7*(ROW()-10)&gt;MAX('Hours Log'!$A$4:$A$5000),"",MIN('Hours Log'!$A$4:$A$5000)+7*(ROW()-10)))</f>
        <v/>
      </c>
    </row>
    <row r="1501">
      <c r="A1501">
        <f>IF($J1501="","",YEAR($J1501-WEEKDAY($J1501,2)+4)&amp;"-W"&amp;TEXT(WEEKNUM($J1501,21),"00"))</f>
        <v/>
      </c>
      <c r="B1501" s="41">
        <f>IF($J1501="","",COUNTIFS(Roster!$D$4:$D$500,"Active",Roster!$C$4:$C$500,"&lt;="&amp;$J1501))</f>
        <v/>
      </c>
      <c r="C1501">
        <f>IF($J1501="","",SUMIFS('Hours Log'!$C:$C,'Hours Log'!$A:$A,"&gt;="&amp;$J1501,'Hours Log'!$A:$A,"&lt;"&amp;$J1501+7)+SUMIFS('Hours Log'!$D:$D,'Hours Log'!$A:$A,"&gt;="&amp;$J1501,'Hours Log'!$A:$A,"&lt;"&amp;$J1501+7))</f>
        <v/>
      </c>
      <c r="D1501">
        <f>IF($J1501="","",SUMIFS('Hours Log'!$D:$D,'Hours Log'!$A:$A,"&gt;="&amp;$J1501,'Hours Log'!$A:$A,"&lt;"&amp;$J1501+7))</f>
        <v/>
      </c>
      <c r="E1501">
        <f>IF($J1501="","",IFERROR(C1501/(B1501*40),0))</f>
        <v/>
      </c>
      <c r="F1501">
        <f>IF($J1501="","",0)</f>
        <v/>
      </c>
      <c r="G1501">
        <f>IF($J1501="","",SUMIFS('Hours Log'!$E:$E,'Hours Log'!$A:$A,"&gt;="&amp;$J1501,'Hours Log'!$A:$A,"&lt;"&amp;$J1501+7))</f>
        <v/>
      </c>
      <c r="J1501">
        <f>IF(COUNT('Hours Log'!$A$4:$A$5000)=0,"",IF(MIN('Hours Log'!$A$4:$A$5000)+7*(ROW()-10)&gt;MAX('Hours Log'!$A$4:$A$5000),"",MIN('Hours Log'!$A$4:$A$5000)+7*(ROW()-10)))</f>
        <v/>
      </c>
    </row>
    <row r="1502">
      <c r="A1502">
        <f>IF($J1502="","",YEAR($J1502-WEEKDAY($J1502,2)+4)&amp;"-W"&amp;TEXT(WEEKNUM($J1502,21),"00"))</f>
        <v/>
      </c>
      <c r="B1502" s="41">
        <f>IF($J1502="","",COUNTIFS(Roster!$D$4:$D$500,"Active",Roster!$C$4:$C$500,"&lt;="&amp;$J1502))</f>
        <v/>
      </c>
      <c r="C1502">
        <f>IF($J1502="","",SUMIFS('Hours Log'!$C:$C,'Hours Log'!$A:$A,"&gt;="&amp;$J1502,'Hours Log'!$A:$A,"&lt;"&amp;$J1502+7)+SUMIFS('Hours Log'!$D:$D,'Hours Log'!$A:$A,"&gt;="&amp;$J1502,'Hours Log'!$A:$A,"&lt;"&amp;$J1502+7))</f>
        <v/>
      </c>
      <c r="D1502">
        <f>IF($J1502="","",SUMIFS('Hours Log'!$D:$D,'Hours Log'!$A:$A,"&gt;="&amp;$J1502,'Hours Log'!$A:$A,"&lt;"&amp;$J1502+7))</f>
        <v/>
      </c>
      <c r="E1502">
        <f>IF($J1502="","",IFERROR(C1502/(B1502*40),0))</f>
        <v/>
      </c>
      <c r="F1502">
        <f>IF($J1502="","",0)</f>
        <v/>
      </c>
      <c r="G1502">
        <f>IF($J1502="","",SUMIFS('Hours Log'!$E:$E,'Hours Log'!$A:$A,"&gt;="&amp;$J1502,'Hours Log'!$A:$A,"&lt;"&amp;$J1502+7))</f>
        <v/>
      </c>
      <c r="J1502">
        <f>IF(COUNT('Hours Log'!$A$4:$A$5000)=0,"",IF(MIN('Hours Log'!$A$4:$A$5000)+7*(ROW()-10)&gt;MAX('Hours Log'!$A$4:$A$5000),"",MIN('Hours Log'!$A$4:$A$5000)+7*(ROW()-10)))</f>
        <v/>
      </c>
    </row>
    <row r="1503">
      <c r="A1503">
        <f>IF($J1503="","",YEAR($J1503-WEEKDAY($J1503,2)+4)&amp;"-W"&amp;TEXT(WEEKNUM($J1503,21),"00"))</f>
        <v/>
      </c>
      <c r="B1503" s="41">
        <f>IF($J1503="","",COUNTIFS(Roster!$D$4:$D$500,"Active",Roster!$C$4:$C$500,"&lt;="&amp;$J1503))</f>
        <v/>
      </c>
      <c r="C1503">
        <f>IF($J1503="","",SUMIFS('Hours Log'!$C:$C,'Hours Log'!$A:$A,"&gt;="&amp;$J1503,'Hours Log'!$A:$A,"&lt;"&amp;$J1503+7)+SUMIFS('Hours Log'!$D:$D,'Hours Log'!$A:$A,"&gt;="&amp;$J1503,'Hours Log'!$A:$A,"&lt;"&amp;$J1503+7))</f>
        <v/>
      </c>
      <c r="D1503">
        <f>IF($J1503="","",SUMIFS('Hours Log'!$D:$D,'Hours Log'!$A:$A,"&gt;="&amp;$J1503,'Hours Log'!$A:$A,"&lt;"&amp;$J1503+7))</f>
        <v/>
      </c>
      <c r="E1503">
        <f>IF($J1503="","",IFERROR(C1503/(B1503*40),0))</f>
        <v/>
      </c>
      <c r="F1503">
        <f>IF($J1503="","",0)</f>
        <v/>
      </c>
      <c r="G1503">
        <f>IF($J1503="","",SUMIFS('Hours Log'!$E:$E,'Hours Log'!$A:$A,"&gt;="&amp;$J1503,'Hours Log'!$A:$A,"&lt;"&amp;$J1503+7))</f>
        <v/>
      </c>
      <c r="J1503">
        <f>IF(COUNT('Hours Log'!$A$4:$A$5000)=0,"",IF(MIN('Hours Log'!$A$4:$A$5000)+7*(ROW()-10)&gt;MAX('Hours Log'!$A$4:$A$5000),"",MIN('Hours Log'!$A$4:$A$5000)+7*(ROW()-10)))</f>
        <v/>
      </c>
    </row>
    <row r="1504">
      <c r="A1504">
        <f>IF($J1504="","",YEAR($J1504-WEEKDAY($J1504,2)+4)&amp;"-W"&amp;TEXT(WEEKNUM($J1504,21),"00"))</f>
        <v/>
      </c>
      <c r="B1504" s="41">
        <f>IF($J1504="","",COUNTIFS(Roster!$D$4:$D$500,"Active",Roster!$C$4:$C$500,"&lt;="&amp;$J1504))</f>
        <v/>
      </c>
      <c r="C1504">
        <f>IF($J1504="","",SUMIFS('Hours Log'!$C:$C,'Hours Log'!$A:$A,"&gt;="&amp;$J1504,'Hours Log'!$A:$A,"&lt;"&amp;$J1504+7)+SUMIFS('Hours Log'!$D:$D,'Hours Log'!$A:$A,"&gt;="&amp;$J1504,'Hours Log'!$A:$A,"&lt;"&amp;$J1504+7))</f>
        <v/>
      </c>
      <c r="D1504">
        <f>IF($J1504="","",SUMIFS('Hours Log'!$D:$D,'Hours Log'!$A:$A,"&gt;="&amp;$J1504,'Hours Log'!$A:$A,"&lt;"&amp;$J1504+7))</f>
        <v/>
      </c>
      <c r="E1504">
        <f>IF($J1504="","",IFERROR(C1504/(B1504*40),0))</f>
        <v/>
      </c>
      <c r="F1504">
        <f>IF($J1504="","",0)</f>
        <v/>
      </c>
      <c r="G1504">
        <f>IF($J1504="","",SUMIFS('Hours Log'!$E:$E,'Hours Log'!$A:$A,"&gt;="&amp;$J1504,'Hours Log'!$A:$A,"&lt;"&amp;$J1504+7))</f>
        <v/>
      </c>
      <c r="J1504">
        <f>IF(COUNT('Hours Log'!$A$4:$A$5000)=0,"",IF(MIN('Hours Log'!$A$4:$A$5000)+7*(ROW()-10)&gt;MAX('Hours Log'!$A$4:$A$5000),"",MIN('Hours Log'!$A$4:$A$5000)+7*(ROW()-10)))</f>
        <v/>
      </c>
    </row>
    <row r="1505">
      <c r="A1505">
        <f>IF($J1505="","",YEAR($J1505-WEEKDAY($J1505,2)+4)&amp;"-W"&amp;TEXT(WEEKNUM($J1505,21),"00"))</f>
        <v/>
      </c>
      <c r="B1505" s="41">
        <f>IF($J1505="","",COUNTIFS(Roster!$D$4:$D$500,"Active",Roster!$C$4:$C$500,"&lt;="&amp;$J1505))</f>
        <v/>
      </c>
      <c r="C1505">
        <f>IF($J1505="","",SUMIFS('Hours Log'!$C:$C,'Hours Log'!$A:$A,"&gt;="&amp;$J1505,'Hours Log'!$A:$A,"&lt;"&amp;$J1505+7)+SUMIFS('Hours Log'!$D:$D,'Hours Log'!$A:$A,"&gt;="&amp;$J1505,'Hours Log'!$A:$A,"&lt;"&amp;$J1505+7))</f>
        <v/>
      </c>
      <c r="D1505">
        <f>IF($J1505="","",SUMIFS('Hours Log'!$D:$D,'Hours Log'!$A:$A,"&gt;="&amp;$J1505,'Hours Log'!$A:$A,"&lt;"&amp;$J1505+7))</f>
        <v/>
      </c>
      <c r="E1505">
        <f>IF($J1505="","",IFERROR(C1505/(B1505*40),0))</f>
        <v/>
      </c>
      <c r="F1505">
        <f>IF($J1505="","",0)</f>
        <v/>
      </c>
      <c r="G1505">
        <f>IF($J1505="","",SUMIFS('Hours Log'!$E:$E,'Hours Log'!$A:$A,"&gt;="&amp;$J1505,'Hours Log'!$A:$A,"&lt;"&amp;$J1505+7))</f>
        <v/>
      </c>
      <c r="J1505">
        <f>IF(COUNT('Hours Log'!$A$4:$A$5000)=0,"",IF(MIN('Hours Log'!$A$4:$A$5000)+7*(ROW()-10)&gt;MAX('Hours Log'!$A$4:$A$5000),"",MIN('Hours Log'!$A$4:$A$5000)+7*(ROW()-10)))</f>
        <v/>
      </c>
    </row>
    <row r="1506">
      <c r="A1506">
        <f>IF($J1506="","",YEAR($J1506-WEEKDAY($J1506,2)+4)&amp;"-W"&amp;TEXT(WEEKNUM($J1506,21),"00"))</f>
        <v/>
      </c>
      <c r="B1506" s="41">
        <f>IF($J1506="","",COUNTIFS(Roster!$D$4:$D$500,"Active",Roster!$C$4:$C$500,"&lt;="&amp;$J1506))</f>
        <v/>
      </c>
      <c r="C1506">
        <f>IF($J1506="","",SUMIFS('Hours Log'!$C:$C,'Hours Log'!$A:$A,"&gt;="&amp;$J1506,'Hours Log'!$A:$A,"&lt;"&amp;$J1506+7)+SUMIFS('Hours Log'!$D:$D,'Hours Log'!$A:$A,"&gt;="&amp;$J1506,'Hours Log'!$A:$A,"&lt;"&amp;$J1506+7))</f>
        <v/>
      </c>
      <c r="D1506">
        <f>IF($J1506="","",SUMIFS('Hours Log'!$D:$D,'Hours Log'!$A:$A,"&gt;="&amp;$J1506,'Hours Log'!$A:$A,"&lt;"&amp;$J1506+7))</f>
        <v/>
      </c>
      <c r="E1506">
        <f>IF($J1506="","",IFERROR(C1506/(B1506*40),0))</f>
        <v/>
      </c>
      <c r="F1506">
        <f>IF($J1506="","",0)</f>
        <v/>
      </c>
      <c r="G1506">
        <f>IF($J1506="","",SUMIFS('Hours Log'!$E:$E,'Hours Log'!$A:$A,"&gt;="&amp;$J1506,'Hours Log'!$A:$A,"&lt;"&amp;$J1506+7))</f>
        <v/>
      </c>
      <c r="J1506">
        <f>IF(COUNT('Hours Log'!$A$4:$A$5000)=0,"",IF(MIN('Hours Log'!$A$4:$A$5000)+7*(ROW()-10)&gt;MAX('Hours Log'!$A$4:$A$5000),"",MIN('Hours Log'!$A$4:$A$5000)+7*(ROW()-10)))</f>
        <v/>
      </c>
    </row>
    <row r="1507">
      <c r="A1507">
        <f>IF($J1507="","",YEAR($J1507-WEEKDAY($J1507,2)+4)&amp;"-W"&amp;TEXT(WEEKNUM($J1507,21),"00"))</f>
        <v/>
      </c>
      <c r="B1507" s="41">
        <f>IF($J1507="","",COUNTIFS(Roster!$D$4:$D$500,"Active",Roster!$C$4:$C$500,"&lt;="&amp;$J1507))</f>
        <v/>
      </c>
      <c r="C1507">
        <f>IF($J1507="","",SUMIFS('Hours Log'!$C:$C,'Hours Log'!$A:$A,"&gt;="&amp;$J1507,'Hours Log'!$A:$A,"&lt;"&amp;$J1507+7)+SUMIFS('Hours Log'!$D:$D,'Hours Log'!$A:$A,"&gt;="&amp;$J1507,'Hours Log'!$A:$A,"&lt;"&amp;$J1507+7))</f>
        <v/>
      </c>
      <c r="D1507">
        <f>IF($J1507="","",SUMIFS('Hours Log'!$D:$D,'Hours Log'!$A:$A,"&gt;="&amp;$J1507,'Hours Log'!$A:$A,"&lt;"&amp;$J1507+7))</f>
        <v/>
      </c>
      <c r="E1507">
        <f>IF($J1507="","",IFERROR(C1507/(B1507*40),0))</f>
        <v/>
      </c>
      <c r="F1507">
        <f>IF($J1507="","",0)</f>
        <v/>
      </c>
      <c r="G1507">
        <f>IF($J1507="","",SUMIFS('Hours Log'!$E:$E,'Hours Log'!$A:$A,"&gt;="&amp;$J1507,'Hours Log'!$A:$A,"&lt;"&amp;$J1507+7))</f>
        <v/>
      </c>
      <c r="J1507">
        <f>IF(COUNT('Hours Log'!$A$4:$A$5000)=0,"",IF(MIN('Hours Log'!$A$4:$A$5000)+7*(ROW()-10)&gt;MAX('Hours Log'!$A$4:$A$5000),"",MIN('Hours Log'!$A$4:$A$5000)+7*(ROW()-10)))</f>
        <v/>
      </c>
    </row>
    <row r="1508">
      <c r="A1508">
        <f>IF($J1508="","",YEAR($J1508-WEEKDAY($J1508,2)+4)&amp;"-W"&amp;TEXT(WEEKNUM($J1508,21),"00"))</f>
        <v/>
      </c>
      <c r="B1508" s="41">
        <f>IF($J1508="","",COUNTIFS(Roster!$D$4:$D$500,"Active",Roster!$C$4:$C$500,"&lt;="&amp;$J1508))</f>
        <v/>
      </c>
      <c r="C1508">
        <f>IF($J1508="","",SUMIFS('Hours Log'!$C:$C,'Hours Log'!$A:$A,"&gt;="&amp;$J1508,'Hours Log'!$A:$A,"&lt;"&amp;$J1508+7)+SUMIFS('Hours Log'!$D:$D,'Hours Log'!$A:$A,"&gt;="&amp;$J1508,'Hours Log'!$A:$A,"&lt;"&amp;$J1508+7))</f>
        <v/>
      </c>
      <c r="D1508">
        <f>IF($J1508="","",SUMIFS('Hours Log'!$D:$D,'Hours Log'!$A:$A,"&gt;="&amp;$J1508,'Hours Log'!$A:$A,"&lt;"&amp;$J1508+7))</f>
        <v/>
      </c>
      <c r="E1508">
        <f>IF($J1508="","",IFERROR(C1508/(B1508*40),0))</f>
        <v/>
      </c>
      <c r="F1508">
        <f>IF($J1508="","",0)</f>
        <v/>
      </c>
      <c r="G1508">
        <f>IF($J1508="","",SUMIFS('Hours Log'!$E:$E,'Hours Log'!$A:$A,"&gt;="&amp;$J1508,'Hours Log'!$A:$A,"&lt;"&amp;$J1508+7))</f>
        <v/>
      </c>
      <c r="J1508">
        <f>IF(COUNT('Hours Log'!$A$4:$A$5000)=0,"",IF(MIN('Hours Log'!$A$4:$A$5000)+7*(ROW()-10)&gt;MAX('Hours Log'!$A$4:$A$5000),"",MIN('Hours Log'!$A$4:$A$5000)+7*(ROW()-10)))</f>
        <v/>
      </c>
    </row>
    <row r="1509">
      <c r="A1509">
        <f>IF($J1509="","",YEAR($J1509-WEEKDAY($J1509,2)+4)&amp;"-W"&amp;TEXT(WEEKNUM($J1509,21),"00"))</f>
        <v/>
      </c>
      <c r="B1509" s="41">
        <f>IF($J1509="","",COUNTIFS(Roster!$D$4:$D$500,"Active",Roster!$C$4:$C$500,"&lt;="&amp;$J1509))</f>
        <v/>
      </c>
      <c r="C1509">
        <f>IF($J1509="","",SUMIFS('Hours Log'!$C:$C,'Hours Log'!$A:$A,"&gt;="&amp;$J1509,'Hours Log'!$A:$A,"&lt;"&amp;$J1509+7)+SUMIFS('Hours Log'!$D:$D,'Hours Log'!$A:$A,"&gt;="&amp;$J1509,'Hours Log'!$A:$A,"&lt;"&amp;$J1509+7))</f>
        <v/>
      </c>
      <c r="D1509">
        <f>IF($J1509="","",SUMIFS('Hours Log'!$D:$D,'Hours Log'!$A:$A,"&gt;="&amp;$J1509,'Hours Log'!$A:$A,"&lt;"&amp;$J1509+7))</f>
        <v/>
      </c>
      <c r="E1509">
        <f>IF($J1509="","",IFERROR(C1509/(B1509*40),0))</f>
        <v/>
      </c>
      <c r="F1509">
        <f>IF($J1509="","",0)</f>
        <v/>
      </c>
      <c r="G1509">
        <f>IF($J1509="","",SUMIFS('Hours Log'!$E:$E,'Hours Log'!$A:$A,"&gt;="&amp;$J1509,'Hours Log'!$A:$A,"&lt;"&amp;$J1509+7))</f>
        <v/>
      </c>
      <c r="J1509">
        <f>IF(COUNT('Hours Log'!$A$4:$A$5000)=0,"",IF(MIN('Hours Log'!$A$4:$A$5000)+7*(ROW()-10)&gt;MAX('Hours Log'!$A$4:$A$5000),"",MIN('Hours Log'!$A$4:$A$5000)+7*(ROW()-10)))</f>
        <v/>
      </c>
    </row>
    <row r="1510">
      <c r="A1510">
        <f>IF($J1510="","",YEAR($J1510-WEEKDAY($J1510,2)+4)&amp;"-W"&amp;TEXT(WEEKNUM($J1510,21),"00"))</f>
        <v/>
      </c>
      <c r="B1510" s="41">
        <f>IF($J1510="","",COUNTIFS(Roster!$D$4:$D$500,"Active",Roster!$C$4:$C$500,"&lt;="&amp;$J1510))</f>
        <v/>
      </c>
      <c r="C1510">
        <f>IF($J1510="","",SUMIFS('Hours Log'!$C:$C,'Hours Log'!$A:$A,"&gt;="&amp;$J1510,'Hours Log'!$A:$A,"&lt;"&amp;$J1510+7)+SUMIFS('Hours Log'!$D:$D,'Hours Log'!$A:$A,"&gt;="&amp;$J1510,'Hours Log'!$A:$A,"&lt;"&amp;$J1510+7))</f>
        <v/>
      </c>
      <c r="D1510">
        <f>IF($J1510="","",SUMIFS('Hours Log'!$D:$D,'Hours Log'!$A:$A,"&gt;="&amp;$J1510,'Hours Log'!$A:$A,"&lt;"&amp;$J1510+7))</f>
        <v/>
      </c>
      <c r="E1510">
        <f>IF($J1510="","",IFERROR(C1510/(B1510*40),0))</f>
        <v/>
      </c>
      <c r="F1510">
        <f>IF($J1510="","",0)</f>
        <v/>
      </c>
      <c r="G1510">
        <f>IF($J1510="","",SUMIFS('Hours Log'!$E:$E,'Hours Log'!$A:$A,"&gt;="&amp;$J1510,'Hours Log'!$A:$A,"&lt;"&amp;$J1510+7))</f>
        <v/>
      </c>
      <c r="J1510">
        <f>IF(COUNT('Hours Log'!$A$4:$A$5000)=0,"",IF(MIN('Hours Log'!$A$4:$A$5000)+7*(ROW()-10)&gt;MAX('Hours Log'!$A$4:$A$5000),"",MIN('Hours Log'!$A$4:$A$5000)+7*(ROW()-10)))</f>
        <v/>
      </c>
    </row>
    <row r="1511">
      <c r="A1511">
        <f>IF($J1511="","",YEAR($J1511-WEEKDAY($J1511,2)+4)&amp;"-W"&amp;TEXT(WEEKNUM($J1511,21),"00"))</f>
        <v/>
      </c>
      <c r="B1511" s="41">
        <f>IF($J1511="","",COUNTIFS(Roster!$D$4:$D$500,"Active",Roster!$C$4:$C$500,"&lt;="&amp;$J1511))</f>
        <v/>
      </c>
      <c r="C1511">
        <f>IF($J1511="","",SUMIFS('Hours Log'!$C:$C,'Hours Log'!$A:$A,"&gt;="&amp;$J1511,'Hours Log'!$A:$A,"&lt;"&amp;$J1511+7)+SUMIFS('Hours Log'!$D:$D,'Hours Log'!$A:$A,"&gt;="&amp;$J1511,'Hours Log'!$A:$A,"&lt;"&amp;$J1511+7))</f>
        <v/>
      </c>
      <c r="D1511">
        <f>IF($J1511="","",SUMIFS('Hours Log'!$D:$D,'Hours Log'!$A:$A,"&gt;="&amp;$J1511,'Hours Log'!$A:$A,"&lt;"&amp;$J1511+7))</f>
        <v/>
      </c>
      <c r="E1511">
        <f>IF($J1511="","",IFERROR(C1511/(B1511*40),0))</f>
        <v/>
      </c>
      <c r="F1511">
        <f>IF($J1511="","",0)</f>
        <v/>
      </c>
      <c r="G1511">
        <f>IF($J1511="","",SUMIFS('Hours Log'!$E:$E,'Hours Log'!$A:$A,"&gt;="&amp;$J1511,'Hours Log'!$A:$A,"&lt;"&amp;$J1511+7))</f>
        <v/>
      </c>
      <c r="J1511">
        <f>IF(COUNT('Hours Log'!$A$4:$A$5000)=0,"",IF(MIN('Hours Log'!$A$4:$A$5000)+7*(ROW()-10)&gt;MAX('Hours Log'!$A$4:$A$5000),"",MIN('Hours Log'!$A$4:$A$5000)+7*(ROW()-10)))</f>
        <v/>
      </c>
    </row>
    <row r="1512">
      <c r="A1512">
        <f>IF($J1512="","",YEAR($J1512-WEEKDAY($J1512,2)+4)&amp;"-W"&amp;TEXT(WEEKNUM($J1512,21),"00"))</f>
        <v/>
      </c>
      <c r="B1512" s="41">
        <f>IF($J1512="","",COUNTIFS(Roster!$D$4:$D$500,"Active",Roster!$C$4:$C$500,"&lt;="&amp;$J1512))</f>
        <v/>
      </c>
      <c r="C1512">
        <f>IF($J1512="","",SUMIFS('Hours Log'!$C:$C,'Hours Log'!$A:$A,"&gt;="&amp;$J1512,'Hours Log'!$A:$A,"&lt;"&amp;$J1512+7)+SUMIFS('Hours Log'!$D:$D,'Hours Log'!$A:$A,"&gt;="&amp;$J1512,'Hours Log'!$A:$A,"&lt;"&amp;$J1512+7))</f>
        <v/>
      </c>
      <c r="D1512">
        <f>IF($J1512="","",SUMIFS('Hours Log'!$D:$D,'Hours Log'!$A:$A,"&gt;="&amp;$J1512,'Hours Log'!$A:$A,"&lt;"&amp;$J1512+7))</f>
        <v/>
      </c>
      <c r="E1512">
        <f>IF($J1512="","",IFERROR(C1512/(B1512*40),0))</f>
        <v/>
      </c>
      <c r="F1512">
        <f>IF($J1512="","",0)</f>
        <v/>
      </c>
      <c r="G1512">
        <f>IF($J1512="","",SUMIFS('Hours Log'!$E:$E,'Hours Log'!$A:$A,"&gt;="&amp;$J1512,'Hours Log'!$A:$A,"&lt;"&amp;$J1512+7))</f>
        <v/>
      </c>
      <c r="J1512">
        <f>IF(COUNT('Hours Log'!$A$4:$A$5000)=0,"",IF(MIN('Hours Log'!$A$4:$A$5000)+7*(ROW()-10)&gt;MAX('Hours Log'!$A$4:$A$5000),"",MIN('Hours Log'!$A$4:$A$5000)+7*(ROW()-10)))</f>
        <v/>
      </c>
    </row>
    <row r="1513">
      <c r="A1513">
        <f>IF($J1513="","",YEAR($J1513-WEEKDAY($J1513,2)+4)&amp;"-W"&amp;TEXT(WEEKNUM($J1513,21),"00"))</f>
        <v/>
      </c>
      <c r="B1513" s="41">
        <f>IF($J1513="","",COUNTIFS(Roster!$D$4:$D$500,"Active",Roster!$C$4:$C$500,"&lt;="&amp;$J1513))</f>
        <v/>
      </c>
      <c r="C1513">
        <f>IF($J1513="","",SUMIFS('Hours Log'!$C:$C,'Hours Log'!$A:$A,"&gt;="&amp;$J1513,'Hours Log'!$A:$A,"&lt;"&amp;$J1513+7)+SUMIFS('Hours Log'!$D:$D,'Hours Log'!$A:$A,"&gt;="&amp;$J1513,'Hours Log'!$A:$A,"&lt;"&amp;$J1513+7))</f>
        <v/>
      </c>
      <c r="D1513">
        <f>IF($J1513="","",SUMIFS('Hours Log'!$D:$D,'Hours Log'!$A:$A,"&gt;="&amp;$J1513,'Hours Log'!$A:$A,"&lt;"&amp;$J1513+7))</f>
        <v/>
      </c>
      <c r="E1513">
        <f>IF($J1513="","",IFERROR(C1513/(B1513*40),0))</f>
        <v/>
      </c>
      <c r="F1513">
        <f>IF($J1513="","",0)</f>
        <v/>
      </c>
      <c r="G1513">
        <f>IF($J1513="","",SUMIFS('Hours Log'!$E:$E,'Hours Log'!$A:$A,"&gt;="&amp;$J1513,'Hours Log'!$A:$A,"&lt;"&amp;$J1513+7))</f>
        <v/>
      </c>
      <c r="J1513">
        <f>IF(COUNT('Hours Log'!$A$4:$A$5000)=0,"",IF(MIN('Hours Log'!$A$4:$A$5000)+7*(ROW()-10)&gt;MAX('Hours Log'!$A$4:$A$5000),"",MIN('Hours Log'!$A$4:$A$5000)+7*(ROW()-10)))</f>
        <v/>
      </c>
    </row>
    <row r="1514">
      <c r="A1514">
        <f>IF($J1514="","",YEAR($J1514-WEEKDAY($J1514,2)+4)&amp;"-W"&amp;TEXT(WEEKNUM($J1514,21),"00"))</f>
        <v/>
      </c>
      <c r="B1514" s="41">
        <f>IF($J1514="","",COUNTIFS(Roster!$D$4:$D$500,"Active",Roster!$C$4:$C$500,"&lt;="&amp;$J1514))</f>
        <v/>
      </c>
      <c r="C1514">
        <f>IF($J1514="","",SUMIFS('Hours Log'!$C:$C,'Hours Log'!$A:$A,"&gt;="&amp;$J1514,'Hours Log'!$A:$A,"&lt;"&amp;$J1514+7)+SUMIFS('Hours Log'!$D:$D,'Hours Log'!$A:$A,"&gt;="&amp;$J1514,'Hours Log'!$A:$A,"&lt;"&amp;$J1514+7))</f>
        <v/>
      </c>
      <c r="D1514">
        <f>IF($J1514="","",SUMIFS('Hours Log'!$D:$D,'Hours Log'!$A:$A,"&gt;="&amp;$J1514,'Hours Log'!$A:$A,"&lt;"&amp;$J1514+7))</f>
        <v/>
      </c>
      <c r="E1514">
        <f>IF($J1514="","",IFERROR(C1514/(B1514*40),0))</f>
        <v/>
      </c>
      <c r="F1514">
        <f>IF($J1514="","",0)</f>
        <v/>
      </c>
      <c r="G1514">
        <f>IF($J1514="","",SUMIFS('Hours Log'!$E:$E,'Hours Log'!$A:$A,"&gt;="&amp;$J1514,'Hours Log'!$A:$A,"&lt;"&amp;$J1514+7))</f>
        <v/>
      </c>
      <c r="J1514">
        <f>IF(COUNT('Hours Log'!$A$4:$A$5000)=0,"",IF(MIN('Hours Log'!$A$4:$A$5000)+7*(ROW()-10)&gt;MAX('Hours Log'!$A$4:$A$5000),"",MIN('Hours Log'!$A$4:$A$5000)+7*(ROW()-10)))</f>
        <v/>
      </c>
    </row>
    <row r="1515">
      <c r="A1515">
        <f>IF($J1515="","",YEAR($J1515-WEEKDAY($J1515,2)+4)&amp;"-W"&amp;TEXT(WEEKNUM($J1515,21),"00"))</f>
        <v/>
      </c>
      <c r="B1515" s="41">
        <f>IF($J1515="","",COUNTIFS(Roster!$D$4:$D$500,"Active",Roster!$C$4:$C$500,"&lt;="&amp;$J1515))</f>
        <v/>
      </c>
      <c r="C1515">
        <f>IF($J1515="","",SUMIFS('Hours Log'!$C:$C,'Hours Log'!$A:$A,"&gt;="&amp;$J1515,'Hours Log'!$A:$A,"&lt;"&amp;$J1515+7)+SUMIFS('Hours Log'!$D:$D,'Hours Log'!$A:$A,"&gt;="&amp;$J1515,'Hours Log'!$A:$A,"&lt;"&amp;$J1515+7))</f>
        <v/>
      </c>
      <c r="D1515">
        <f>IF($J1515="","",SUMIFS('Hours Log'!$D:$D,'Hours Log'!$A:$A,"&gt;="&amp;$J1515,'Hours Log'!$A:$A,"&lt;"&amp;$J1515+7))</f>
        <v/>
      </c>
      <c r="E1515">
        <f>IF($J1515="","",IFERROR(C1515/(B1515*40),0))</f>
        <v/>
      </c>
      <c r="F1515">
        <f>IF($J1515="","",0)</f>
        <v/>
      </c>
      <c r="G1515">
        <f>IF($J1515="","",SUMIFS('Hours Log'!$E:$E,'Hours Log'!$A:$A,"&gt;="&amp;$J1515,'Hours Log'!$A:$A,"&lt;"&amp;$J1515+7))</f>
        <v/>
      </c>
      <c r="J1515">
        <f>IF(COUNT('Hours Log'!$A$4:$A$5000)=0,"",IF(MIN('Hours Log'!$A$4:$A$5000)+7*(ROW()-10)&gt;MAX('Hours Log'!$A$4:$A$5000),"",MIN('Hours Log'!$A$4:$A$5000)+7*(ROW()-10)))</f>
        <v/>
      </c>
    </row>
    <row r="1516">
      <c r="A1516">
        <f>IF($J1516="","",YEAR($J1516-WEEKDAY($J1516,2)+4)&amp;"-W"&amp;TEXT(WEEKNUM($J1516,21),"00"))</f>
        <v/>
      </c>
      <c r="B1516" s="41">
        <f>IF($J1516="","",COUNTIFS(Roster!$D$4:$D$500,"Active",Roster!$C$4:$C$500,"&lt;="&amp;$J1516))</f>
        <v/>
      </c>
      <c r="C1516">
        <f>IF($J1516="","",SUMIFS('Hours Log'!$C:$C,'Hours Log'!$A:$A,"&gt;="&amp;$J1516,'Hours Log'!$A:$A,"&lt;"&amp;$J1516+7)+SUMIFS('Hours Log'!$D:$D,'Hours Log'!$A:$A,"&gt;="&amp;$J1516,'Hours Log'!$A:$A,"&lt;"&amp;$J1516+7))</f>
        <v/>
      </c>
      <c r="D1516">
        <f>IF($J1516="","",SUMIFS('Hours Log'!$D:$D,'Hours Log'!$A:$A,"&gt;="&amp;$J1516,'Hours Log'!$A:$A,"&lt;"&amp;$J1516+7))</f>
        <v/>
      </c>
      <c r="E1516">
        <f>IF($J1516="","",IFERROR(C1516/(B1516*40),0))</f>
        <v/>
      </c>
      <c r="F1516">
        <f>IF($J1516="","",0)</f>
        <v/>
      </c>
      <c r="G1516">
        <f>IF($J1516="","",SUMIFS('Hours Log'!$E:$E,'Hours Log'!$A:$A,"&gt;="&amp;$J1516,'Hours Log'!$A:$A,"&lt;"&amp;$J1516+7))</f>
        <v/>
      </c>
      <c r="J1516">
        <f>IF(COUNT('Hours Log'!$A$4:$A$5000)=0,"",IF(MIN('Hours Log'!$A$4:$A$5000)+7*(ROW()-10)&gt;MAX('Hours Log'!$A$4:$A$5000),"",MIN('Hours Log'!$A$4:$A$5000)+7*(ROW()-10)))</f>
        <v/>
      </c>
    </row>
    <row r="1517">
      <c r="A1517">
        <f>IF($J1517="","",YEAR($J1517-WEEKDAY($J1517,2)+4)&amp;"-W"&amp;TEXT(WEEKNUM($J1517,21),"00"))</f>
        <v/>
      </c>
      <c r="B1517" s="41">
        <f>IF($J1517="","",COUNTIFS(Roster!$D$4:$D$500,"Active",Roster!$C$4:$C$500,"&lt;="&amp;$J1517))</f>
        <v/>
      </c>
      <c r="C1517">
        <f>IF($J1517="","",SUMIFS('Hours Log'!$C:$C,'Hours Log'!$A:$A,"&gt;="&amp;$J1517,'Hours Log'!$A:$A,"&lt;"&amp;$J1517+7)+SUMIFS('Hours Log'!$D:$D,'Hours Log'!$A:$A,"&gt;="&amp;$J1517,'Hours Log'!$A:$A,"&lt;"&amp;$J1517+7))</f>
        <v/>
      </c>
      <c r="D1517">
        <f>IF($J1517="","",SUMIFS('Hours Log'!$D:$D,'Hours Log'!$A:$A,"&gt;="&amp;$J1517,'Hours Log'!$A:$A,"&lt;"&amp;$J1517+7))</f>
        <v/>
      </c>
      <c r="E1517">
        <f>IF($J1517="","",IFERROR(C1517/(B1517*40),0))</f>
        <v/>
      </c>
      <c r="F1517">
        <f>IF($J1517="","",0)</f>
        <v/>
      </c>
      <c r="G1517">
        <f>IF($J1517="","",SUMIFS('Hours Log'!$E:$E,'Hours Log'!$A:$A,"&gt;="&amp;$J1517,'Hours Log'!$A:$A,"&lt;"&amp;$J1517+7))</f>
        <v/>
      </c>
      <c r="J1517">
        <f>IF(COUNT('Hours Log'!$A$4:$A$5000)=0,"",IF(MIN('Hours Log'!$A$4:$A$5000)+7*(ROW()-10)&gt;MAX('Hours Log'!$A$4:$A$5000),"",MIN('Hours Log'!$A$4:$A$5000)+7*(ROW()-10)))</f>
        <v/>
      </c>
    </row>
    <row r="1518">
      <c r="A1518">
        <f>IF($J1518="","",YEAR($J1518-WEEKDAY($J1518,2)+4)&amp;"-W"&amp;TEXT(WEEKNUM($J1518,21),"00"))</f>
        <v/>
      </c>
      <c r="B1518" s="41">
        <f>IF($J1518="","",COUNTIFS(Roster!$D$4:$D$500,"Active",Roster!$C$4:$C$500,"&lt;="&amp;$J1518))</f>
        <v/>
      </c>
      <c r="C1518">
        <f>IF($J1518="","",SUMIFS('Hours Log'!$C:$C,'Hours Log'!$A:$A,"&gt;="&amp;$J1518,'Hours Log'!$A:$A,"&lt;"&amp;$J1518+7)+SUMIFS('Hours Log'!$D:$D,'Hours Log'!$A:$A,"&gt;="&amp;$J1518,'Hours Log'!$A:$A,"&lt;"&amp;$J1518+7))</f>
        <v/>
      </c>
      <c r="D1518">
        <f>IF($J1518="","",SUMIFS('Hours Log'!$D:$D,'Hours Log'!$A:$A,"&gt;="&amp;$J1518,'Hours Log'!$A:$A,"&lt;"&amp;$J1518+7))</f>
        <v/>
      </c>
      <c r="E1518">
        <f>IF($J1518="","",IFERROR(C1518/(B1518*40),0))</f>
        <v/>
      </c>
      <c r="F1518">
        <f>IF($J1518="","",0)</f>
        <v/>
      </c>
      <c r="G1518">
        <f>IF($J1518="","",SUMIFS('Hours Log'!$E:$E,'Hours Log'!$A:$A,"&gt;="&amp;$J1518,'Hours Log'!$A:$A,"&lt;"&amp;$J1518+7))</f>
        <v/>
      </c>
      <c r="J1518">
        <f>IF(COUNT('Hours Log'!$A$4:$A$5000)=0,"",IF(MIN('Hours Log'!$A$4:$A$5000)+7*(ROW()-10)&gt;MAX('Hours Log'!$A$4:$A$5000),"",MIN('Hours Log'!$A$4:$A$5000)+7*(ROW()-10)))</f>
        <v/>
      </c>
    </row>
    <row r="1519">
      <c r="A1519">
        <f>IF($J1519="","",YEAR($J1519-WEEKDAY($J1519,2)+4)&amp;"-W"&amp;TEXT(WEEKNUM($J1519,21),"00"))</f>
        <v/>
      </c>
      <c r="B1519" s="41">
        <f>IF($J1519="","",COUNTIFS(Roster!$D$4:$D$500,"Active",Roster!$C$4:$C$500,"&lt;="&amp;$J1519))</f>
        <v/>
      </c>
      <c r="C1519">
        <f>IF($J1519="","",SUMIFS('Hours Log'!$C:$C,'Hours Log'!$A:$A,"&gt;="&amp;$J1519,'Hours Log'!$A:$A,"&lt;"&amp;$J1519+7)+SUMIFS('Hours Log'!$D:$D,'Hours Log'!$A:$A,"&gt;="&amp;$J1519,'Hours Log'!$A:$A,"&lt;"&amp;$J1519+7))</f>
        <v/>
      </c>
      <c r="D1519">
        <f>IF($J1519="","",SUMIFS('Hours Log'!$D:$D,'Hours Log'!$A:$A,"&gt;="&amp;$J1519,'Hours Log'!$A:$A,"&lt;"&amp;$J1519+7))</f>
        <v/>
      </c>
      <c r="E1519">
        <f>IF($J1519="","",IFERROR(C1519/(B1519*40),0))</f>
        <v/>
      </c>
      <c r="F1519">
        <f>IF($J1519="","",0)</f>
        <v/>
      </c>
      <c r="G1519">
        <f>IF($J1519="","",SUMIFS('Hours Log'!$E:$E,'Hours Log'!$A:$A,"&gt;="&amp;$J1519,'Hours Log'!$A:$A,"&lt;"&amp;$J1519+7))</f>
        <v/>
      </c>
      <c r="J1519">
        <f>IF(COUNT('Hours Log'!$A$4:$A$5000)=0,"",IF(MIN('Hours Log'!$A$4:$A$5000)+7*(ROW()-10)&gt;MAX('Hours Log'!$A$4:$A$5000),"",MIN('Hours Log'!$A$4:$A$5000)+7*(ROW()-10)))</f>
        <v/>
      </c>
    </row>
    <row r="1520">
      <c r="A1520">
        <f>IF($J1520="","",YEAR($J1520-WEEKDAY($J1520,2)+4)&amp;"-W"&amp;TEXT(WEEKNUM($J1520,21),"00"))</f>
        <v/>
      </c>
      <c r="B1520" s="41">
        <f>IF($J1520="","",COUNTIFS(Roster!$D$4:$D$500,"Active",Roster!$C$4:$C$500,"&lt;="&amp;$J1520))</f>
        <v/>
      </c>
      <c r="C1520">
        <f>IF($J1520="","",SUMIFS('Hours Log'!$C:$C,'Hours Log'!$A:$A,"&gt;="&amp;$J1520,'Hours Log'!$A:$A,"&lt;"&amp;$J1520+7)+SUMIFS('Hours Log'!$D:$D,'Hours Log'!$A:$A,"&gt;="&amp;$J1520,'Hours Log'!$A:$A,"&lt;"&amp;$J1520+7))</f>
        <v/>
      </c>
      <c r="D1520">
        <f>IF($J1520="","",SUMIFS('Hours Log'!$D:$D,'Hours Log'!$A:$A,"&gt;="&amp;$J1520,'Hours Log'!$A:$A,"&lt;"&amp;$J1520+7))</f>
        <v/>
      </c>
      <c r="E1520">
        <f>IF($J1520="","",IFERROR(C1520/(B1520*40),0))</f>
        <v/>
      </c>
      <c r="F1520">
        <f>IF($J1520="","",0)</f>
        <v/>
      </c>
      <c r="G1520">
        <f>IF($J1520="","",SUMIFS('Hours Log'!$E:$E,'Hours Log'!$A:$A,"&gt;="&amp;$J1520,'Hours Log'!$A:$A,"&lt;"&amp;$J1520+7))</f>
        <v/>
      </c>
      <c r="J1520">
        <f>IF(COUNT('Hours Log'!$A$4:$A$5000)=0,"",IF(MIN('Hours Log'!$A$4:$A$5000)+7*(ROW()-10)&gt;MAX('Hours Log'!$A$4:$A$5000),"",MIN('Hours Log'!$A$4:$A$5000)+7*(ROW()-10)))</f>
        <v/>
      </c>
    </row>
    <row r="1521">
      <c r="A1521">
        <f>IF($J1521="","",YEAR($J1521-WEEKDAY($J1521,2)+4)&amp;"-W"&amp;TEXT(WEEKNUM($J1521,21),"00"))</f>
        <v/>
      </c>
      <c r="B1521" s="41">
        <f>IF($J1521="","",COUNTIFS(Roster!$D$4:$D$500,"Active",Roster!$C$4:$C$500,"&lt;="&amp;$J1521))</f>
        <v/>
      </c>
      <c r="C1521">
        <f>IF($J1521="","",SUMIFS('Hours Log'!$C:$C,'Hours Log'!$A:$A,"&gt;="&amp;$J1521,'Hours Log'!$A:$A,"&lt;"&amp;$J1521+7)+SUMIFS('Hours Log'!$D:$D,'Hours Log'!$A:$A,"&gt;="&amp;$J1521,'Hours Log'!$A:$A,"&lt;"&amp;$J1521+7))</f>
        <v/>
      </c>
      <c r="D1521">
        <f>IF($J1521="","",SUMIFS('Hours Log'!$D:$D,'Hours Log'!$A:$A,"&gt;="&amp;$J1521,'Hours Log'!$A:$A,"&lt;"&amp;$J1521+7))</f>
        <v/>
      </c>
      <c r="E1521">
        <f>IF($J1521="","",IFERROR(C1521/(B1521*40),0))</f>
        <v/>
      </c>
      <c r="F1521">
        <f>IF($J1521="","",0)</f>
        <v/>
      </c>
      <c r="G1521">
        <f>IF($J1521="","",SUMIFS('Hours Log'!$E:$E,'Hours Log'!$A:$A,"&gt;="&amp;$J1521,'Hours Log'!$A:$A,"&lt;"&amp;$J1521+7))</f>
        <v/>
      </c>
      <c r="J1521">
        <f>IF(COUNT('Hours Log'!$A$4:$A$5000)=0,"",IF(MIN('Hours Log'!$A$4:$A$5000)+7*(ROW()-10)&gt;MAX('Hours Log'!$A$4:$A$5000),"",MIN('Hours Log'!$A$4:$A$5000)+7*(ROW()-10)))</f>
        <v/>
      </c>
    </row>
    <row r="1522">
      <c r="A1522">
        <f>IF($J1522="","",YEAR($J1522-WEEKDAY($J1522,2)+4)&amp;"-W"&amp;TEXT(WEEKNUM($J1522,21),"00"))</f>
        <v/>
      </c>
      <c r="B1522" s="41">
        <f>IF($J1522="","",COUNTIFS(Roster!$D$4:$D$500,"Active",Roster!$C$4:$C$500,"&lt;="&amp;$J1522))</f>
        <v/>
      </c>
      <c r="C1522">
        <f>IF($J1522="","",SUMIFS('Hours Log'!$C:$C,'Hours Log'!$A:$A,"&gt;="&amp;$J1522,'Hours Log'!$A:$A,"&lt;"&amp;$J1522+7)+SUMIFS('Hours Log'!$D:$D,'Hours Log'!$A:$A,"&gt;="&amp;$J1522,'Hours Log'!$A:$A,"&lt;"&amp;$J1522+7))</f>
        <v/>
      </c>
      <c r="D1522">
        <f>IF($J1522="","",SUMIFS('Hours Log'!$D:$D,'Hours Log'!$A:$A,"&gt;="&amp;$J1522,'Hours Log'!$A:$A,"&lt;"&amp;$J1522+7))</f>
        <v/>
      </c>
      <c r="E1522">
        <f>IF($J1522="","",IFERROR(C1522/(B1522*40),0))</f>
        <v/>
      </c>
      <c r="F1522">
        <f>IF($J1522="","",0)</f>
        <v/>
      </c>
      <c r="G1522">
        <f>IF($J1522="","",SUMIFS('Hours Log'!$E:$E,'Hours Log'!$A:$A,"&gt;="&amp;$J1522,'Hours Log'!$A:$A,"&lt;"&amp;$J1522+7))</f>
        <v/>
      </c>
      <c r="J1522">
        <f>IF(COUNT('Hours Log'!$A$4:$A$5000)=0,"",IF(MIN('Hours Log'!$A$4:$A$5000)+7*(ROW()-10)&gt;MAX('Hours Log'!$A$4:$A$5000),"",MIN('Hours Log'!$A$4:$A$5000)+7*(ROW()-10)))</f>
        <v/>
      </c>
    </row>
    <row r="1523">
      <c r="A1523">
        <f>IF($J1523="","",YEAR($J1523-WEEKDAY($J1523,2)+4)&amp;"-W"&amp;TEXT(WEEKNUM($J1523,21),"00"))</f>
        <v/>
      </c>
      <c r="B1523" s="41">
        <f>IF($J1523="","",COUNTIFS(Roster!$D$4:$D$500,"Active",Roster!$C$4:$C$500,"&lt;="&amp;$J1523))</f>
        <v/>
      </c>
      <c r="C1523">
        <f>IF($J1523="","",SUMIFS('Hours Log'!$C:$C,'Hours Log'!$A:$A,"&gt;="&amp;$J1523,'Hours Log'!$A:$A,"&lt;"&amp;$J1523+7)+SUMIFS('Hours Log'!$D:$D,'Hours Log'!$A:$A,"&gt;="&amp;$J1523,'Hours Log'!$A:$A,"&lt;"&amp;$J1523+7))</f>
        <v/>
      </c>
      <c r="D1523">
        <f>IF($J1523="","",SUMIFS('Hours Log'!$D:$D,'Hours Log'!$A:$A,"&gt;="&amp;$J1523,'Hours Log'!$A:$A,"&lt;"&amp;$J1523+7))</f>
        <v/>
      </c>
      <c r="E1523">
        <f>IF($J1523="","",IFERROR(C1523/(B1523*40),0))</f>
        <v/>
      </c>
      <c r="F1523">
        <f>IF($J1523="","",0)</f>
        <v/>
      </c>
      <c r="G1523">
        <f>IF($J1523="","",SUMIFS('Hours Log'!$E:$E,'Hours Log'!$A:$A,"&gt;="&amp;$J1523,'Hours Log'!$A:$A,"&lt;"&amp;$J1523+7))</f>
        <v/>
      </c>
      <c r="J1523">
        <f>IF(COUNT('Hours Log'!$A$4:$A$5000)=0,"",IF(MIN('Hours Log'!$A$4:$A$5000)+7*(ROW()-10)&gt;MAX('Hours Log'!$A$4:$A$5000),"",MIN('Hours Log'!$A$4:$A$5000)+7*(ROW()-10)))</f>
        <v/>
      </c>
    </row>
    <row r="1524">
      <c r="A1524">
        <f>IF($J1524="","",YEAR($J1524-WEEKDAY($J1524,2)+4)&amp;"-W"&amp;TEXT(WEEKNUM($J1524,21),"00"))</f>
        <v/>
      </c>
      <c r="B1524" s="41">
        <f>IF($J1524="","",COUNTIFS(Roster!$D$4:$D$500,"Active",Roster!$C$4:$C$500,"&lt;="&amp;$J1524))</f>
        <v/>
      </c>
      <c r="C1524">
        <f>IF($J1524="","",SUMIFS('Hours Log'!$C:$C,'Hours Log'!$A:$A,"&gt;="&amp;$J1524,'Hours Log'!$A:$A,"&lt;"&amp;$J1524+7)+SUMIFS('Hours Log'!$D:$D,'Hours Log'!$A:$A,"&gt;="&amp;$J1524,'Hours Log'!$A:$A,"&lt;"&amp;$J1524+7))</f>
        <v/>
      </c>
      <c r="D1524">
        <f>IF($J1524="","",SUMIFS('Hours Log'!$D:$D,'Hours Log'!$A:$A,"&gt;="&amp;$J1524,'Hours Log'!$A:$A,"&lt;"&amp;$J1524+7))</f>
        <v/>
      </c>
      <c r="E1524">
        <f>IF($J1524="","",IFERROR(C1524/(B1524*40),0))</f>
        <v/>
      </c>
      <c r="F1524">
        <f>IF($J1524="","",0)</f>
        <v/>
      </c>
      <c r="G1524">
        <f>IF($J1524="","",SUMIFS('Hours Log'!$E:$E,'Hours Log'!$A:$A,"&gt;="&amp;$J1524,'Hours Log'!$A:$A,"&lt;"&amp;$J1524+7))</f>
        <v/>
      </c>
      <c r="J1524">
        <f>IF(COUNT('Hours Log'!$A$4:$A$5000)=0,"",IF(MIN('Hours Log'!$A$4:$A$5000)+7*(ROW()-10)&gt;MAX('Hours Log'!$A$4:$A$5000),"",MIN('Hours Log'!$A$4:$A$5000)+7*(ROW()-10)))</f>
        <v/>
      </c>
    </row>
    <row r="1525">
      <c r="A1525">
        <f>IF($J1525="","",YEAR($J1525-WEEKDAY($J1525,2)+4)&amp;"-W"&amp;TEXT(WEEKNUM($J1525,21),"00"))</f>
        <v/>
      </c>
      <c r="B1525" s="41">
        <f>IF($J1525="","",COUNTIFS(Roster!$D$4:$D$500,"Active",Roster!$C$4:$C$500,"&lt;="&amp;$J1525))</f>
        <v/>
      </c>
      <c r="C1525">
        <f>IF($J1525="","",SUMIFS('Hours Log'!$C:$C,'Hours Log'!$A:$A,"&gt;="&amp;$J1525,'Hours Log'!$A:$A,"&lt;"&amp;$J1525+7)+SUMIFS('Hours Log'!$D:$D,'Hours Log'!$A:$A,"&gt;="&amp;$J1525,'Hours Log'!$A:$A,"&lt;"&amp;$J1525+7))</f>
        <v/>
      </c>
      <c r="D1525">
        <f>IF($J1525="","",SUMIFS('Hours Log'!$D:$D,'Hours Log'!$A:$A,"&gt;="&amp;$J1525,'Hours Log'!$A:$A,"&lt;"&amp;$J1525+7))</f>
        <v/>
      </c>
      <c r="E1525">
        <f>IF($J1525="","",IFERROR(C1525/(B1525*40),0))</f>
        <v/>
      </c>
      <c r="F1525">
        <f>IF($J1525="","",0)</f>
        <v/>
      </c>
      <c r="G1525">
        <f>IF($J1525="","",SUMIFS('Hours Log'!$E:$E,'Hours Log'!$A:$A,"&gt;="&amp;$J1525,'Hours Log'!$A:$A,"&lt;"&amp;$J1525+7))</f>
        <v/>
      </c>
      <c r="J1525">
        <f>IF(COUNT('Hours Log'!$A$4:$A$5000)=0,"",IF(MIN('Hours Log'!$A$4:$A$5000)+7*(ROW()-10)&gt;MAX('Hours Log'!$A$4:$A$5000),"",MIN('Hours Log'!$A$4:$A$5000)+7*(ROW()-10)))</f>
        <v/>
      </c>
    </row>
    <row r="1526">
      <c r="A1526">
        <f>IF($J1526="","",YEAR($J1526-WEEKDAY($J1526,2)+4)&amp;"-W"&amp;TEXT(WEEKNUM($J1526,21),"00"))</f>
        <v/>
      </c>
      <c r="B1526" s="41">
        <f>IF($J1526="","",COUNTIFS(Roster!$D$4:$D$500,"Active",Roster!$C$4:$C$500,"&lt;="&amp;$J1526))</f>
        <v/>
      </c>
      <c r="C1526">
        <f>IF($J1526="","",SUMIFS('Hours Log'!$C:$C,'Hours Log'!$A:$A,"&gt;="&amp;$J1526,'Hours Log'!$A:$A,"&lt;"&amp;$J1526+7)+SUMIFS('Hours Log'!$D:$D,'Hours Log'!$A:$A,"&gt;="&amp;$J1526,'Hours Log'!$A:$A,"&lt;"&amp;$J1526+7))</f>
        <v/>
      </c>
      <c r="D1526">
        <f>IF($J1526="","",SUMIFS('Hours Log'!$D:$D,'Hours Log'!$A:$A,"&gt;="&amp;$J1526,'Hours Log'!$A:$A,"&lt;"&amp;$J1526+7))</f>
        <v/>
      </c>
      <c r="E1526">
        <f>IF($J1526="","",IFERROR(C1526/(B1526*40),0))</f>
        <v/>
      </c>
      <c r="F1526">
        <f>IF($J1526="","",0)</f>
        <v/>
      </c>
      <c r="G1526">
        <f>IF($J1526="","",SUMIFS('Hours Log'!$E:$E,'Hours Log'!$A:$A,"&gt;="&amp;$J1526,'Hours Log'!$A:$A,"&lt;"&amp;$J1526+7))</f>
        <v/>
      </c>
      <c r="J1526">
        <f>IF(COUNT('Hours Log'!$A$4:$A$5000)=0,"",IF(MIN('Hours Log'!$A$4:$A$5000)+7*(ROW()-10)&gt;MAX('Hours Log'!$A$4:$A$5000),"",MIN('Hours Log'!$A$4:$A$5000)+7*(ROW()-10)))</f>
        <v/>
      </c>
    </row>
    <row r="1527">
      <c r="A1527">
        <f>IF($J1527="","",YEAR($J1527-WEEKDAY($J1527,2)+4)&amp;"-W"&amp;TEXT(WEEKNUM($J1527,21),"00"))</f>
        <v/>
      </c>
      <c r="B1527" s="41">
        <f>IF($J1527="","",COUNTIFS(Roster!$D$4:$D$500,"Active",Roster!$C$4:$C$500,"&lt;="&amp;$J1527))</f>
        <v/>
      </c>
      <c r="C1527">
        <f>IF($J1527="","",SUMIFS('Hours Log'!$C:$C,'Hours Log'!$A:$A,"&gt;="&amp;$J1527,'Hours Log'!$A:$A,"&lt;"&amp;$J1527+7)+SUMIFS('Hours Log'!$D:$D,'Hours Log'!$A:$A,"&gt;="&amp;$J1527,'Hours Log'!$A:$A,"&lt;"&amp;$J1527+7))</f>
        <v/>
      </c>
      <c r="D1527">
        <f>IF($J1527="","",SUMIFS('Hours Log'!$D:$D,'Hours Log'!$A:$A,"&gt;="&amp;$J1527,'Hours Log'!$A:$A,"&lt;"&amp;$J1527+7))</f>
        <v/>
      </c>
      <c r="E1527">
        <f>IF($J1527="","",IFERROR(C1527/(B1527*40),0))</f>
        <v/>
      </c>
      <c r="F1527">
        <f>IF($J1527="","",0)</f>
        <v/>
      </c>
      <c r="G1527">
        <f>IF($J1527="","",SUMIFS('Hours Log'!$E:$E,'Hours Log'!$A:$A,"&gt;="&amp;$J1527,'Hours Log'!$A:$A,"&lt;"&amp;$J1527+7))</f>
        <v/>
      </c>
      <c r="J1527">
        <f>IF(COUNT('Hours Log'!$A$4:$A$5000)=0,"",IF(MIN('Hours Log'!$A$4:$A$5000)+7*(ROW()-10)&gt;MAX('Hours Log'!$A$4:$A$5000),"",MIN('Hours Log'!$A$4:$A$5000)+7*(ROW()-10)))</f>
        <v/>
      </c>
    </row>
    <row r="1528">
      <c r="A1528">
        <f>IF($J1528="","",YEAR($J1528-WEEKDAY($J1528,2)+4)&amp;"-W"&amp;TEXT(WEEKNUM($J1528,21),"00"))</f>
        <v/>
      </c>
      <c r="B1528" s="41">
        <f>IF($J1528="","",COUNTIFS(Roster!$D$4:$D$500,"Active",Roster!$C$4:$C$500,"&lt;="&amp;$J1528))</f>
        <v/>
      </c>
      <c r="C1528">
        <f>IF($J1528="","",SUMIFS('Hours Log'!$C:$C,'Hours Log'!$A:$A,"&gt;="&amp;$J1528,'Hours Log'!$A:$A,"&lt;"&amp;$J1528+7)+SUMIFS('Hours Log'!$D:$D,'Hours Log'!$A:$A,"&gt;="&amp;$J1528,'Hours Log'!$A:$A,"&lt;"&amp;$J1528+7))</f>
        <v/>
      </c>
      <c r="D1528">
        <f>IF($J1528="","",SUMIFS('Hours Log'!$D:$D,'Hours Log'!$A:$A,"&gt;="&amp;$J1528,'Hours Log'!$A:$A,"&lt;"&amp;$J1528+7))</f>
        <v/>
      </c>
      <c r="E1528">
        <f>IF($J1528="","",IFERROR(C1528/(B1528*40),0))</f>
        <v/>
      </c>
      <c r="F1528">
        <f>IF($J1528="","",0)</f>
        <v/>
      </c>
      <c r="G1528">
        <f>IF($J1528="","",SUMIFS('Hours Log'!$E:$E,'Hours Log'!$A:$A,"&gt;="&amp;$J1528,'Hours Log'!$A:$A,"&lt;"&amp;$J1528+7))</f>
        <v/>
      </c>
      <c r="J1528">
        <f>IF(COUNT('Hours Log'!$A$4:$A$5000)=0,"",IF(MIN('Hours Log'!$A$4:$A$5000)+7*(ROW()-10)&gt;MAX('Hours Log'!$A$4:$A$5000),"",MIN('Hours Log'!$A$4:$A$5000)+7*(ROW()-10)))</f>
        <v/>
      </c>
    </row>
    <row r="1529">
      <c r="A1529">
        <f>IF($J1529="","",YEAR($J1529-WEEKDAY($J1529,2)+4)&amp;"-W"&amp;TEXT(WEEKNUM($J1529,21),"00"))</f>
        <v/>
      </c>
      <c r="B1529" s="41">
        <f>IF($J1529="","",COUNTIFS(Roster!$D$4:$D$500,"Active",Roster!$C$4:$C$500,"&lt;="&amp;$J1529))</f>
        <v/>
      </c>
      <c r="C1529">
        <f>IF($J1529="","",SUMIFS('Hours Log'!$C:$C,'Hours Log'!$A:$A,"&gt;="&amp;$J1529,'Hours Log'!$A:$A,"&lt;"&amp;$J1529+7)+SUMIFS('Hours Log'!$D:$D,'Hours Log'!$A:$A,"&gt;="&amp;$J1529,'Hours Log'!$A:$A,"&lt;"&amp;$J1529+7))</f>
        <v/>
      </c>
      <c r="D1529">
        <f>IF($J1529="","",SUMIFS('Hours Log'!$D:$D,'Hours Log'!$A:$A,"&gt;="&amp;$J1529,'Hours Log'!$A:$A,"&lt;"&amp;$J1529+7))</f>
        <v/>
      </c>
      <c r="E1529">
        <f>IF($J1529="","",IFERROR(C1529/(B1529*40),0))</f>
        <v/>
      </c>
      <c r="F1529">
        <f>IF($J1529="","",0)</f>
        <v/>
      </c>
      <c r="G1529">
        <f>IF($J1529="","",SUMIFS('Hours Log'!$E:$E,'Hours Log'!$A:$A,"&gt;="&amp;$J1529,'Hours Log'!$A:$A,"&lt;"&amp;$J1529+7))</f>
        <v/>
      </c>
      <c r="J1529">
        <f>IF(COUNT('Hours Log'!$A$4:$A$5000)=0,"",IF(MIN('Hours Log'!$A$4:$A$5000)+7*(ROW()-10)&gt;MAX('Hours Log'!$A$4:$A$5000),"",MIN('Hours Log'!$A$4:$A$5000)+7*(ROW()-10)))</f>
        <v/>
      </c>
    </row>
    <row r="1530">
      <c r="A1530">
        <f>IF($J1530="","",YEAR($J1530-WEEKDAY($J1530,2)+4)&amp;"-W"&amp;TEXT(WEEKNUM($J1530,21),"00"))</f>
        <v/>
      </c>
      <c r="B1530" s="41">
        <f>IF($J1530="","",COUNTIFS(Roster!$D$4:$D$500,"Active",Roster!$C$4:$C$500,"&lt;="&amp;$J1530))</f>
        <v/>
      </c>
      <c r="C1530">
        <f>IF($J1530="","",SUMIFS('Hours Log'!$C:$C,'Hours Log'!$A:$A,"&gt;="&amp;$J1530,'Hours Log'!$A:$A,"&lt;"&amp;$J1530+7)+SUMIFS('Hours Log'!$D:$D,'Hours Log'!$A:$A,"&gt;="&amp;$J1530,'Hours Log'!$A:$A,"&lt;"&amp;$J1530+7))</f>
        <v/>
      </c>
      <c r="D1530">
        <f>IF($J1530="","",SUMIFS('Hours Log'!$D:$D,'Hours Log'!$A:$A,"&gt;="&amp;$J1530,'Hours Log'!$A:$A,"&lt;"&amp;$J1530+7))</f>
        <v/>
      </c>
      <c r="E1530">
        <f>IF($J1530="","",IFERROR(C1530/(B1530*40),0))</f>
        <v/>
      </c>
      <c r="F1530">
        <f>IF($J1530="","",0)</f>
        <v/>
      </c>
      <c r="G1530">
        <f>IF($J1530="","",SUMIFS('Hours Log'!$E:$E,'Hours Log'!$A:$A,"&gt;="&amp;$J1530,'Hours Log'!$A:$A,"&lt;"&amp;$J1530+7))</f>
        <v/>
      </c>
      <c r="J1530">
        <f>IF(COUNT('Hours Log'!$A$4:$A$5000)=0,"",IF(MIN('Hours Log'!$A$4:$A$5000)+7*(ROW()-10)&gt;MAX('Hours Log'!$A$4:$A$5000),"",MIN('Hours Log'!$A$4:$A$5000)+7*(ROW()-10)))</f>
        <v/>
      </c>
    </row>
    <row r="1531">
      <c r="A1531">
        <f>IF($J1531="","",YEAR($J1531-WEEKDAY($J1531,2)+4)&amp;"-W"&amp;TEXT(WEEKNUM($J1531,21),"00"))</f>
        <v/>
      </c>
      <c r="B1531" s="41">
        <f>IF($J1531="","",COUNTIFS(Roster!$D$4:$D$500,"Active",Roster!$C$4:$C$500,"&lt;="&amp;$J1531))</f>
        <v/>
      </c>
      <c r="C1531">
        <f>IF($J1531="","",SUMIFS('Hours Log'!$C:$C,'Hours Log'!$A:$A,"&gt;="&amp;$J1531,'Hours Log'!$A:$A,"&lt;"&amp;$J1531+7)+SUMIFS('Hours Log'!$D:$D,'Hours Log'!$A:$A,"&gt;="&amp;$J1531,'Hours Log'!$A:$A,"&lt;"&amp;$J1531+7))</f>
        <v/>
      </c>
      <c r="D1531">
        <f>IF($J1531="","",SUMIFS('Hours Log'!$D:$D,'Hours Log'!$A:$A,"&gt;="&amp;$J1531,'Hours Log'!$A:$A,"&lt;"&amp;$J1531+7))</f>
        <v/>
      </c>
      <c r="E1531">
        <f>IF($J1531="","",IFERROR(C1531/(B1531*40),0))</f>
        <v/>
      </c>
      <c r="F1531">
        <f>IF($J1531="","",0)</f>
        <v/>
      </c>
      <c r="G1531">
        <f>IF($J1531="","",SUMIFS('Hours Log'!$E:$E,'Hours Log'!$A:$A,"&gt;="&amp;$J1531,'Hours Log'!$A:$A,"&lt;"&amp;$J1531+7))</f>
        <v/>
      </c>
      <c r="J1531">
        <f>IF(COUNT('Hours Log'!$A$4:$A$5000)=0,"",IF(MIN('Hours Log'!$A$4:$A$5000)+7*(ROW()-10)&gt;MAX('Hours Log'!$A$4:$A$5000),"",MIN('Hours Log'!$A$4:$A$5000)+7*(ROW()-10)))</f>
        <v/>
      </c>
    </row>
    <row r="1532">
      <c r="A1532">
        <f>IF($J1532="","",YEAR($J1532-WEEKDAY($J1532,2)+4)&amp;"-W"&amp;TEXT(WEEKNUM($J1532,21),"00"))</f>
        <v/>
      </c>
      <c r="B1532" s="41">
        <f>IF($J1532="","",COUNTIFS(Roster!$D$4:$D$500,"Active",Roster!$C$4:$C$500,"&lt;="&amp;$J1532))</f>
        <v/>
      </c>
      <c r="C1532">
        <f>IF($J1532="","",SUMIFS('Hours Log'!$C:$C,'Hours Log'!$A:$A,"&gt;="&amp;$J1532,'Hours Log'!$A:$A,"&lt;"&amp;$J1532+7)+SUMIFS('Hours Log'!$D:$D,'Hours Log'!$A:$A,"&gt;="&amp;$J1532,'Hours Log'!$A:$A,"&lt;"&amp;$J1532+7))</f>
        <v/>
      </c>
      <c r="D1532">
        <f>IF($J1532="","",SUMIFS('Hours Log'!$D:$D,'Hours Log'!$A:$A,"&gt;="&amp;$J1532,'Hours Log'!$A:$A,"&lt;"&amp;$J1532+7))</f>
        <v/>
      </c>
      <c r="E1532">
        <f>IF($J1532="","",IFERROR(C1532/(B1532*40),0))</f>
        <v/>
      </c>
      <c r="F1532">
        <f>IF($J1532="","",0)</f>
        <v/>
      </c>
      <c r="G1532">
        <f>IF($J1532="","",SUMIFS('Hours Log'!$E:$E,'Hours Log'!$A:$A,"&gt;="&amp;$J1532,'Hours Log'!$A:$A,"&lt;"&amp;$J1532+7))</f>
        <v/>
      </c>
      <c r="J1532">
        <f>IF(COUNT('Hours Log'!$A$4:$A$5000)=0,"",IF(MIN('Hours Log'!$A$4:$A$5000)+7*(ROW()-10)&gt;MAX('Hours Log'!$A$4:$A$5000),"",MIN('Hours Log'!$A$4:$A$5000)+7*(ROW()-10)))</f>
        <v/>
      </c>
    </row>
    <row r="1533">
      <c r="A1533">
        <f>IF($J1533="","",YEAR($J1533-WEEKDAY($J1533,2)+4)&amp;"-W"&amp;TEXT(WEEKNUM($J1533,21),"00"))</f>
        <v/>
      </c>
      <c r="B1533" s="41">
        <f>IF($J1533="","",COUNTIFS(Roster!$D$4:$D$500,"Active",Roster!$C$4:$C$500,"&lt;="&amp;$J1533))</f>
        <v/>
      </c>
      <c r="C1533">
        <f>IF($J1533="","",SUMIFS('Hours Log'!$C:$C,'Hours Log'!$A:$A,"&gt;="&amp;$J1533,'Hours Log'!$A:$A,"&lt;"&amp;$J1533+7)+SUMIFS('Hours Log'!$D:$D,'Hours Log'!$A:$A,"&gt;="&amp;$J1533,'Hours Log'!$A:$A,"&lt;"&amp;$J1533+7))</f>
        <v/>
      </c>
      <c r="D1533">
        <f>IF($J1533="","",SUMIFS('Hours Log'!$D:$D,'Hours Log'!$A:$A,"&gt;="&amp;$J1533,'Hours Log'!$A:$A,"&lt;"&amp;$J1533+7))</f>
        <v/>
      </c>
      <c r="E1533">
        <f>IF($J1533="","",IFERROR(C1533/(B1533*40),0))</f>
        <v/>
      </c>
      <c r="F1533">
        <f>IF($J1533="","",0)</f>
        <v/>
      </c>
      <c r="G1533">
        <f>IF($J1533="","",SUMIFS('Hours Log'!$E:$E,'Hours Log'!$A:$A,"&gt;="&amp;$J1533,'Hours Log'!$A:$A,"&lt;"&amp;$J1533+7))</f>
        <v/>
      </c>
      <c r="J1533">
        <f>IF(COUNT('Hours Log'!$A$4:$A$5000)=0,"",IF(MIN('Hours Log'!$A$4:$A$5000)+7*(ROW()-10)&gt;MAX('Hours Log'!$A$4:$A$5000),"",MIN('Hours Log'!$A$4:$A$5000)+7*(ROW()-10)))</f>
        <v/>
      </c>
    </row>
    <row r="1534">
      <c r="A1534">
        <f>IF($J1534="","",YEAR($J1534-WEEKDAY($J1534,2)+4)&amp;"-W"&amp;TEXT(WEEKNUM($J1534,21),"00"))</f>
        <v/>
      </c>
      <c r="B1534" s="41">
        <f>IF($J1534="","",COUNTIFS(Roster!$D$4:$D$500,"Active",Roster!$C$4:$C$500,"&lt;="&amp;$J1534))</f>
        <v/>
      </c>
      <c r="C1534">
        <f>IF($J1534="","",SUMIFS('Hours Log'!$C:$C,'Hours Log'!$A:$A,"&gt;="&amp;$J1534,'Hours Log'!$A:$A,"&lt;"&amp;$J1534+7)+SUMIFS('Hours Log'!$D:$D,'Hours Log'!$A:$A,"&gt;="&amp;$J1534,'Hours Log'!$A:$A,"&lt;"&amp;$J1534+7))</f>
        <v/>
      </c>
      <c r="D1534">
        <f>IF($J1534="","",SUMIFS('Hours Log'!$D:$D,'Hours Log'!$A:$A,"&gt;="&amp;$J1534,'Hours Log'!$A:$A,"&lt;"&amp;$J1534+7))</f>
        <v/>
      </c>
      <c r="E1534">
        <f>IF($J1534="","",IFERROR(C1534/(B1534*40),0))</f>
        <v/>
      </c>
      <c r="F1534">
        <f>IF($J1534="","",0)</f>
        <v/>
      </c>
      <c r="G1534">
        <f>IF($J1534="","",SUMIFS('Hours Log'!$E:$E,'Hours Log'!$A:$A,"&gt;="&amp;$J1534,'Hours Log'!$A:$A,"&lt;"&amp;$J1534+7))</f>
        <v/>
      </c>
      <c r="J1534">
        <f>IF(COUNT('Hours Log'!$A$4:$A$5000)=0,"",IF(MIN('Hours Log'!$A$4:$A$5000)+7*(ROW()-10)&gt;MAX('Hours Log'!$A$4:$A$5000),"",MIN('Hours Log'!$A$4:$A$5000)+7*(ROW()-10)))</f>
        <v/>
      </c>
    </row>
    <row r="1535">
      <c r="A1535">
        <f>IF($J1535="","",YEAR($J1535-WEEKDAY($J1535,2)+4)&amp;"-W"&amp;TEXT(WEEKNUM($J1535,21),"00"))</f>
        <v/>
      </c>
      <c r="B1535" s="41">
        <f>IF($J1535="","",COUNTIFS(Roster!$D$4:$D$500,"Active",Roster!$C$4:$C$500,"&lt;="&amp;$J1535))</f>
        <v/>
      </c>
      <c r="C1535">
        <f>IF($J1535="","",SUMIFS('Hours Log'!$C:$C,'Hours Log'!$A:$A,"&gt;="&amp;$J1535,'Hours Log'!$A:$A,"&lt;"&amp;$J1535+7)+SUMIFS('Hours Log'!$D:$D,'Hours Log'!$A:$A,"&gt;="&amp;$J1535,'Hours Log'!$A:$A,"&lt;"&amp;$J1535+7))</f>
        <v/>
      </c>
      <c r="D1535">
        <f>IF($J1535="","",SUMIFS('Hours Log'!$D:$D,'Hours Log'!$A:$A,"&gt;="&amp;$J1535,'Hours Log'!$A:$A,"&lt;"&amp;$J1535+7))</f>
        <v/>
      </c>
      <c r="E1535">
        <f>IF($J1535="","",IFERROR(C1535/(B1535*40),0))</f>
        <v/>
      </c>
      <c r="F1535">
        <f>IF($J1535="","",0)</f>
        <v/>
      </c>
      <c r="G1535">
        <f>IF($J1535="","",SUMIFS('Hours Log'!$E:$E,'Hours Log'!$A:$A,"&gt;="&amp;$J1535,'Hours Log'!$A:$A,"&lt;"&amp;$J1535+7))</f>
        <v/>
      </c>
      <c r="J1535">
        <f>IF(COUNT('Hours Log'!$A$4:$A$5000)=0,"",IF(MIN('Hours Log'!$A$4:$A$5000)+7*(ROW()-10)&gt;MAX('Hours Log'!$A$4:$A$5000),"",MIN('Hours Log'!$A$4:$A$5000)+7*(ROW()-10)))</f>
        <v/>
      </c>
    </row>
    <row r="1536">
      <c r="A1536">
        <f>IF($J1536="","",YEAR($J1536-WEEKDAY($J1536,2)+4)&amp;"-W"&amp;TEXT(WEEKNUM($J1536,21),"00"))</f>
        <v/>
      </c>
      <c r="B1536" s="41">
        <f>IF($J1536="","",COUNTIFS(Roster!$D$4:$D$500,"Active",Roster!$C$4:$C$500,"&lt;="&amp;$J1536))</f>
        <v/>
      </c>
      <c r="C1536">
        <f>IF($J1536="","",SUMIFS('Hours Log'!$C:$C,'Hours Log'!$A:$A,"&gt;="&amp;$J1536,'Hours Log'!$A:$A,"&lt;"&amp;$J1536+7)+SUMIFS('Hours Log'!$D:$D,'Hours Log'!$A:$A,"&gt;="&amp;$J1536,'Hours Log'!$A:$A,"&lt;"&amp;$J1536+7))</f>
        <v/>
      </c>
      <c r="D1536">
        <f>IF($J1536="","",SUMIFS('Hours Log'!$D:$D,'Hours Log'!$A:$A,"&gt;="&amp;$J1536,'Hours Log'!$A:$A,"&lt;"&amp;$J1536+7))</f>
        <v/>
      </c>
      <c r="E1536">
        <f>IF($J1536="","",IFERROR(C1536/(B1536*40),0))</f>
        <v/>
      </c>
      <c r="F1536">
        <f>IF($J1536="","",0)</f>
        <v/>
      </c>
      <c r="G1536">
        <f>IF($J1536="","",SUMIFS('Hours Log'!$E:$E,'Hours Log'!$A:$A,"&gt;="&amp;$J1536,'Hours Log'!$A:$A,"&lt;"&amp;$J1536+7))</f>
        <v/>
      </c>
      <c r="J1536">
        <f>IF(COUNT('Hours Log'!$A$4:$A$5000)=0,"",IF(MIN('Hours Log'!$A$4:$A$5000)+7*(ROW()-10)&gt;MAX('Hours Log'!$A$4:$A$5000),"",MIN('Hours Log'!$A$4:$A$5000)+7*(ROW()-10)))</f>
        <v/>
      </c>
    </row>
    <row r="1537">
      <c r="A1537">
        <f>IF($J1537="","",YEAR($J1537-WEEKDAY($J1537,2)+4)&amp;"-W"&amp;TEXT(WEEKNUM($J1537,21),"00"))</f>
        <v/>
      </c>
      <c r="B1537" s="41">
        <f>IF($J1537="","",COUNTIFS(Roster!$D$4:$D$500,"Active",Roster!$C$4:$C$500,"&lt;="&amp;$J1537))</f>
        <v/>
      </c>
      <c r="C1537">
        <f>IF($J1537="","",SUMIFS('Hours Log'!$C:$C,'Hours Log'!$A:$A,"&gt;="&amp;$J1537,'Hours Log'!$A:$A,"&lt;"&amp;$J1537+7)+SUMIFS('Hours Log'!$D:$D,'Hours Log'!$A:$A,"&gt;="&amp;$J1537,'Hours Log'!$A:$A,"&lt;"&amp;$J1537+7))</f>
        <v/>
      </c>
      <c r="D1537">
        <f>IF($J1537="","",SUMIFS('Hours Log'!$D:$D,'Hours Log'!$A:$A,"&gt;="&amp;$J1537,'Hours Log'!$A:$A,"&lt;"&amp;$J1537+7))</f>
        <v/>
      </c>
      <c r="E1537">
        <f>IF($J1537="","",IFERROR(C1537/(B1537*40),0))</f>
        <v/>
      </c>
      <c r="F1537">
        <f>IF($J1537="","",0)</f>
        <v/>
      </c>
      <c r="G1537">
        <f>IF($J1537="","",SUMIFS('Hours Log'!$E:$E,'Hours Log'!$A:$A,"&gt;="&amp;$J1537,'Hours Log'!$A:$A,"&lt;"&amp;$J1537+7))</f>
        <v/>
      </c>
      <c r="J1537">
        <f>IF(COUNT('Hours Log'!$A$4:$A$5000)=0,"",IF(MIN('Hours Log'!$A$4:$A$5000)+7*(ROW()-10)&gt;MAX('Hours Log'!$A$4:$A$5000),"",MIN('Hours Log'!$A$4:$A$5000)+7*(ROW()-10)))</f>
        <v/>
      </c>
    </row>
    <row r="1538">
      <c r="A1538">
        <f>IF($J1538="","",YEAR($J1538-WEEKDAY($J1538,2)+4)&amp;"-W"&amp;TEXT(WEEKNUM($J1538,21),"00"))</f>
        <v/>
      </c>
      <c r="B1538" s="41">
        <f>IF($J1538="","",COUNTIFS(Roster!$D$4:$D$500,"Active",Roster!$C$4:$C$500,"&lt;="&amp;$J1538))</f>
        <v/>
      </c>
      <c r="C1538">
        <f>IF($J1538="","",SUMIFS('Hours Log'!$C:$C,'Hours Log'!$A:$A,"&gt;="&amp;$J1538,'Hours Log'!$A:$A,"&lt;"&amp;$J1538+7)+SUMIFS('Hours Log'!$D:$D,'Hours Log'!$A:$A,"&gt;="&amp;$J1538,'Hours Log'!$A:$A,"&lt;"&amp;$J1538+7))</f>
        <v/>
      </c>
      <c r="D1538">
        <f>IF($J1538="","",SUMIFS('Hours Log'!$D:$D,'Hours Log'!$A:$A,"&gt;="&amp;$J1538,'Hours Log'!$A:$A,"&lt;"&amp;$J1538+7))</f>
        <v/>
      </c>
      <c r="E1538">
        <f>IF($J1538="","",IFERROR(C1538/(B1538*40),0))</f>
        <v/>
      </c>
      <c r="F1538">
        <f>IF($J1538="","",0)</f>
        <v/>
      </c>
      <c r="G1538">
        <f>IF($J1538="","",SUMIFS('Hours Log'!$E:$E,'Hours Log'!$A:$A,"&gt;="&amp;$J1538,'Hours Log'!$A:$A,"&lt;"&amp;$J1538+7))</f>
        <v/>
      </c>
      <c r="J1538">
        <f>IF(COUNT('Hours Log'!$A$4:$A$5000)=0,"",IF(MIN('Hours Log'!$A$4:$A$5000)+7*(ROW()-10)&gt;MAX('Hours Log'!$A$4:$A$5000),"",MIN('Hours Log'!$A$4:$A$5000)+7*(ROW()-10)))</f>
        <v/>
      </c>
    </row>
    <row r="1539">
      <c r="A1539">
        <f>IF($J1539="","",YEAR($J1539-WEEKDAY($J1539,2)+4)&amp;"-W"&amp;TEXT(WEEKNUM($J1539,21),"00"))</f>
        <v/>
      </c>
      <c r="B1539" s="41">
        <f>IF($J1539="","",COUNTIFS(Roster!$D$4:$D$500,"Active",Roster!$C$4:$C$500,"&lt;="&amp;$J1539))</f>
        <v/>
      </c>
      <c r="C1539">
        <f>IF($J1539="","",SUMIFS('Hours Log'!$C:$C,'Hours Log'!$A:$A,"&gt;="&amp;$J1539,'Hours Log'!$A:$A,"&lt;"&amp;$J1539+7)+SUMIFS('Hours Log'!$D:$D,'Hours Log'!$A:$A,"&gt;="&amp;$J1539,'Hours Log'!$A:$A,"&lt;"&amp;$J1539+7))</f>
        <v/>
      </c>
      <c r="D1539">
        <f>IF($J1539="","",SUMIFS('Hours Log'!$D:$D,'Hours Log'!$A:$A,"&gt;="&amp;$J1539,'Hours Log'!$A:$A,"&lt;"&amp;$J1539+7))</f>
        <v/>
      </c>
      <c r="E1539">
        <f>IF($J1539="","",IFERROR(C1539/(B1539*40),0))</f>
        <v/>
      </c>
      <c r="F1539">
        <f>IF($J1539="","",0)</f>
        <v/>
      </c>
      <c r="G1539">
        <f>IF($J1539="","",SUMIFS('Hours Log'!$E:$E,'Hours Log'!$A:$A,"&gt;="&amp;$J1539,'Hours Log'!$A:$A,"&lt;"&amp;$J1539+7))</f>
        <v/>
      </c>
      <c r="J1539">
        <f>IF(COUNT('Hours Log'!$A$4:$A$5000)=0,"",IF(MIN('Hours Log'!$A$4:$A$5000)+7*(ROW()-10)&gt;MAX('Hours Log'!$A$4:$A$5000),"",MIN('Hours Log'!$A$4:$A$5000)+7*(ROW()-10)))</f>
        <v/>
      </c>
    </row>
    <row r="1540">
      <c r="A1540">
        <f>IF($J1540="","",YEAR($J1540-WEEKDAY($J1540,2)+4)&amp;"-W"&amp;TEXT(WEEKNUM($J1540,21),"00"))</f>
        <v/>
      </c>
      <c r="B1540" s="41">
        <f>IF($J1540="","",COUNTIFS(Roster!$D$4:$D$500,"Active",Roster!$C$4:$C$500,"&lt;="&amp;$J1540))</f>
        <v/>
      </c>
      <c r="C1540">
        <f>IF($J1540="","",SUMIFS('Hours Log'!$C:$C,'Hours Log'!$A:$A,"&gt;="&amp;$J1540,'Hours Log'!$A:$A,"&lt;"&amp;$J1540+7)+SUMIFS('Hours Log'!$D:$D,'Hours Log'!$A:$A,"&gt;="&amp;$J1540,'Hours Log'!$A:$A,"&lt;"&amp;$J1540+7))</f>
        <v/>
      </c>
      <c r="D1540">
        <f>IF($J1540="","",SUMIFS('Hours Log'!$D:$D,'Hours Log'!$A:$A,"&gt;="&amp;$J1540,'Hours Log'!$A:$A,"&lt;"&amp;$J1540+7))</f>
        <v/>
      </c>
      <c r="E1540">
        <f>IF($J1540="","",IFERROR(C1540/(B1540*40),0))</f>
        <v/>
      </c>
      <c r="F1540">
        <f>IF($J1540="","",0)</f>
        <v/>
      </c>
      <c r="G1540">
        <f>IF($J1540="","",SUMIFS('Hours Log'!$E:$E,'Hours Log'!$A:$A,"&gt;="&amp;$J1540,'Hours Log'!$A:$A,"&lt;"&amp;$J1540+7))</f>
        <v/>
      </c>
      <c r="J1540">
        <f>IF(COUNT('Hours Log'!$A$4:$A$5000)=0,"",IF(MIN('Hours Log'!$A$4:$A$5000)+7*(ROW()-10)&gt;MAX('Hours Log'!$A$4:$A$5000),"",MIN('Hours Log'!$A$4:$A$5000)+7*(ROW()-10)))</f>
        <v/>
      </c>
    </row>
    <row r="1541">
      <c r="A1541">
        <f>IF($J1541="","",YEAR($J1541-WEEKDAY($J1541,2)+4)&amp;"-W"&amp;TEXT(WEEKNUM($J1541,21),"00"))</f>
        <v/>
      </c>
      <c r="B1541" s="41">
        <f>IF($J1541="","",COUNTIFS(Roster!$D$4:$D$500,"Active",Roster!$C$4:$C$500,"&lt;="&amp;$J1541))</f>
        <v/>
      </c>
      <c r="C1541">
        <f>IF($J1541="","",SUMIFS('Hours Log'!$C:$C,'Hours Log'!$A:$A,"&gt;="&amp;$J1541,'Hours Log'!$A:$A,"&lt;"&amp;$J1541+7)+SUMIFS('Hours Log'!$D:$D,'Hours Log'!$A:$A,"&gt;="&amp;$J1541,'Hours Log'!$A:$A,"&lt;"&amp;$J1541+7))</f>
        <v/>
      </c>
      <c r="D1541">
        <f>IF($J1541="","",SUMIFS('Hours Log'!$D:$D,'Hours Log'!$A:$A,"&gt;="&amp;$J1541,'Hours Log'!$A:$A,"&lt;"&amp;$J1541+7))</f>
        <v/>
      </c>
      <c r="E1541">
        <f>IF($J1541="","",IFERROR(C1541/(B1541*40),0))</f>
        <v/>
      </c>
      <c r="F1541">
        <f>IF($J1541="","",0)</f>
        <v/>
      </c>
      <c r="G1541">
        <f>IF($J1541="","",SUMIFS('Hours Log'!$E:$E,'Hours Log'!$A:$A,"&gt;="&amp;$J1541,'Hours Log'!$A:$A,"&lt;"&amp;$J1541+7))</f>
        <v/>
      </c>
      <c r="J1541">
        <f>IF(COUNT('Hours Log'!$A$4:$A$5000)=0,"",IF(MIN('Hours Log'!$A$4:$A$5000)+7*(ROW()-10)&gt;MAX('Hours Log'!$A$4:$A$5000),"",MIN('Hours Log'!$A$4:$A$5000)+7*(ROW()-10)))</f>
        <v/>
      </c>
    </row>
    <row r="1542">
      <c r="A1542">
        <f>IF($J1542="","",YEAR($J1542-WEEKDAY($J1542,2)+4)&amp;"-W"&amp;TEXT(WEEKNUM($J1542,21),"00"))</f>
        <v/>
      </c>
      <c r="B1542" s="41">
        <f>IF($J1542="","",COUNTIFS(Roster!$D$4:$D$500,"Active",Roster!$C$4:$C$500,"&lt;="&amp;$J1542))</f>
        <v/>
      </c>
      <c r="C1542">
        <f>IF($J1542="","",SUMIFS('Hours Log'!$C:$C,'Hours Log'!$A:$A,"&gt;="&amp;$J1542,'Hours Log'!$A:$A,"&lt;"&amp;$J1542+7)+SUMIFS('Hours Log'!$D:$D,'Hours Log'!$A:$A,"&gt;="&amp;$J1542,'Hours Log'!$A:$A,"&lt;"&amp;$J1542+7))</f>
        <v/>
      </c>
      <c r="D1542">
        <f>IF($J1542="","",SUMIFS('Hours Log'!$D:$D,'Hours Log'!$A:$A,"&gt;="&amp;$J1542,'Hours Log'!$A:$A,"&lt;"&amp;$J1542+7))</f>
        <v/>
      </c>
      <c r="E1542">
        <f>IF($J1542="","",IFERROR(C1542/(B1542*40),0))</f>
        <v/>
      </c>
      <c r="F1542">
        <f>IF($J1542="","",0)</f>
        <v/>
      </c>
      <c r="G1542">
        <f>IF($J1542="","",SUMIFS('Hours Log'!$E:$E,'Hours Log'!$A:$A,"&gt;="&amp;$J1542,'Hours Log'!$A:$A,"&lt;"&amp;$J1542+7))</f>
        <v/>
      </c>
      <c r="J1542">
        <f>IF(COUNT('Hours Log'!$A$4:$A$5000)=0,"",IF(MIN('Hours Log'!$A$4:$A$5000)+7*(ROW()-10)&gt;MAX('Hours Log'!$A$4:$A$5000),"",MIN('Hours Log'!$A$4:$A$5000)+7*(ROW()-10)))</f>
        <v/>
      </c>
    </row>
    <row r="1543">
      <c r="A1543">
        <f>IF($J1543="","",YEAR($J1543-WEEKDAY($J1543,2)+4)&amp;"-W"&amp;TEXT(WEEKNUM($J1543,21),"00"))</f>
        <v/>
      </c>
      <c r="B1543" s="41">
        <f>IF($J1543="","",COUNTIFS(Roster!$D$4:$D$500,"Active",Roster!$C$4:$C$500,"&lt;="&amp;$J1543))</f>
        <v/>
      </c>
      <c r="C1543">
        <f>IF($J1543="","",SUMIFS('Hours Log'!$C:$C,'Hours Log'!$A:$A,"&gt;="&amp;$J1543,'Hours Log'!$A:$A,"&lt;"&amp;$J1543+7)+SUMIFS('Hours Log'!$D:$D,'Hours Log'!$A:$A,"&gt;="&amp;$J1543,'Hours Log'!$A:$A,"&lt;"&amp;$J1543+7))</f>
        <v/>
      </c>
      <c r="D1543">
        <f>IF($J1543="","",SUMIFS('Hours Log'!$D:$D,'Hours Log'!$A:$A,"&gt;="&amp;$J1543,'Hours Log'!$A:$A,"&lt;"&amp;$J1543+7))</f>
        <v/>
      </c>
      <c r="E1543">
        <f>IF($J1543="","",IFERROR(C1543/(B1543*40),0))</f>
        <v/>
      </c>
      <c r="F1543">
        <f>IF($J1543="","",0)</f>
        <v/>
      </c>
      <c r="G1543">
        <f>IF($J1543="","",SUMIFS('Hours Log'!$E:$E,'Hours Log'!$A:$A,"&gt;="&amp;$J1543,'Hours Log'!$A:$A,"&lt;"&amp;$J1543+7))</f>
        <v/>
      </c>
      <c r="J1543">
        <f>IF(COUNT('Hours Log'!$A$4:$A$5000)=0,"",IF(MIN('Hours Log'!$A$4:$A$5000)+7*(ROW()-10)&gt;MAX('Hours Log'!$A$4:$A$5000),"",MIN('Hours Log'!$A$4:$A$5000)+7*(ROW()-10)))</f>
        <v/>
      </c>
    </row>
    <row r="1544">
      <c r="A1544">
        <f>IF($J1544="","",YEAR($J1544-WEEKDAY($J1544,2)+4)&amp;"-W"&amp;TEXT(WEEKNUM($J1544,21),"00"))</f>
        <v/>
      </c>
      <c r="B1544" s="41">
        <f>IF($J1544="","",COUNTIFS(Roster!$D$4:$D$500,"Active",Roster!$C$4:$C$500,"&lt;="&amp;$J1544))</f>
        <v/>
      </c>
      <c r="C1544">
        <f>IF($J1544="","",SUMIFS('Hours Log'!$C:$C,'Hours Log'!$A:$A,"&gt;="&amp;$J1544,'Hours Log'!$A:$A,"&lt;"&amp;$J1544+7)+SUMIFS('Hours Log'!$D:$D,'Hours Log'!$A:$A,"&gt;="&amp;$J1544,'Hours Log'!$A:$A,"&lt;"&amp;$J1544+7))</f>
        <v/>
      </c>
      <c r="D1544">
        <f>IF($J1544="","",SUMIFS('Hours Log'!$D:$D,'Hours Log'!$A:$A,"&gt;="&amp;$J1544,'Hours Log'!$A:$A,"&lt;"&amp;$J1544+7))</f>
        <v/>
      </c>
      <c r="E1544">
        <f>IF($J1544="","",IFERROR(C1544/(B1544*40),0))</f>
        <v/>
      </c>
      <c r="F1544">
        <f>IF($J1544="","",0)</f>
        <v/>
      </c>
      <c r="G1544">
        <f>IF($J1544="","",SUMIFS('Hours Log'!$E:$E,'Hours Log'!$A:$A,"&gt;="&amp;$J1544,'Hours Log'!$A:$A,"&lt;"&amp;$J1544+7))</f>
        <v/>
      </c>
      <c r="J1544">
        <f>IF(COUNT('Hours Log'!$A$4:$A$5000)=0,"",IF(MIN('Hours Log'!$A$4:$A$5000)+7*(ROW()-10)&gt;MAX('Hours Log'!$A$4:$A$5000),"",MIN('Hours Log'!$A$4:$A$5000)+7*(ROW()-10)))</f>
        <v/>
      </c>
    </row>
    <row r="1545">
      <c r="A1545">
        <f>IF($J1545="","",YEAR($J1545-WEEKDAY($J1545,2)+4)&amp;"-W"&amp;TEXT(WEEKNUM($J1545,21),"00"))</f>
        <v/>
      </c>
      <c r="B1545" s="41">
        <f>IF($J1545="","",COUNTIFS(Roster!$D$4:$D$500,"Active",Roster!$C$4:$C$500,"&lt;="&amp;$J1545))</f>
        <v/>
      </c>
      <c r="C1545">
        <f>IF($J1545="","",SUMIFS('Hours Log'!$C:$C,'Hours Log'!$A:$A,"&gt;="&amp;$J1545,'Hours Log'!$A:$A,"&lt;"&amp;$J1545+7)+SUMIFS('Hours Log'!$D:$D,'Hours Log'!$A:$A,"&gt;="&amp;$J1545,'Hours Log'!$A:$A,"&lt;"&amp;$J1545+7))</f>
        <v/>
      </c>
      <c r="D1545">
        <f>IF($J1545="","",SUMIFS('Hours Log'!$D:$D,'Hours Log'!$A:$A,"&gt;="&amp;$J1545,'Hours Log'!$A:$A,"&lt;"&amp;$J1545+7))</f>
        <v/>
      </c>
      <c r="E1545">
        <f>IF($J1545="","",IFERROR(C1545/(B1545*40),0))</f>
        <v/>
      </c>
      <c r="F1545">
        <f>IF($J1545="","",0)</f>
        <v/>
      </c>
      <c r="G1545">
        <f>IF($J1545="","",SUMIFS('Hours Log'!$E:$E,'Hours Log'!$A:$A,"&gt;="&amp;$J1545,'Hours Log'!$A:$A,"&lt;"&amp;$J1545+7))</f>
        <v/>
      </c>
      <c r="J1545">
        <f>IF(COUNT('Hours Log'!$A$4:$A$5000)=0,"",IF(MIN('Hours Log'!$A$4:$A$5000)+7*(ROW()-10)&gt;MAX('Hours Log'!$A$4:$A$5000),"",MIN('Hours Log'!$A$4:$A$5000)+7*(ROW()-10)))</f>
        <v/>
      </c>
    </row>
    <row r="1546">
      <c r="A1546">
        <f>IF($J1546="","",YEAR($J1546-WEEKDAY($J1546,2)+4)&amp;"-W"&amp;TEXT(WEEKNUM($J1546,21),"00"))</f>
        <v/>
      </c>
      <c r="B1546" s="41">
        <f>IF($J1546="","",COUNTIFS(Roster!$D$4:$D$500,"Active",Roster!$C$4:$C$500,"&lt;="&amp;$J1546))</f>
        <v/>
      </c>
      <c r="C1546">
        <f>IF($J1546="","",SUMIFS('Hours Log'!$C:$C,'Hours Log'!$A:$A,"&gt;="&amp;$J1546,'Hours Log'!$A:$A,"&lt;"&amp;$J1546+7)+SUMIFS('Hours Log'!$D:$D,'Hours Log'!$A:$A,"&gt;="&amp;$J1546,'Hours Log'!$A:$A,"&lt;"&amp;$J1546+7))</f>
        <v/>
      </c>
      <c r="D1546">
        <f>IF($J1546="","",SUMIFS('Hours Log'!$D:$D,'Hours Log'!$A:$A,"&gt;="&amp;$J1546,'Hours Log'!$A:$A,"&lt;"&amp;$J1546+7))</f>
        <v/>
      </c>
      <c r="E1546">
        <f>IF($J1546="","",IFERROR(C1546/(B1546*40),0))</f>
        <v/>
      </c>
      <c r="F1546">
        <f>IF($J1546="","",0)</f>
        <v/>
      </c>
      <c r="G1546">
        <f>IF($J1546="","",SUMIFS('Hours Log'!$E:$E,'Hours Log'!$A:$A,"&gt;="&amp;$J1546,'Hours Log'!$A:$A,"&lt;"&amp;$J1546+7))</f>
        <v/>
      </c>
      <c r="J1546">
        <f>IF(COUNT('Hours Log'!$A$4:$A$5000)=0,"",IF(MIN('Hours Log'!$A$4:$A$5000)+7*(ROW()-10)&gt;MAX('Hours Log'!$A$4:$A$5000),"",MIN('Hours Log'!$A$4:$A$5000)+7*(ROW()-10)))</f>
        <v/>
      </c>
    </row>
    <row r="1547">
      <c r="A1547">
        <f>IF($J1547="","",YEAR($J1547-WEEKDAY($J1547,2)+4)&amp;"-W"&amp;TEXT(WEEKNUM($J1547,21),"00"))</f>
        <v/>
      </c>
      <c r="B1547" s="41">
        <f>IF($J1547="","",COUNTIFS(Roster!$D$4:$D$500,"Active",Roster!$C$4:$C$500,"&lt;="&amp;$J1547))</f>
        <v/>
      </c>
      <c r="C1547">
        <f>IF($J1547="","",SUMIFS('Hours Log'!$C:$C,'Hours Log'!$A:$A,"&gt;="&amp;$J1547,'Hours Log'!$A:$A,"&lt;"&amp;$J1547+7)+SUMIFS('Hours Log'!$D:$D,'Hours Log'!$A:$A,"&gt;="&amp;$J1547,'Hours Log'!$A:$A,"&lt;"&amp;$J1547+7))</f>
        <v/>
      </c>
      <c r="D1547">
        <f>IF($J1547="","",SUMIFS('Hours Log'!$D:$D,'Hours Log'!$A:$A,"&gt;="&amp;$J1547,'Hours Log'!$A:$A,"&lt;"&amp;$J1547+7))</f>
        <v/>
      </c>
      <c r="E1547">
        <f>IF($J1547="","",IFERROR(C1547/(B1547*40),0))</f>
        <v/>
      </c>
      <c r="F1547">
        <f>IF($J1547="","",0)</f>
        <v/>
      </c>
      <c r="G1547">
        <f>IF($J1547="","",SUMIFS('Hours Log'!$E:$E,'Hours Log'!$A:$A,"&gt;="&amp;$J1547,'Hours Log'!$A:$A,"&lt;"&amp;$J1547+7))</f>
        <v/>
      </c>
      <c r="J1547">
        <f>IF(COUNT('Hours Log'!$A$4:$A$5000)=0,"",IF(MIN('Hours Log'!$A$4:$A$5000)+7*(ROW()-10)&gt;MAX('Hours Log'!$A$4:$A$5000),"",MIN('Hours Log'!$A$4:$A$5000)+7*(ROW()-10)))</f>
        <v/>
      </c>
    </row>
    <row r="1548">
      <c r="A1548">
        <f>IF($J1548="","",YEAR($J1548-WEEKDAY($J1548,2)+4)&amp;"-W"&amp;TEXT(WEEKNUM($J1548,21),"00"))</f>
        <v/>
      </c>
      <c r="B1548" s="41">
        <f>IF($J1548="","",COUNTIFS(Roster!$D$4:$D$500,"Active",Roster!$C$4:$C$500,"&lt;="&amp;$J1548))</f>
        <v/>
      </c>
      <c r="C1548">
        <f>IF($J1548="","",SUMIFS('Hours Log'!$C:$C,'Hours Log'!$A:$A,"&gt;="&amp;$J1548,'Hours Log'!$A:$A,"&lt;"&amp;$J1548+7)+SUMIFS('Hours Log'!$D:$D,'Hours Log'!$A:$A,"&gt;="&amp;$J1548,'Hours Log'!$A:$A,"&lt;"&amp;$J1548+7))</f>
        <v/>
      </c>
      <c r="D1548">
        <f>IF($J1548="","",SUMIFS('Hours Log'!$D:$D,'Hours Log'!$A:$A,"&gt;="&amp;$J1548,'Hours Log'!$A:$A,"&lt;"&amp;$J1548+7))</f>
        <v/>
      </c>
      <c r="E1548">
        <f>IF($J1548="","",IFERROR(C1548/(B1548*40),0))</f>
        <v/>
      </c>
      <c r="F1548">
        <f>IF($J1548="","",0)</f>
        <v/>
      </c>
      <c r="G1548">
        <f>IF($J1548="","",SUMIFS('Hours Log'!$E:$E,'Hours Log'!$A:$A,"&gt;="&amp;$J1548,'Hours Log'!$A:$A,"&lt;"&amp;$J1548+7))</f>
        <v/>
      </c>
      <c r="J1548">
        <f>IF(COUNT('Hours Log'!$A$4:$A$5000)=0,"",IF(MIN('Hours Log'!$A$4:$A$5000)+7*(ROW()-10)&gt;MAX('Hours Log'!$A$4:$A$5000),"",MIN('Hours Log'!$A$4:$A$5000)+7*(ROW()-10)))</f>
        <v/>
      </c>
    </row>
    <row r="1549">
      <c r="A1549">
        <f>IF($J1549="","",YEAR($J1549-WEEKDAY($J1549,2)+4)&amp;"-W"&amp;TEXT(WEEKNUM($J1549,21),"00"))</f>
        <v/>
      </c>
      <c r="B1549" s="41">
        <f>IF($J1549="","",COUNTIFS(Roster!$D$4:$D$500,"Active",Roster!$C$4:$C$500,"&lt;="&amp;$J1549))</f>
        <v/>
      </c>
      <c r="C1549">
        <f>IF($J1549="","",SUMIFS('Hours Log'!$C:$C,'Hours Log'!$A:$A,"&gt;="&amp;$J1549,'Hours Log'!$A:$A,"&lt;"&amp;$J1549+7)+SUMIFS('Hours Log'!$D:$D,'Hours Log'!$A:$A,"&gt;="&amp;$J1549,'Hours Log'!$A:$A,"&lt;"&amp;$J1549+7))</f>
        <v/>
      </c>
      <c r="D1549">
        <f>IF($J1549="","",SUMIFS('Hours Log'!$D:$D,'Hours Log'!$A:$A,"&gt;="&amp;$J1549,'Hours Log'!$A:$A,"&lt;"&amp;$J1549+7))</f>
        <v/>
      </c>
      <c r="E1549">
        <f>IF($J1549="","",IFERROR(C1549/(B1549*40),0))</f>
        <v/>
      </c>
      <c r="F1549">
        <f>IF($J1549="","",0)</f>
        <v/>
      </c>
      <c r="G1549">
        <f>IF($J1549="","",SUMIFS('Hours Log'!$E:$E,'Hours Log'!$A:$A,"&gt;="&amp;$J1549,'Hours Log'!$A:$A,"&lt;"&amp;$J1549+7))</f>
        <v/>
      </c>
      <c r="J1549">
        <f>IF(COUNT('Hours Log'!$A$4:$A$5000)=0,"",IF(MIN('Hours Log'!$A$4:$A$5000)+7*(ROW()-10)&gt;MAX('Hours Log'!$A$4:$A$5000),"",MIN('Hours Log'!$A$4:$A$5000)+7*(ROW()-10)))</f>
        <v/>
      </c>
    </row>
    <row r="1550">
      <c r="A1550">
        <f>IF($J1550="","",YEAR($J1550-WEEKDAY($J1550,2)+4)&amp;"-W"&amp;TEXT(WEEKNUM($J1550,21),"00"))</f>
        <v/>
      </c>
      <c r="B1550" s="41">
        <f>IF($J1550="","",COUNTIFS(Roster!$D$4:$D$500,"Active",Roster!$C$4:$C$500,"&lt;="&amp;$J1550))</f>
        <v/>
      </c>
      <c r="C1550">
        <f>IF($J1550="","",SUMIFS('Hours Log'!$C:$C,'Hours Log'!$A:$A,"&gt;="&amp;$J1550,'Hours Log'!$A:$A,"&lt;"&amp;$J1550+7)+SUMIFS('Hours Log'!$D:$D,'Hours Log'!$A:$A,"&gt;="&amp;$J1550,'Hours Log'!$A:$A,"&lt;"&amp;$J1550+7))</f>
        <v/>
      </c>
      <c r="D1550">
        <f>IF($J1550="","",SUMIFS('Hours Log'!$D:$D,'Hours Log'!$A:$A,"&gt;="&amp;$J1550,'Hours Log'!$A:$A,"&lt;"&amp;$J1550+7))</f>
        <v/>
      </c>
      <c r="E1550">
        <f>IF($J1550="","",IFERROR(C1550/(B1550*40),0))</f>
        <v/>
      </c>
      <c r="F1550">
        <f>IF($J1550="","",0)</f>
        <v/>
      </c>
      <c r="G1550">
        <f>IF($J1550="","",SUMIFS('Hours Log'!$E:$E,'Hours Log'!$A:$A,"&gt;="&amp;$J1550,'Hours Log'!$A:$A,"&lt;"&amp;$J1550+7))</f>
        <v/>
      </c>
      <c r="J1550">
        <f>IF(COUNT('Hours Log'!$A$4:$A$5000)=0,"",IF(MIN('Hours Log'!$A$4:$A$5000)+7*(ROW()-10)&gt;MAX('Hours Log'!$A$4:$A$5000),"",MIN('Hours Log'!$A$4:$A$5000)+7*(ROW()-10)))</f>
        <v/>
      </c>
    </row>
    <row r="1551">
      <c r="A1551">
        <f>IF($J1551="","",YEAR($J1551-WEEKDAY($J1551,2)+4)&amp;"-W"&amp;TEXT(WEEKNUM($J1551,21),"00"))</f>
        <v/>
      </c>
      <c r="B1551" s="41">
        <f>IF($J1551="","",COUNTIFS(Roster!$D$4:$D$500,"Active",Roster!$C$4:$C$500,"&lt;="&amp;$J1551))</f>
        <v/>
      </c>
      <c r="C1551">
        <f>IF($J1551="","",SUMIFS('Hours Log'!$C:$C,'Hours Log'!$A:$A,"&gt;="&amp;$J1551,'Hours Log'!$A:$A,"&lt;"&amp;$J1551+7)+SUMIFS('Hours Log'!$D:$D,'Hours Log'!$A:$A,"&gt;="&amp;$J1551,'Hours Log'!$A:$A,"&lt;"&amp;$J1551+7))</f>
        <v/>
      </c>
      <c r="D1551">
        <f>IF($J1551="","",SUMIFS('Hours Log'!$D:$D,'Hours Log'!$A:$A,"&gt;="&amp;$J1551,'Hours Log'!$A:$A,"&lt;"&amp;$J1551+7))</f>
        <v/>
      </c>
      <c r="E1551">
        <f>IF($J1551="","",IFERROR(C1551/(B1551*40),0))</f>
        <v/>
      </c>
      <c r="F1551">
        <f>IF($J1551="","",0)</f>
        <v/>
      </c>
      <c r="G1551">
        <f>IF($J1551="","",SUMIFS('Hours Log'!$E:$E,'Hours Log'!$A:$A,"&gt;="&amp;$J1551,'Hours Log'!$A:$A,"&lt;"&amp;$J1551+7))</f>
        <v/>
      </c>
      <c r="J1551">
        <f>IF(COUNT('Hours Log'!$A$4:$A$5000)=0,"",IF(MIN('Hours Log'!$A$4:$A$5000)+7*(ROW()-10)&gt;MAX('Hours Log'!$A$4:$A$5000),"",MIN('Hours Log'!$A$4:$A$5000)+7*(ROW()-10)))</f>
        <v/>
      </c>
    </row>
    <row r="1552">
      <c r="A1552">
        <f>IF($J1552="","",YEAR($J1552-WEEKDAY($J1552,2)+4)&amp;"-W"&amp;TEXT(WEEKNUM($J1552,21),"00"))</f>
        <v/>
      </c>
      <c r="B1552" s="41">
        <f>IF($J1552="","",COUNTIFS(Roster!$D$4:$D$500,"Active",Roster!$C$4:$C$500,"&lt;="&amp;$J1552))</f>
        <v/>
      </c>
      <c r="C1552">
        <f>IF($J1552="","",SUMIFS('Hours Log'!$C:$C,'Hours Log'!$A:$A,"&gt;="&amp;$J1552,'Hours Log'!$A:$A,"&lt;"&amp;$J1552+7)+SUMIFS('Hours Log'!$D:$D,'Hours Log'!$A:$A,"&gt;="&amp;$J1552,'Hours Log'!$A:$A,"&lt;"&amp;$J1552+7))</f>
        <v/>
      </c>
      <c r="D1552">
        <f>IF($J1552="","",SUMIFS('Hours Log'!$D:$D,'Hours Log'!$A:$A,"&gt;="&amp;$J1552,'Hours Log'!$A:$A,"&lt;"&amp;$J1552+7))</f>
        <v/>
      </c>
      <c r="E1552">
        <f>IF($J1552="","",IFERROR(C1552/(B1552*40),0))</f>
        <v/>
      </c>
      <c r="F1552">
        <f>IF($J1552="","",0)</f>
        <v/>
      </c>
      <c r="G1552">
        <f>IF($J1552="","",SUMIFS('Hours Log'!$E:$E,'Hours Log'!$A:$A,"&gt;="&amp;$J1552,'Hours Log'!$A:$A,"&lt;"&amp;$J1552+7))</f>
        <v/>
      </c>
      <c r="J1552">
        <f>IF(COUNT('Hours Log'!$A$4:$A$5000)=0,"",IF(MIN('Hours Log'!$A$4:$A$5000)+7*(ROW()-10)&gt;MAX('Hours Log'!$A$4:$A$5000),"",MIN('Hours Log'!$A$4:$A$5000)+7*(ROW()-10)))</f>
        <v/>
      </c>
    </row>
    <row r="1553">
      <c r="A1553">
        <f>IF($J1553="","",YEAR($J1553-WEEKDAY($J1553,2)+4)&amp;"-W"&amp;TEXT(WEEKNUM($J1553,21),"00"))</f>
        <v/>
      </c>
      <c r="B1553" s="41">
        <f>IF($J1553="","",COUNTIFS(Roster!$D$4:$D$500,"Active",Roster!$C$4:$C$500,"&lt;="&amp;$J1553))</f>
        <v/>
      </c>
      <c r="C1553">
        <f>IF($J1553="","",SUMIFS('Hours Log'!$C:$C,'Hours Log'!$A:$A,"&gt;="&amp;$J1553,'Hours Log'!$A:$A,"&lt;"&amp;$J1553+7)+SUMIFS('Hours Log'!$D:$D,'Hours Log'!$A:$A,"&gt;="&amp;$J1553,'Hours Log'!$A:$A,"&lt;"&amp;$J1553+7))</f>
        <v/>
      </c>
      <c r="D1553">
        <f>IF($J1553="","",SUMIFS('Hours Log'!$D:$D,'Hours Log'!$A:$A,"&gt;="&amp;$J1553,'Hours Log'!$A:$A,"&lt;"&amp;$J1553+7))</f>
        <v/>
      </c>
      <c r="E1553">
        <f>IF($J1553="","",IFERROR(C1553/(B1553*40),0))</f>
        <v/>
      </c>
      <c r="F1553">
        <f>IF($J1553="","",0)</f>
        <v/>
      </c>
      <c r="G1553">
        <f>IF($J1553="","",SUMIFS('Hours Log'!$E:$E,'Hours Log'!$A:$A,"&gt;="&amp;$J1553,'Hours Log'!$A:$A,"&lt;"&amp;$J1553+7))</f>
        <v/>
      </c>
      <c r="J1553">
        <f>IF(COUNT('Hours Log'!$A$4:$A$5000)=0,"",IF(MIN('Hours Log'!$A$4:$A$5000)+7*(ROW()-10)&gt;MAX('Hours Log'!$A$4:$A$5000),"",MIN('Hours Log'!$A$4:$A$5000)+7*(ROW()-10)))</f>
        <v/>
      </c>
    </row>
    <row r="1554">
      <c r="A1554">
        <f>IF($J1554="","",YEAR($J1554-WEEKDAY($J1554,2)+4)&amp;"-W"&amp;TEXT(WEEKNUM($J1554,21),"00"))</f>
        <v/>
      </c>
      <c r="B1554" s="41">
        <f>IF($J1554="","",COUNTIFS(Roster!$D$4:$D$500,"Active",Roster!$C$4:$C$500,"&lt;="&amp;$J1554))</f>
        <v/>
      </c>
      <c r="C1554">
        <f>IF($J1554="","",SUMIFS('Hours Log'!$C:$C,'Hours Log'!$A:$A,"&gt;="&amp;$J1554,'Hours Log'!$A:$A,"&lt;"&amp;$J1554+7)+SUMIFS('Hours Log'!$D:$D,'Hours Log'!$A:$A,"&gt;="&amp;$J1554,'Hours Log'!$A:$A,"&lt;"&amp;$J1554+7))</f>
        <v/>
      </c>
      <c r="D1554">
        <f>IF($J1554="","",SUMIFS('Hours Log'!$D:$D,'Hours Log'!$A:$A,"&gt;="&amp;$J1554,'Hours Log'!$A:$A,"&lt;"&amp;$J1554+7))</f>
        <v/>
      </c>
      <c r="E1554">
        <f>IF($J1554="","",IFERROR(C1554/(B1554*40),0))</f>
        <v/>
      </c>
      <c r="F1554">
        <f>IF($J1554="","",0)</f>
        <v/>
      </c>
      <c r="G1554">
        <f>IF($J1554="","",SUMIFS('Hours Log'!$E:$E,'Hours Log'!$A:$A,"&gt;="&amp;$J1554,'Hours Log'!$A:$A,"&lt;"&amp;$J1554+7))</f>
        <v/>
      </c>
      <c r="J1554">
        <f>IF(COUNT('Hours Log'!$A$4:$A$5000)=0,"",IF(MIN('Hours Log'!$A$4:$A$5000)+7*(ROW()-10)&gt;MAX('Hours Log'!$A$4:$A$5000),"",MIN('Hours Log'!$A$4:$A$5000)+7*(ROW()-10)))</f>
        <v/>
      </c>
    </row>
    <row r="1555">
      <c r="A1555">
        <f>IF($J1555="","",YEAR($J1555-WEEKDAY($J1555,2)+4)&amp;"-W"&amp;TEXT(WEEKNUM($J1555,21),"00"))</f>
        <v/>
      </c>
      <c r="B1555" s="41">
        <f>IF($J1555="","",COUNTIFS(Roster!$D$4:$D$500,"Active",Roster!$C$4:$C$500,"&lt;="&amp;$J1555))</f>
        <v/>
      </c>
      <c r="C1555">
        <f>IF($J1555="","",SUMIFS('Hours Log'!$C:$C,'Hours Log'!$A:$A,"&gt;="&amp;$J1555,'Hours Log'!$A:$A,"&lt;"&amp;$J1555+7)+SUMIFS('Hours Log'!$D:$D,'Hours Log'!$A:$A,"&gt;="&amp;$J1555,'Hours Log'!$A:$A,"&lt;"&amp;$J1555+7))</f>
        <v/>
      </c>
      <c r="D1555">
        <f>IF($J1555="","",SUMIFS('Hours Log'!$D:$D,'Hours Log'!$A:$A,"&gt;="&amp;$J1555,'Hours Log'!$A:$A,"&lt;"&amp;$J1555+7))</f>
        <v/>
      </c>
      <c r="E1555">
        <f>IF($J1555="","",IFERROR(C1555/(B1555*40),0))</f>
        <v/>
      </c>
      <c r="F1555">
        <f>IF($J1555="","",0)</f>
        <v/>
      </c>
      <c r="G1555">
        <f>IF($J1555="","",SUMIFS('Hours Log'!$E:$E,'Hours Log'!$A:$A,"&gt;="&amp;$J1555,'Hours Log'!$A:$A,"&lt;"&amp;$J1555+7))</f>
        <v/>
      </c>
      <c r="J1555">
        <f>IF(COUNT('Hours Log'!$A$4:$A$5000)=0,"",IF(MIN('Hours Log'!$A$4:$A$5000)+7*(ROW()-10)&gt;MAX('Hours Log'!$A$4:$A$5000),"",MIN('Hours Log'!$A$4:$A$5000)+7*(ROW()-10)))</f>
        <v/>
      </c>
    </row>
    <row r="1556">
      <c r="A1556">
        <f>IF($J1556="","",YEAR($J1556-WEEKDAY($J1556,2)+4)&amp;"-W"&amp;TEXT(WEEKNUM($J1556,21),"00"))</f>
        <v/>
      </c>
      <c r="B1556" s="41">
        <f>IF($J1556="","",COUNTIFS(Roster!$D$4:$D$500,"Active",Roster!$C$4:$C$500,"&lt;="&amp;$J1556))</f>
        <v/>
      </c>
      <c r="C1556">
        <f>IF($J1556="","",SUMIFS('Hours Log'!$C:$C,'Hours Log'!$A:$A,"&gt;="&amp;$J1556,'Hours Log'!$A:$A,"&lt;"&amp;$J1556+7)+SUMIFS('Hours Log'!$D:$D,'Hours Log'!$A:$A,"&gt;="&amp;$J1556,'Hours Log'!$A:$A,"&lt;"&amp;$J1556+7))</f>
        <v/>
      </c>
      <c r="D1556">
        <f>IF($J1556="","",SUMIFS('Hours Log'!$D:$D,'Hours Log'!$A:$A,"&gt;="&amp;$J1556,'Hours Log'!$A:$A,"&lt;"&amp;$J1556+7))</f>
        <v/>
      </c>
      <c r="E1556">
        <f>IF($J1556="","",IFERROR(C1556/(B1556*40),0))</f>
        <v/>
      </c>
      <c r="F1556">
        <f>IF($J1556="","",0)</f>
        <v/>
      </c>
      <c r="G1556">
        <f>IF($J1556="","",SUMIFS('Hours Log'!$E:$E,'Hours Log'!$A:$A,"&gt;="&amp;$J1556,'Hours Log'!$A:$A,"&lt;"&amp;$J1556+7))</f>
        <v/>
      </c>
      <c r="J1556">
        <f>IF(COUNT('Hours Log'!$A$4:$A$5000)=0,"",IF(MIN('Hours Log'!$A$4:$A$5000)+7*(ROW()-10)&gt;MAX('Hours Log'!$A$4:$A$5000),"",MIN('Hours Log'!$A$4:$A$5000)+7*(ROW()-10)))</f>
        <v/>
      </c>
    </row>
    <row r="1557">
      <c r="A1557">
        <f>IF($J1557="","",YEAR($J1557-WEEKDAY($J1557,2)+4)&amp;"-W"&amp;TEXT(WEEKNUM($J1557,21),"00"))</f>
        <v/>
      </c>
      <c r="B1557" s="41">
        <f>IF($J1557="","",COUNTIFS(Roster!$D$4:$D$500,"Active",Roster!$C$4:$C$500,"&lt;="&amp;$J1557))</f>
        <v/>
      </c>
      <c r="C1557">
        <f>IF($J1557="","",SUMIFS('Hours Log'!$C:$C,'Hours Log'!$A:$A,"&gt;="&amp;$J1557,'Hours Log'!$A:$A,"&lt;"&amp;$J1557+7)+SUMIFS('Hours Log'!$D:$D,'Hours Log'!$A:$A,"&gt;="&amp;$J1557,'Hours Log'!$A:$A,"&lt;"&amp;$J1557+7))</f>
        <v/>
      </c>
      <c r="D1557">
        <f>IF($J1557="","",SUMIFS('Hours Log'!$D:$D,'Hours Log'!$A:$A,"&gt;="&amp;$J1557,'Hours Log'!$A:$A,"&lt;"&amp;$J1557+7))</f>
        <v/>
      </c>
      <c r="E1557">
        <f>IF($J1557="","",IFERROR(C1557/(B1557*40),0))</f>
        <v/>
      </c>
      <c r="F1557">
        <f>IF($J1557="","",0)</f>
        <v/>
      </c>
      <c r="G1557">
        <f>IF($J1557="","",SUMIFS('Hours Log'!$E:$E,'Hours Log'!$A:$A,"&gt;="&amp;$J1557,'Hours Log'!$A:$A,"&lt;"&amp;$J1557+7))</f>
        <v/>
      </c>
      <c r="J1557">
        <f>IF(COUNT('Hours Log'!$A$4:$A$5000)=0,"",IF(MIN('Hours Log'!$A$4:$A$5000)+7*(ROW()-10)&gt;MAX('Hours Log'!$A$4:$A$5000),"",MIN('Hours Log'!$A$4:$A$5000)+7*(ROW()-10)))</f>
        <v/>
      </c>
    </row>
    <row r="1558">
      <c r="A1558">
        <f>IF($J1558="","",YEAR($J1558-WEEKDAY($J1558,2)+4)&amp;"-W"&amp;TEXT(WEEKNUM($J1558,21),"00"))</f>
        <v/>
      </c>
      <c r="B1558" s="41">
        <f>IF($J1558="","",COUNTIFS(Roster!$D$4:$D$500,"Active",Roster!$C$4:$C$500,"&lt;="&amp;$J1558))</f>
        <v/>
      </c>
      <c r="C1558">
        <f>IF($J1558="","",SUMIFS('Hours Log'!$C:$C,'Hours Log'!$A:$A,"&gt;="&amp;$J1558,'Hours Log'!$A:$A,"&lt;"&amp;$J1558+7)+SUMIFS('Hours Log'!$D:$D,'Hours Log'!$A:$A,"&gt;="&amp;$J1558,'Hours Log'!$A:$A,"&lt;"&amp;$J1558+7))</f>
        <v/>
      </c>
      <c r="D1558">
        <f>IF($J1558="","",SUMIFS('Hours Log'!$D:$D,'Hours Log'!$A:$A,"&gt;="&amp;$J1558,'Hours Log'!$A:$A,"&lt;"&amp;$J1558+7))</f>
        <v/>
      </c>
      <c r="E1558">
        <f>IF($J1558="","",IFERROR(C1558/(B1558*40),0))</f>
        <v/>
      </c>
      <c r="F1558">
        <f>IF($J1558="","",0)</f>
        <v/>
      </c>
      <c r="G1558">
        <f>IF($J1558="","",SUMIFS('Hours Log'!$E:$E,'Hours Log'!$A:$A,"&gt;="&amp;$J1558,'Hours Log'!$A:$A,"&lt;"&amp;$J1558+7))</f>
        <v/>
      </c>
      <c r="J1558">
        <f>IF(COUNT('Hours Log'!$A$4:$A$5000)=0,"",IF(MIN('Hours Log'!$A$4:$A$5000)+7*(ROW()-10)&gt;MAX('Hours Log'!$A$4:$A$5000),"",MIN('Hours Log'!$A$4:$A$5000)+7*(ROW()-10)))</f>
        <v/>
      </c>
    </row>
    <row r="1559">
      <c r="A1559">
        <f>IF($J1559="","",YEAR($J1559-WEEKDAY($J1559,2)+4)&amp;"-W"&amp;TEXT(WEEKNUM($J1559,21),"00"))</f>
        <v/>
      </c>
      <c r="B1559" s="41">
        <f>IF($J1559="","",COUNTIFS(Roster!$D$4:$D$500,"Active",Roster!$C$4:$C$500,"&lt;="&amp;$J1559))</f>
        <v/>
      </c>
      <c r="C1559">
        <f>IF($J1559="","",SUMIFS('Hours Log'!$C:$C,'Hours Log'!$A:$A,"&gt;="&amp;$J1559,'Hours Log'!$A:$A,"&lt;"&amp;$J1559+7)+SUMIFS('Hours Log'!$D:$D,'Hours Log'!$A:$A,"&gt;="&amp;$J1559,'Hours Log'!$A:$A,"&lt;"&amp;$J1559+7))</f>
        <v/>
      </c>
      <c r="D1559">
        <f>IF($J1559="","",SUMIFS('Hours Log'!$D:$D,'Hours Log'!$A:$A,"&gt;="&amp;$J1559,'Hours Log'!$A:$A,"&lt;"&amp;$J1559+7))</f>
        <v/>
      </c>
      <c r="E1559">
        <f>IF($J1559="","",IFERROR(C1559/(B1559*40),0))</f>
        <v/>
      </c>
      <c r="F1559">
        <f>IF($J1559="","",0)</f>
        <v/>
      </c>
      <c r="G1559">
        <f>IF($J1559="","",SUMIFS('Hours Log'!$E:$E,'Hours Log'!$A:$A,"&gt;="&amp;$J1559,'Hours Log'!$A:$A,"&lt;"&amp;$J1559+7))</f>
        <v/>
      </c>
      <c r="J1559">
        <f>IF(COUNT('Hours Log'!$A$4:$A$5000)=0,"",IF(MIN('Hours Log'!$A$4:$A$5000)+7*(ROW()-10)&gt;MAX('Hours Log'!$A$4:$A$5000),"",MIN('Hours Log'!$A$4:$A$5000)+7*(ROW()-10)))</f>
        <v/>
      </c>
    </row>
    <row r="1560">
      <c r="A1560">
        <f>IF($J1560="","",YEAR($J1560-WEEKDAY($J1560,2)+4)&amp;"-W"&amp;TEXT(WEEKNUM($J1560,21),"00"))</f>
        <v/>
      </c>
      <c r="B1560" s="41">
        <f>IF($J1560="","",COUNTIFS(Roster!$D$4:$D$500,"Active",Roster!$C$4:$C$500,"&lt;="&amp;$J1560))</f>
        <v/>
      </c>
      <c r="C1560">
        <f>IF($J1560="","",SUMIFS('Hours Log'!$C:$C,'Hours Log'!$A:$A,"&gt;="&amp;$J1560,'Hours Log'!$A:$A,"&lt;"&amp;$J1560+7)+SUMIFS('Hours Log'!$D:$D,'Hours Log'!$A:$A,"&gt;="&amp;$J1560,'Hours Log'!$A:$A,"&lt;"&amp;$J1560+7))</f>
        <v/>
      </c>
      <c r="D1560">
        <f>IF($J1560="","",SUMIFS('Hours Log'!$D:$D,'Hours Log'!$A:$A,"&gt;="&amp;$J1560,'Hours Log'!$A:$A,"&lt;"&amp;$J1560+7))</f>
        <v/>
      </c>
      <c r="E1560">
        <f>IF($J1560="","",IFERROR(C1560/(B1560*40),0))</f>
        <v/>
      </c>
      <c r="F1560">
        <f>IF($J1560="","",0)</f>
        <v/>
      </c>
      <c r="G1560">
        <f>IF($J1560="","",SUMIFS('Hours Log'!$E:$E,'Hours Log'!$A:$A,"&gt;="&amp;$J1560,'Hours Log'!$A:$A,"&lt;"&amp;$J1560+7))</f>
        <v/>
      </c>
      <c r="J1560">
        <f>IF(COUNT('Hours Log'!$A$4:$A$5000)=0,"",IF(MIN('Hours Log'!$A$4:$A$5000)+7*(ROW()-10)&gt;MAX('Hours Log'!$A$4:$A$5000),"",MIN('Hours Log'!$A$4:$A$5000)+7*(ROW()-10)))</f>
        <v/>
      </c>
    </row>
    <row r="1561">
      <c r="A1561">
        <f>IF($J1561="","",YEAR($J1561-WEEKDAY($J1561,2)+4)&amp;"-W"&amp;TEXT(WEEKNUM($J1561,21),"00"))</f>
        <v/>
      </c>
      <c r="B1561" s="41">
        <f>IF($J1561="","",COUNTIFS(Roster!$D$4:$D$500,"Active",Roster!$C$4:$C$500,"&lt;="&amp;$J1561))</f>
        <v/>
      </c>
      <c r="C1561">
        <f>IF($J1561="","",SUMIFS('Hours Log'!$C:$C,'Hours Log'!$A:$A,"&gt;="&amp;$J1561,'Hours Log'!$A:$A,"&lt;"&amp;$J1561+7)+SUMIFS('Hours Log'!$D:$D,'Hours Log'!$A:$A,"&gt;="&amp;$J1561,'Hours Log'!$A:$A,"&lt;"&amp;$J1561+7))</f>
        <v/>
      </c>
      <c r="D1561">
        <f>IF($J1561="","",SUMIFS('Hours Log'!$D:$D,'Hours Log'!$A:$A,"&gt;="&amp;$J1561,'Hours Log'!$A:$A,"&lt;"&amp;$J1561+7))</f>
        <v/>
      </c>
      <c r="E1561">
        <f>IF($J1561="","",IFERROR(C1561/(B1561*40),0))</f>
        <v/>
      </c>
      <c r="F1561">
        <f>IF($J1561="","",0)</f>
        <v/>
      </c>
      <c r="G1561">
        <f>IF($J1561="","",SUMIFS('Hours Log'!$E:$E,'Hours Log'!$A:$A,"&gt;="&amp;$J1561,'Hours Log'!$A:$A,"&lt;"&amp;$J1561+7))</f>
        <v/>
      </c>
      <c r="J1561">
        <f>IF(COUNT('Hours Log'!$A$4:$A$5000)=0,"",IF(MIN('Hours Log'!$A$4:$A$5000)+7*(ROW()-10)&gt;MAX('Hours Log'!$A$4:$A$5000),"",MIN('Hours Log'!$A$4:$A$5000)+7*(ROW()-10)))</f>
        <v/>
      </c>
    </row>
    <row r="1562">
      <c r="A1562">
        <f>IF($J1562="","",YEAR($J1562-WEEKDAY($J1562,2)+4)&amp;"-W"&amp;TEXT(WEEKNUM($J1562,21),"00"))</f>
        <v/>
      </c>
      <c r="B1562" s="41">
        <f>IF($J1562="","",COUNTIFS(Roster!$D$4:$D$500,"Active",Roster!$C$4:$C$500,"&lt;="&amp;$J1562))</f>
        <v/>
      </c>
      <c r="C1562">
        <f>IF($J1562="","",SUMIFS('Hours Log'!$C:$C,'Hours Log'!$A:$A,"&gt;="&amp;$J1562,'Hours Log'!$A:$A,"&lt;"&amp;$J1562+7)+SUMIFS('Hours Log'!$D:$D,'Hours Log'!$A:$A,"&gt;="&amp;$J1562,'Hours Log'!$A:$A,"&lt;"&amp;$J1562+7))</f>
        <v/>
      </c>
      <c r="D1562">
        <f>IF($J1562="","",SUMIFS('Hours Log'!$D:$D,'Hours Log'!$A:$A,"&gt;="&amp;$J1562,'Hours Log'!$A:$A,"&lt;"&amp;$J1562+7))</f>
        <v/>
      </c>
      <c r="E1562">
        <f>IF($J1562="","",IFERROR(C1562/(B1562*40),0))</f>
        <v/>
      </c>
      <c r="F1562">
        <f>IF($J1562="","",0)</f>
        <v/>
      </c>
      <c r="G1562">
        <f>IF($J1562="","",SUMIFS('Hours Log'!$E:$E,'Hours Log'!$A:$A,"&gt;="&amp;$J1562,'Hours Log'!$A:$A,"&lt;"&amp;$J1562+7))</f>
        <v/>
      </c>
      <c r="J1562">
        <f>IF(COUNT('Hours Log'!$A$4:$A$5000)=0,"",IF(MIN('Hours Log'!$A$4:$A$5000)+7*(ROW()-10)&gt;MAX('Hours Log'!$A$4:$A$5000),"",MIN('Hours Log'!$A$4:$A$5000)+7*(ROW()-10)))</f>
        <v/>
      </c>
    </row>
    <row r="1563">
      <c r="A1563">
        <f>IF($J1563="","",YEAR($J1563-WEEKDAY($J1563,2)+4)&amp;"-W"&amp;TEXT(WEEKNUM($J1563,21),"00"))</f>
        <v/>
      </c>
      <c r="B1563" s="41">
        <f>IF($J1563="","",COUNTIFS(Roster!$D$4:$D$500,"Active",Roster!$C$4:$C$500,"&lt;="&amp;$J1563))</f>
        <v/>
      </c>
      <c r="C1563">
        <f>IF($J1563="","",SUMIFS('Hours Log'!$C:$C,'Hours Log'!$A:$A,"&gt;="&amp;$J1563,'Hours Log'!$A:$A,"&lt;"&amp;$J1563+7)+SUMIFS('Hours Log'!$D:$D,'Hours Log'!$A:$A,"&gt;="&amp;$J1563,'Hours Log'!$A:$A,"&lt;"&amp;$J1563+7))</f>
        <v/>
      </c>
      <c r="D1563">
        <f>IF($J1563="","",SUMIFS('Hours Log'!$D:$D,'Hours Log'!$A:$A,"&gt;="&amp;$J1563,'Hours Log'!$A:$A,"&lt;"&amp;$J1563+7))</f>
        <v/>
      </c>
      <c r="E1563">
        <f>IF($J1563="","",IFERROR(C1563/(B1563*40),0))</f>
        <v/>
      </c>
      <c r="F1563">
        <f>IF($J1563="","",0)</f>
        <v/>
      </c>
      <c r="G1563">
        <f>IF($J1563="","",SUMIFS('Hours Log'!$E:$E,'Hours Log'!$A:$A,"&gt;="&amp;$J1563,'Hours Log'!$A:$A,"&lt;"&amp;$J1563+7))</f>
        <v/>
      </c>
      <c r="J1563">
        <f>IF(COUNT('Hours Log'!$A$4:$A$5000)=0,"",IF(MIN('Hours Log'!$A$4:$A$5000)+7*(ROW()-10)&gt;MAX('Hours Log'!$A$4:$A$5000),"",MIN('Hours Log'!$A$4:$A$5000)+7*(ROW()-10)))</f>
        <v/>
      </c>
    </row>
    <row r="1564">
      <c r="A1564">
        <f>IF($J1564="","",YEAR($J1564-WEEKDAY($J1564,2)+4)&amp;"-W"&amp;TEXT(WEEKNUM($J1564,21),"00"))</f>
        <v/>
      </c>
      <c r="B1564" s="41">
        <f>IF($J1564="","",COUNTIFS(Roster!$D$4:$D$500,"Active",Roster!$C$4:$C$500,"&lt;="&amp;$J1564))</f>
        <v/>
      </c>
      <c r="C1564">
        <f>IF($J1564="","",SUMIFS('Hours Log'!$C:$C,'Hours Log'!$A:$A,"&gt;="&amp;$J1564,'Hours Log'!$A:$A,"&lt;"&amp;$J1564+7)+SUMIFS('Hours Log'!$D:$D,'Hours Log'!$A:$A,"&gt;="&amp;$J1564,'Hours Log'!$A:$A,"&lt;"&amp;$J1564+7))</f>
        <v/>
      </c>
      <c r="D1564">
        <f>IF($J1564="","",SUMIFS('Hours Log'!$D:$D,'Hours Log'!$A:$A,"&gt;="&amp;$J1564,'Hours Log'!$A:$A,"&lt;"&amp;$J1564+7))</f>
        <v/>
      </c>
      <c r="E1564">
        <f>IF($J1564="","",IFERROR(C1564/(B1564*40),0))</f>
        <v/>
      </c>
      <c r="F1564">
        <f>IF($J1564="","",0)</f>
        <v/>
      </c>
      <c r="G1564">
        <f>IF($J1564="","",SUMIFS('Hours Log'!$E:$E,'Hours Log'!$A:$A,"&gt;="&amp;$J1564,'Hours Log'!$A:$A,"&lt;"&amp;$J1564+7))</f>
        <v/>
      </c>
      <c r="J1564">
        <f>IF(COUNT('Hours Log'!$A$4:$A$5000)=0,"",IF(MIN('Hours Log'!$A$4:$A$5000)+7*(ROW()-10)&gt;MAX('Hours Log'!$A$4:$A$5000),"",MIN('Hours Log'!$A$4:$A$5000)+7*(ROW()-10)))</f>
        <v/>
      </c>
    </row>
    <row r="1565">
      <c r="A1565">
        <f>IF($J1565="","",YEAR($J1565-WEEKDAY($J1565,2)+4)&amp;"-W"&amp;TEXT(WEEKNUM($J1565,21),"00"))</f>
        <v/>
      </c>
      <c r="B1565" s="41">
        <f>IF($J1565="","",COUNTIFS(Roster!$D$4:$D$500,"Active",Roster!$C$4:$C$500,"&lt;="&amp;$J1565))</f>
        <v/>
      </c>
      <c r="C1565">
        <f>IF($J1565="","",SUMIFS('Hours Log'!$C:$C,'Hours Log'!$A:$A,"&gt;="&amp;$J1565,'Hours Log'!$A:$A,"&lt;"&amp;$J1565+7)+SUMIFS('Hours Log'!$D:$D,'Hours Log'!$A:$A,"&gt;="&amp;$J1565,'Hours Log'!$A:$A,"&lt;"&amp;$J1565+7))</f>
        <v/>
      </c>
      <c r="D1565">
        <f>IF($J1565="","",SUMIFS('Hours Log'!$D:$D,'Hours Log'!$A:$A,"&gt;="&amp;$J1565,'Hours Log'!$A:$A,"&lt;"&amp;$J1565+7))</f>
        <v/>
      </c>
      <c r="E1565">
        <f>IF($J1565="","",IFERROR(C1565/(B1565*40),0))</f>
        <v/>
      </c>
      <c r="F1565">
        <f>IF($J1565="","",0)</f>
        <v/>
      </c>
      <c r="G1565">
        <f>IF($J1565="","",SUMIFS('Hours Log'!$E:$E,'Hours Log'!$A:$A,"&gt;="&amp;$J1565,'Hours Log'!$A:$A,"&lt;"&amp;$J1565+7))</f>
        <v/>
      </c>
      <c r="J1565">
        <f>IF(COUNT('Hours Log'!$A$4:$A$5000)=0,"",IF(MIN('Hours Log'!$A$4:$A$5000)+7*(ROW()-10)&gt;MAX('Hours Log'!$A$4:$A$5000),"",MIN('Hours Log'!$A$4:$A$5000)+7*(ROW()-10)))</f>
        <v/>
      </c>
    </row>
    <row r="1566">
      <c r="A1566">
        <f>IF($J1566="","",YEAR($J1566-WEEKDAY($J1566,2)+4)&amp;"-W"&amp;TEXT(WEEKNUM($J1566,21),"00"))</f>
        <v/>
      </c>
      <c r="B1566" s="41">
        <f>IF($J1566="","",COUNTIFS(Roster!$D$4:$D$500,"Active",Roster!$C$4:$C$500,"&lt;="&amp;$J1566))</f>
        <v/>
      </c>
      <c r="C1566">
        <f>IF($J1566="","",SUMIFS('Hours Log'!$C:$C,'Hours Log'!$A:$A,"&gt;="&amp;$J1566,'Hours Log'!$A:$A,"&lt;"&amp;$J1566+7)+SUMIFS('Hours Log'!$D:$D,'Hours Log'!$A:$A,"&gt;="&amp;$J1566,'Hours Log'!$A:$A,"&lt;"&amp;$J1566+7))</f>
        <v/>
      </c>
      <c r="D1566">
        <f>IF($J1566="","",SUMIFS('Hours Log'!$D:$D,'Hours Log'!$A:$A,"&gt;="&amp;$J1566,'Hours Log'!$A:$A,"&lt;"&amp;$J1566+7))</f>
        <v/>
      </c>
      <c r="E1566">
        <f>IF($J1566="","",IFERROR(C1566/(B1566*40),0))</f>
        <v/>
      </c>
      <c r="F1566">
        <f>IF($J1566="","",0)</f>
        <v/>
      </c>
      <c r="G1566">
        <f>IF($J1566="","",SUMIFS('Hours Log'!$E:$E,'Hours Log'!$A:$A,"&gt;="&amp;$J1566,'Hours Log'!$A:$A,"&lt;"&amp;$J1566+7))</f>
        <v/>
      </c>
      <c r="J1566">
        <f>IF(COUNT('Hours Log'!$A$4:$A$5000)=0,"",IF(MIN('Hours Log'!$A$4:$A$5000)+7*(ROW()-10)&gt;MAX('Hours Log'!$A$4:$A$5000),"",MIN('Hours Log'!$A$4:$A$5000)+7*(ROW()-10)))</f>
        <v/>
      </c>
    </row>
    <row r="1567">
      <c r="A1567">
        <f>IF($J1567="","",YEAR($J1567-WEEKDAY($J1567,2)+4)&amp;"-W"&amp;TEXT(WEEKNUM($J1567,21),"00"))</f>
        <v/>
      </c>
      <c r="B1567" s="41">
        <f>IF($J1567="","",COUNTIFS(Roster!$D$4:$D$500,"Active",Roster!$C$4:$C$500,"&lt;="&amp;$J1567))</f>
        <v/>
      </c>
      <c r="C1567">
        <f>IF($J1567="","",SUMIFS('Hours Log'!$C:$C,'Hours Log'!$A:$A,"&gt;="&amp;$J1567,'Hours Log'!$A:$A,"&lt;"&amp;$J1567+7)+SUMIFS('Hours Log'!$D:$D,'Hours Log'!$A:$A,"&gt;="&amp;$J1567,'Hours Log'!$A:$A,"&lt;"&amp;$J1567+7))</f>
        <v/>
      </c>
      <c r="D1567">
        <f>IF($J1567="","",SUMIFS('Hours Log'!$D:$D,'Hours Log'!$A:$A,"&gt;="&amp;$J1567,'Hours Log'!$A:$A,"&lt;"&amp;$J1567+7))</f>
        <v/>
      </c>
      <c r="E1567">
        <f>IF($J1567="","",IFERROR(C1567/(B1567*40),0))</f>
        <v/>
      </c>
      <c r="F1567">
        <f>IF($J1567="","",0)</f>
        <v/>
      </c>
      <c r="G1567">
        <f>IF($J1567="","",SUMIFS('Hours Log'!$E:$E,'Hours Log'!$A:$A,"&gt;="&amp;$J1567,'Hours Log'!$A:$A,"&lt;"&amp;$J1567+7))</f>
        <v/>
      </c>
      <c r="J1567">
        <f>IF(COUNT('Hours Log'!$A$4:$A$5000)=0,"",IF(MIN('Hours Log'!$A$4:$A$5000)+7*(ROW()-10)&gt;MAX('Hours Log'!$A$4:$A$5000),"",MIN('Hours Log'!$A$4:$A$5000)+7*(ROW()-10)))</f>
        <v/>
      </c>
    </row>
    <row r="1568">
      <c r="A1568">
        <f>IF($J1568="","",YEAR($J1568-WEEKDAY($J1568,2)+4)&amp;"-W"&amp;TEXT(WEEKNUM($J1568,21),"00"))</f>
        <v/>
      </c>
      <c r="B1568" s="41">
        <f>IF($J1568="","",COUNTIFS(Roster!$D$4:$D$500,"Active",Roster!$C$4:$C$500,"&lt;="&amp;$J1568))</f>
        <v/>
      </c>
      <c r="C1568">
        <f>IF($J1568="","",SUMIFS('Hours Log'!$C:$C,'Hours Log'!$A:$A,"&gt;="&amp;$J1568,'Hours Log'!$A:$A,"&lt;"&amp;$J1568+7)+SUMIFS('Hours Log'!$D:$D,'Hours Log'!$A:$A,"&gt;="&amp;$J1568,'Hours Log'!$A:$A,"&lt;"&amp;$J1568+7))</f>
        <v/>
      </c>
      <c r="D1568">
        <f>IF($J1568="","",SUMIFS('Hours Log'!$D:$D,'Hours Log'!$A:$A,"&gt;="&amp;$J1568,'Hours Log'!$A:$A,"&lt;"&amp;$J1568+7))</f>
        <v/>
      </c>
      <c r="E1568">
        <f>IF($J1568="","",IFERROR(C1568/(B1568*40),0))</f>
        <v/>
      </c>
      <c r="F1568">
        <f>IF($J1568="","",0)</f>
        <v/>
      </c>
      <c r="G1568">
        <f>IF($J1568="","",SUMIFS('Hours Log'!$E:$E,'Hours Log'!$A:$A,"&gt;="&amp;$J1568,'Hours Log'!$A:$A,"&lt;"&amp;$J1568+7))</f>
        <v/>
      </c>
      <c r="J1568">
        <f>IF(COUNT('Hours Log'!$A$4:$A$5000)=0,"",IF(MIN('Hours Log'!$A$4:$A$5000)+7*(ROW()-10)&gt;MAX('Hours Log'!$A$4:$A$5000),"",MIN('Hours Log'!$A$4:$A$5000)+7*(ROW()-10)))</f>
        <v/>
      </c>
    </row>
    <row r="1569">
      <c r="A1569">
        <f>IF($J1569="","",YEAR($J1569-WEEKDAY($J1569,2)+4)&amp;"-W"&amp;TEXT(WEEKNUM($J1569,21),"00"))</f>
        <v/>
      </c>
      <c r="B1569" s="41">
        <f>IF($J1569="","",COUNTIFS(Roster!$D$4:$D$500,"Active",Roster!$C$4:$C$500,"&lt;="&amp;$J1569))</f>
        <v/>
      </c>
      <c r="C1569">
        <f>IF($J1569="","",SUMIFS('Hours Log'!$C:$C,'Hours Log'!$A:$A,"&gt;="&amp;$J1569,'Hours Log'!$A:$A,"&lt;"&amp;$J1569+7)+SUMIFS('Hours Log'!$D:$D,'Hours Log'!$A:$A,"&gt;="&amp;$J1569,'Hours Log'!$A:$A,"&lt;"&amp;$J1569+7))</f>
        <v/>
      </c>
      <c r="D1569">
        <f>IF($J1569="","",SUMIFS('Hours Log'!$D:$D,'Hours Log'!$A:$A,"&gt;="&amp;$J1569,'Hours Log'!$A:$A,"&lt;"&amp;$J1569+7))</f>
        <v/>
      </c>
      <c r="E1569">
        <f>IF($J1569="","",IFERROR(C1569/(B1569*40),0))</f>
        <v/>
      </c>
      <c r="F1569">
        <f>IF($J1569="","",0)</f>
        <v/>
      </c>
      <c r="G1569">
        <f>IF($J1569="","",SUMIFS('Hours Log'!$E:$E,'Hours Log'!$A:$A,"&gt;="&amp;$J1569,'Hours Log'!$A:$A,"&lt;"&amp;$J1569+7))</f>
        <v/>
      </c>
      <c r="J1569">
        <f>IF(COUNT('Hours Log'!$A$4:$A$5000)=0,"",IF(MIN('Hours Log'!$A$4:$A$5000)+7*(ROW()-10)&gt;MAX('Hours Log'!$A$4:$A$5000),"",MIN('Hours Log'!$A$4:$A$5000)+7*(ROW()-10)))</f>
        <v/>
      </c>
    </row>
    <row r="1570">
      <c r="A1570">
        <f>IF($J1570="","",YEAR($J1570-WEEKDAY($J1570,2)+4)&amp;"-W"&amp;TEXT(WEEKNUM($J1570,21),"00"))</f>
        <v/>
      </c>
      <c r="B1570" s="41">
        <f>IF($J1570="","",COUNTIFS(Roster!$D$4:$D$500,"Active",Roster!$C$4:$C$500,"&lt;="&amp;$J1570))</f>
        <v/>
      </c>
      <c r="C1570">
        <f>IF($J1570="","",SUMIFS('Hours Log'!$C:$C,'Hours Log'!$A:$A,"&gt;="&amp;$J1570,'Hours Log'!$A:$A,"&lt;"&amp;$J1570+7)+SUMIFS('Hours Log'!$D:$D,'Hours Log'!$A:$A,"&gt;="&amp;$J1570,'Hours Log'!$A:$A,"&lt;"&amp;$J1570+7))</f>
        <v/>
      </c>
      <c r="D1570">
        <f>IF($J1570="","",SUMIFS('Hours Log'!$D:$D,'Hours Log'!$A:$A,"&gt;="&amp;$J1570,'Hours Log'!$A:$A,"&lt;"&amp;$J1570+7))</f>
        <v/>
      </c>
      <c r="E1570">
        <f>IF($J1570="","",IFERROR(C1570/(B1570*40),0))</f>
        <v/>
      </c>
      <c r="F1570">
        <f>IF($J1570="","",0)</f>
        <v/>
      </c>
      <c r="G1570">
        <f>IF($J1570="","",SUMIFS('Hours Log'!$E:$E,'Hours Log'!$A:$A,"&gt;="&amp;$J1570,'Hours Log'!$A:$A,"&lt;"&amp;$J1570+7))</f>
        <v/>
      </c>
      <c r="J1570">
        <f>IF(COUNT('Hours Log'!$A$4:$A$5000)=0,"",IF(MIN('Hours Log'!$A$4:$A$5000)+7*(ROW()-10)&gt;MAX('Hours Log'!$A$4:$A$5000),"",MIN('Hours Log'!$A$4:$A$5000)+7*(ROW()-10)))</f>
        <v/>
      </c>
    </row>
    <row r="1571">
      <c r="A1571">
        <f>IF($J1571="","",YEAR($J1571-WEEKDAY($J1571,2)+4)&amp;"-W"&amp;TEXT(WEEKNUM($J1571,21),"00"))</f>
        <v/>
      </c>
      <c r="B1571" s="41">
        <f>IF($J1571="","",COUNTIFS(Roster!$D$4:$D$500,"Active",Roster!$C$4:$C$500,"&lt;="&amp;$J1571))</f>
        <v/>
      </c>
      <c r="C1571">
        <f>IF($J1571="","",SUMIFS('Hours Log'!$C:$C,'Hours Log'!$A:$A,"&gt;="&amp;$J1571,'Hours Log'!$A:$A,"&lt;"&amp;$J1571+7)+SUMIFS('Hours Log'!$D:$D,'Hours Log'!$A:$A,"&gt;="&amp;$J1571,'Hours Log'!$A:$A,"&lt;"&amp;$J1571+7))</f>
        <v/>
      </c>
      <c r="D1571">
        <f>IF($J1571="","",SUMIFS('Hours Log'!$D:$D,'Hours Log'!$A:$A,"&gt;="&amp;$J1571,'Hours Log'!$A:$A,"&lt;"&amp;$J1571+7))</f>
        <v/>
      </c>
      <c r="E1571">
        <f>IF($J1571="","",IFERROR(C1571/(B1571*40),0))</f>
        <v/>
      </c>
      <c r="F1571">
        <f>IF($J1571="","",0)</f>
        <v/>
      </c>
      <c r="G1571">
        <f>IF($J1571="","",SUMIFS('Hours Log'!$E:$E,'Hours Log'!$A:$A,"&gt;="&amp;$J1571,'Hours Log'!$A:$A,"&lt;"&amp;$J1571+7))</f>
        <v/>
      </c>
      <c r="J1571">
        <f>IF(COUNT('Hours Log'!$A$4:$A$5000)=0,"",IF(MIN('Hours Log'!$A$4:$A$5000)+7*(ROW()-10)&gt;MAX('Hours Log'!$A$4:$A$5000),"",MIN('Hours Log'!$A$4:$A$5000)+7*(ROW()-10)))</f>
        <v/>
      </c>
    </row>
    <row r="1572">
      <c r="A1572">
        <f>IF($J1572="","",YEAR($J1572-WEEKDAY($J1572,2)+4)&amp;"-W"&amp;TEXT(WEEKNUM($J1572,21),"00"))</f>
        <v/>
      </c>
      <c r="B1572" s="41">
        <f>IF($J1572="","",COUNTIFS(Roster!$D$4:$D$500,"Active",Roster!$C$4:$C$500,"&lt;="&amp;$J1572))</f>
        <v/>
      </c>
      <c r="C1572">
        <f>IF($J1572="","",SUMIFS('Hours Log'!$C:$C,'Hours Log'!$A:$A,"&gt;="&amp;$J1572,'Hours Log'!$A:$A,"&lt;"&amp;$J1572+7)+SUMIFS('Hours Log'!$D:$D,'Hours Log'!$A:$A,"&gt;="&amp;$J1572,'Hours Log'!$A:$A,"&lt;"&amp;$J1572+7))</f>
        <v/>
      </c>
      <c r="D1572">
        <f>IF($J1572="","",SUMIFS('Hours Log'!$D:$D,'Hours Log'!$A:$A,"&gt;="&amp;$J1572,'Hours Log'!$A:$A,"&lt;"&amp;$J1572+7))</f>
        <v/>
      </c>
      <c r="E1572">
        <f>IF($J1572="","",IFERROR(C1572/(B1572*40),0))</f>
        <v/>
      </c>
      <c r="F1572">
        <f>IF($J1572="","",0)</f>
        <v/>
      </c>
      <c r="G1572">
        <f>IF($J1572="","",SUMIFS('Hours Log'!$E:$E,'Hours Log'!$A:$A,"&gt;="&amp;$J1572,'Hours Log'!$A:$A,"&lt;"&amp;$J1572+7))</f>
        <v/>
      </c>
      <c r="J1572">
        <f>IF(COUNT('Hours Log'!$A$4:$A$5000)=0,"",IF(MIN('Hours Log'!$A$4:$A$5000)+7*(ROW()-10)&gt;MAX('Hours Log'!$A$4:$A$5000),"",MIN('Hours Log'!$A$4:$A$5000)+7*(ROW()-10)))</f>
        <v/>
      </c>
    </row>
    <row r="1573">
      <c r="A1573">
        <f>IF($J1573="","",YEAR($J1573-WEEKDAY($J1573,2)+4)&amp;"-W"&amp;TEXT(WEEKNUM($J1573,21),"00"))</f>
        <v/>
      </c>
      <c r="B1573" s="41">
        <f>IF($J1573="","",COUNTIFS(Roster!$D$4:$D$500,"Active",Roster!$C$4:$C$500,"&lt;="&amp;$J1573))</f>
        <v/>
      </c>
      <c r="C1573">
        <f>IF($J1573="","",SUMIFS('Hours Log'!$C:$C,'Hours Log'!$A:$A,"&gt;="&amp;$J1573,'Hours Log'!$A:$A,"&lt;"&amp;$J1573+7)+SUMIFS('Hours Log'!$D:$D,'Hours Log'!$A:$A,"&gt;="&amp;$J1573,'Hours Log'!$A:$A,"&lt;"&amp;$J1573+7))</f>
        <v/>
      </c>
      <c r="D1573">
        <f>IF($J1573="","",SUMIFS('Hours Log'!$D:$D,'Hours Log'!$A:$A,"&gt;="&amp;$J1573,'Hours Log'!$A:$A,"&lt;"&amp;$J1573+7))</f>
        <v/>
      </c>
      <c r="E1573">
        <f>IF($J1573="","",IFERROR(C1573/(B1573*40),0))</f>
        <v/>
      </c>
      <c r="F1573">
        <f>IF($J1573="","",0)</f>
        <v/>
      </c>
      <c r="G1573">
        <f>IF($J1573="","",SUMIFS('Hours Log'!$E:$E,'Hours Log'!$A:$A,"&gt;="&amp;$J1573,'Hours Log'!$A:$A,"&lt;"&amp;$J1573+7))</f>
        <v/>
      </c>
      <c r="J1573">
        <f>IF(COUNT('Hours Log'!$A$4:$A$5000)=0,"",IF(MIN('Hours Log'!$A$4:$A$5000)+7*(ROW()-10)&gt;MAX('Hours Log'!$A$4:$A$5000),"",MIN('Hours Log'!$A$4:$A$5000)+7*(ROW()-10)))</f>
        <v/>
      </c>
    </row>
    <row r="1574">
      <c r="A1574">
        <f>IF($J1574="","",YEAR($J1574-WEEKDAY($J1574,2)+4)&amp;"-W"&amp;TEXT(WEEKNUM($J1574,21),"00"))</f>
        <v/>
      </c>
      <c r="B1574" s="41">
        <f>IF($J1574="","",COUNTIFS(Roster!$D$4:$D$500,"Active",Roster!$C$4:$C$500,"&lt;="&amp;$J1574))</f>
        <v/>
      </c>
      <c r="C1574">
        <f>IF($J1574="","",SUMIFS('Hours Log'!$C:$C,'Hours Log'!$A:$A,"&gt;="&amp;$J1574,'Hours Log'!$A:$A,"&lt;"&amp;$J1574+7)+SUMIFS('Hours Log'!$D:$D,'Hours Log'!$A:$A,"&gt;="&amp;$J1574,'Hours Log'!$A:$A,"&lt;"&amp;$J1574+7))</f>
        <v/>
      </c>
      <c r="D1574">
        <f>IF($J1574="","",SUMIFS('Hours Log'!$D:$D,'Hours Log'!$A:$A,"&gt;="&amp;$J1574,'Hours Log'!$A:$A,"&lt;"&amp;$J1574+7))</f>
        <v/>
      </c>
      <c r="E1574">
        <f>IF($J1574="","",IFERROR(C1574/(B1574*40),0))</f>
        <v/>
      </c>
      <c r="F1574">
        <f>IF($J1574="","",0)</f>
        <v/>
      </c>
      <c r="G1574">
        <f>IF($J1574="","",SUMIFS('Hours Log'!$E:$E,'Hours Log'!$A:$A,"&gt;="&amp;$J1574,'Hours Log'!$A:$A,"&lt;"&amp;$J1574+7))</f>
        <v/>
      </c>
      <c r="J1574">
        <f>IF(COUNT('Hours Log'!$A$4:$A$5000)=0,"",IF(MIN('Hours Log'!$A$4:$A$5000)+7*(ROW()-10)&gt;MAX('Hours Log'!$A$4:$A$5000),"",MIN('Hours Log'!$A$4:$A$5000)+7*(ROW()-10)))</f>
        <v/>
      </c>
    </row>
    <row r="1575">
      <c r="A1575">
        <f>IF($J1575="","",YEAR($J1575-WEEKDAY($J1575,2)+4)&amp;"-W"&amp;TEXT(WEEKNUM($J1575,21),"00"))</f>
        <v/>
      </c>
      <c r="B1575" s="41">
        <f>IF($J1575="","",COUNTIFS(Roster!$D$4:$D$500,"Active",Roster!$C$4:$C$500,"&lt;="&amp;$J1575))</f>
        <v/>
      </c>
      <c r="C1575">
        <f>IF($J1575="","",SUMIFS('Hours Log'!$C:$C,'Hours Log'!$A:$A,"&gt;="&amp;$J1575,'Hours Log'!$A:$A,"&lt;"&amp;$J1575+7)+SUMIFS('Hours Log'!$D:$D,'Hours Log'!$A:$A,"&gt;="&amp;$J1575,'Hours Log'!$A:$A,"&lt;"&amp;$J1575+7))</f>
        <v/>
      </c>
      <c r="D1575">
        <f>IF($J1575="","",SUMIFS('Hours Log'!$D:$D,'Hours Log'!$A:$A,"&gt;="&amp;$J1575,'Hours Log'!$A:$A,"&lt;"&amp;$J1575+7))</f>
        <v/>
      </c>
      <c r="E1575">
        <f>IF($J1575="","",IFERROR(C1575/(B1575*40),0))</f>
        <v/>
      </c>
      <c r="F1575">
        <f>IF($J1575="","",0)</f>
        <v/>
      </c>
      <c r="G1575">
        <f>IF($J1575="","",SUMIFS('Hours Log'!$E:$E,'Hours Log'!$A:$A,"&gt;="&amp;$J1575,'Hours Log'!$A:$A,"&lt;"&amp;$J1575+7))</f>
        <v/>
      </c>
      <c r="J1575">
        <f>IF(COUNT('Hours Log'!$A$4:$A$5000)=0,"",IF(MIN('Hours Log'!$A$4:$A$5000)+7*(ROW()-10)&gt;MAX('Hours Log'!$A$4:$A$5000),"",MIN('Hours Log'!$A$4:$A$5000)+7*(ROW()-10)))</f>
        <v/>
      </c>
    </row>
    <row r="1576">
      <c r="A1576">
        <f>IF($J1576="","",YEAR($J1576-WEEKDAY($J1576,2)+4)&amp;"-W"&amp;TEXT(WEEKNUM($J1576,21),"00"))</f>
        <v/>
      </c>
      <c r="B1576" s="41">
        <f>IF($J1576="","",COUNTIFS(Roster!$D$4:$D$500,"Active",Roster!$C$4:$C$500,"&lt;="&amp;$J1576))</f>
        <v/>
      </c>
      <c r="C1576">
        <f>IF($J1576="","",SUMIFS('Hours Log'!$C:$C,'Hours Log'!$A:$A,"&gt;="&amp;$J1576,'Hours Log'!$A:$A,"&lt;"&amp;$J1576+7)+SUMIFS('Hours Log'!$D:$D,'Hours Log'!$A:$A,"&gt;="&amp;$J1576,'Hours Log'!$A:$A,"&lt;"&amp;$J1576+7))</f>
        <v/>
      </c>
      <c r="D1576">
        <f>IF($J1576="","",SUMIFS('Hours Log'!$D:$D,'Hours Log'!$A:$A,"&gt;="&amp;$J1576,'Hours Log'!$A:$A,"&lt;"&amp;$J1576+7))</f>
        <v/>
      </c>
      <c r="E1576">
        <f>IF($J1576="","",IFERROR(C1576/(B1576*40),0))</f>
        <v/>
      </c>
      <c r="F1576">
        <f>IF($J1576="","",0)</f>
        <v/>
      </c>
      <c r="G1576">
        <f>IF($J1576="","",SUMIFS('Hours Log'!$E:$E,'Hours Log'!$A:$A,"&gt;="&amp;$J1576,'Hours Log'!$A:$A,"&lt;"&amp;$J1576+7))</f>
        <v/>
      </c>
      <c r="J1576">
        <f>IF(COUNT('Hours Log'!$A$4:$A$5000)=0,"",IF(MIN('Hours Log'!$A$4:$A$5000)+7*(ROW()-10)&gt;MAX('Hours Log'!$A$4:$A$5000),"",MIN('Hours Log'!$A$4:$A$5000)+7*(ROW()-10)))</f>
        <v/>
      </c>
    </row>
    <row r="1577">
      <c r="A1577">
        <f>IF($J1577="","",YEAR($J1577-WEEKDAY($J1577,2)+4)&amp;"-W"&amp;TEXT(WEEKNUM($J1577,21),"00"))</f>
        <v/>
      </c>
      <c r="B1577" s="41">
        <f>IF($J1577="","",COUNTIFS(Roster!$D$4:$D$500,"Active",Roster!$C$4:$C$500,"&lt;="&amp;$J1577))</f>
        <v/>
      </c>
      <c r="C1577">
        <f>IF($J1577="","",SUMIFS('Hours Log'!$C:$C,'Hours Log'!$A:$A,"&gt;="&amp;$J1577,'Hours Log'!$A:$A,"&lt;"&amp;$J1577+7)+SUMIFS('Hours Log'!$D:$D,'Hours Log'!$A:$A,"&gt;="&amp;$J1577,'Hours Log'!$A:$A,"&lt;"&amp;$J1577+7))</f>
        <v/>
      </c>
      <c r="D1577">
        <f>IF($J1577="","",SUMIFS('Hours Log'!$D:$D,'Hours Log'!$A:$A,"&gt;="&amp;$J1577,'Hours Log'!$A:$A,"&lt;"&amp;$J1577+7))</f>
        <v/>
      </c>
      <c r="E1577">
        <f>IF($J1577="","",IFERROR(C1577/(B1577*40),0))</f>
        <v/>
      </c>
      <c r="F1577">
        <f>IF($J1577="","",0)</f>
        <v/>
      </c>
      <c r="G1577">
        <f>IF($J1577="","",SUMIFS('Hours Log'!$E:$E,'Hours Log'!$A:$A,"&gt;="&amp;$J1577,'Hours Log'!$A:$A,"&lt;"&amp;$J1577+7))</f>
        <v/>
      </c>
      <c r="J1577">
        <f>IF(COUNT('Hours Log'!$A$4:$A$5000)=0,"",IF(MIN('Hours Log'!$A$4:$A$5000)+7*(ROW()-10)&gt;MAX('Hours Log'!$A$4:$A$5000),"",MIN('Hours Log'!$A$4:$A$5000)+7*(ROW()-10)))</f>
        <v/>
      </c>
    </row>
    <row r="1578">
      <c r="A1578">
        <f>IF($J1578="","",YEAR($J1578-WEEKDAY($J1578,2)+4)&amp;"-W"&amp;TEXT(WEEKNUM($J1578,21),"00"))</f>
        <v/>
      </c>
      <c r="B1578" s="41">
        <f>IF($J1578="","",COUNTIFS(Roster!$D$4:$D$500,"Active",Roster!$C$4:$C$500,"&lt;="&amp;$J1578))</f>
        <v/>
      </c>
      <c r="C1578">
        <f>IF($J1578="","",SUMIFS('Hours Log'!$C:$C,'Hours Log'!$A:$A,"&gt;="&amp;$J1578,'Hours Log'!$A:$A,"&lt;"&amp;$J1578+7)+SUMIFS('Hours Log'!$D:$D,'Hours Log'!$A:$A,"&gt;="&amp;$J1578,'Hours Log'!$A:$A,"&lt;"&amp;$J1578+7))</f>
        <v/>
      </c>
      <c r="D1578">
        <f>IF($J1578="","",SUMIFS('Hours Log'!$D:$D,'Hours Log'!$A:$A,"&gt;="&amp;$J1578,'Hours Log'!$A:$A,"&lt;"&amp;$J1578+7))</f>
        <v/>
      </c>
      <c r="E1578">
        <f>IF($J1578="","",IFERROR(C1578/(B1578*40),0))</f>
        <v/>
      </c>
      <c r="F1578">
        <f>IF($J1578="","",0)</f>
        <v/>
      </c>
      <c r="G1578">
        <f>IF($J1578="","",SUMIFS('Hours Log'!$E:$E,'Hours Log'!$A:$A,"&gt;="&amp;$J1578,'Hours Log'!$A:$A,"&lt;"&amp;$J1578+7))</f>
        <v/>
      </c>
      <c r="J1578">
        <f>IF(COUNT('Hours Log'!$A$4:$A$5000)=0,"",IF(MIN('Hours Log'!$A$4:$A$5000)+7*(ROW()-10)&gt;MAX('Hours Log'!$A$4:$A$5000),"",MIN('Hours Log'!$A$4:$A$5000)+7*(ROW()-10)))</f>
        <v/>
      </c>
    </row>
    <row r="1579">
      <c r="A1579">
        <f>IF($J1579="","",YEAR($J1579-WEEKDAY($J1579,2)+4)&amp;"-W"&amp;TEXT(WEEKNUM($J1579,21),"00"))</f>
        <v/>
      </c>
      <c r="B1579" s="41">
        <f>IF($J1579="","",COUNTIFS(Roster!$D$4:$D$500,"Active",Roster!$C$4:$C$500,"&lt;="&amp;$J1579))</f>
        <v/>
      </c>
      <c r="C1579">
        <f>IF($J1579="","",SUMIFS('Hours Log'!$C:$C,'Hours Log'!$A:$A,"&gt;="&amp;$J1579,'Hours Log'!$A:$A,"&lt;"&amp;$J1579+7)+SUMIFS('Hours Log'!$D:$D,'Hours Log'!$A:$A,"&gt;="&amp;$J1579,'Hours Log'!$A:$A,"&lt;"&amp;$J1579+7))</f>
        <v/>
      </c>
      <c r="D1579">
        <f>IF($J1579="","",SUMIFS('Hours Log'!$D:$D,'Hours Log'!$A:$A,"&gt;="&amp;$J1579,'Hours Log'!$A:$A,"&lt;"&amp;$J1579+7))</f>
        <v/>
      </c>
      <c r="E1579">
        <f>IF($J1579="","",IFERROR(C1579/(B1579*40),0))</f>
        <v/>
      </c>
      <c r="F1579">
        <f>IF($J1579="","",0)</f>
        <v/>
      </c>
      <c r="G1579">
        <f>IF($J1579="","",SUMIFS('Hours Log'!$E:$E,'Hours Log'!$A:$A,"&gt;="&amp;$J1579,'Hours Log'!$A:$A,"&lt;"&amp;$J1579+7))</f>
        <v/>
      </c>
      <c r="J1579">
        <f>IF(COUNT('Hours Log'!$A$4:$A$5000)=0,"",IF(MIN('Hours Log'!$A$4:$A$5000)+7*(ROW()-10)&gt;MAX('Hours Log'!$A$4:$A$5000),"",MIN('Hours Log'!$A$4:$A$5000)+7*(ROW()-10)))</f>
        <v/>
      </c>
    </row>
    <row r="1580">
      <c r="A1580">
        <f>IF($J1580="","",YEAR($J1580-WEEKDAY($J1580,2)+4)&amp;"-W"&amp;TEXT(WEEKNUM($J1580,21),"00"))</f>
        <v/>
      </c>
      <c r="B1580" s="41">
        <f>IF($J1580="","",COUNTIFS(Roster!$D$4:$D$500,"Active",Roster!$C$4:$C$500,"&lt;="&amp;$J1580))</f>
        <v/>
      </c>
      <c r="C1580">
        <f>IF($J1580="","",SUMIFS('Hours Log'!$C:$C,'Hours Log'!$A:$A,"&gt;="&amp;$J1580,'Hours Log'!$A:$A,"&lt;"&amp;$J1580+7)+SUMIFS('Hours Log'!$D:$D,'Hours Log'!$A:$A,"&gt;="&amp;$J1580,'Hours Log'!$A:$A,"&lt;"&amp;$J1580+7))</f>
        <v/>
      </c>
      <c r="D1580">
        <f>IF($J1580="","",SUMIFS('Hours Log'!$D:$D,'Hours Log'!$A:$A,"&gt;="&amp;$J1580,'Hours Log'!$A:$A,"&lt;"&amp;$J1580+7))</f>
        <v/>
      </c>
      <c r="E1580">
        <f>IF($J1580="","",IFERROR(C1580/(B1580*40),0))</f>
        <v/>
      </c>
      <c r="F1580">
        <f>IF($J1580="","",0)</f>
        <v/>
      </c>
      <c r="G1580">
        <f>IF($J1580="","",SUMIFS('Hours Log'!$E:$E,'Hours Log'!$A:$A,"&gt;="&amp;$J1580,'Hours Log'!$A:$A,"&lt;"&amp;$J1580+7))</f>
        <v/>
      </c>
      <c r="J1580">
        <f>IF(COUNT('Hours Log'!$A$4:$A$5000)=0,"",IF(MIN('Hours Log'!$A$4:$A$5000)+7*(ROW()-10)&gt;MAX('Hours Log'!$A$4:$A$5000),"",MIN('Hours Log'!$A$4:$A$5000)+7*(ROW()-10)))</f>
        <v/>
      </c>
    </row>
    <row r="1581">
      <c r="A1581">
        <f>IF($J1581="","",YEAR($J1581-WEEKDAY($J1581,2)+4)&amp;"-W"&amp;TEXT(WEEKNUM($J1581,21),"00"))</f>
        <v/>
      </c>
      <c r="B1581" s="41">
        <f>IF($J1581="","",COUNTIFS(Roster!$D$4:$D$500,"Active",Roster!$C$4:$C$500,"&lt;="&amp;$J1581))</f>
        <v/>
      </c>
      <c r="C1581">
        <f>IF($J1581="","",SUMIFS('Hours Log'!$C:$C,'Hours Log'!$A:$A,"&gt;="&amp;$J1581,'Hours Log'!$A:$A,"&lt;"&amp;$J1581+7)+SUMIFS('Hours Log'!$D:$D,'Hours Log'!$A:$A,"&gt;="&amp;$J1581,'Hours Log'!$A:$A,"&lt;"&amp;$J1581+7))</f>
        <v/>
      </c>
      <c r="D1581">
        <f>IF($J1581="","",SUMIFS('Hours Log'!$D:$D,'Hours Log'!$A:$A,"&gt;="&amp;$J1581,'Hours Log'!$A:$A,"&lt;"&amp;$J1581+7))</f>
        <v/>
      </c>
      <c r="E1581">
        <f>IF($J1581="","",IFERROR(C1581/(B1581*40),0))</f>
        <v/>
      </c>
      <c r="F1581">
        <f>IF($J1581="","",0)</f>
        <v/>
      </c>
      <c r="G1581">
        <f>IF($J1581="","",SUMIFS('Hours Log'!$E:$E,'Hours Log'!$A:$A,"&gt;="&amp;$J1581,'Hours Log'!$A:$A,"&lt;"&amp;$J1581+7))</f>
        <v/>
      </c>
      <c r="J1581">
        <f>IF(COUNT('Hours Log'!$A$4:$A$5000)=0,"",IF(MIN('Hours Log'!$A$4:$A$5000)+7*(ROW()-10)&gt;MAX('Hours Log'!$A$4:$A$5000),"",MIN('Hours Log'!$A$4:$A$5000)+7*(ROW()-10)))</f>
        <v/>
      </c>
    </row>
    <row r="1582">
      <c r="A1582">
        <f>IF($J1582="","",YEAR($J1582-WEEKDAY($J1582,2)+4)&amp;"-W"&amp;TEXT(WEEKNUM($J1582,21),"00"))</f>
        <v/>
      </c>
      <c r="B1582" s="41">
        <f>IF($J1582="","",COUNTIFS(Roster!$D$4:$D$500,"Active",Roster!$C$4:$C$500,"&lt;="&amp;$J1582))</f>
        <v/>
      </c>
      <c r="C1582">
        <f>IF($J1582="","",SUMIFS('Hours Log'!$C:$C,'Hours Log'!$A:$A,"&gt;="&amp;$J1582,'Hours Log'!$A:$A,"&lt;"&amp;$J1582+7)+SUMIFS('Hours Log'!$D:$D,'Hours Log'!$A:$A,"&gt;="&amp;$J1582,'Hours Log'!$A:$A,"&lt;"&amp;$J1582+7))</f>
        <v/>
      </c>
      <c r="D1582">
        <f>IF($J1582="","",SUMIFS('Hours Log'!$D:$D,'Hours Log'!$A:$A,"&gt;="&amp;$J1582,'Hours Log'!$A:$A,"&lt;"&amp;$J1582+7))</f>
        <v/>
      </c>
      <c r="E1582">
        <f>IF($J1582="","",IFERROR(C1582/(B1582*40),0))</f>
        <v/>
      </c>
      <c r="F1582">
        <f>IF($J1582="","",0)</f>
        <v/>
      </c>
      <c r="G1582">
        <f>IF($J1582="","",SUMIFS('Hours Log'!$E:$E,'Hours Log'!$A:$A,"&gt;="&amp;$J1582,'Hours Log'!$A:$A,"&lt;"&amp;$J1582+7))</f>
        <v/>
      </c>
      <c r="J1582">
        <f>IF(COUNT('Hours Log'!$A$4:$A$5000)=0,"",IF(MIN('Hours Log'!$A$4:$A$5000)+7*(ROW()-10)&gt;MAX('Hours Log'!$A$4:$A$5000),"",MIN('Hours Log'!$A$4:$A$5000)+7*(ROW()-10)))</f>
        <v/>
      </c>
    </row>
    <row r="1583">
      <c r="A1583">
        <f>IF($J1583="","",YEAR($J1583-WEEKDAY($J1583,2)+4)&amp;"-W"&amp;TEXT(WEEKNUM($J1583,21),"00"))</f>
        <v/>
      </c>
      <c r="B1583" s="41">
        <f>IF($J1583="","",COUNTIFS(Roster!$D$4:$D$500,"Active",Roster!$C$4:$C$500,"&lt;="&amp;$J1583))</f>
        <v/>
      </c>
      <c r="C1583">
        <f>IF($J1583="","",SUMIFS('Hours Log'!$C:$C,'Hours Log'!$A:$A,"&gt;="&amp;$J1583,'Hours Log'!$A:$A,"&lt;"&amp;$J1583+7)+SUMIFS('Hours Log'!$D:$D,'Hours Log'!$A:$A,"&gt;="&amp;$J1583,'Hours Log'!$A:$A,"&lt;"&amp;$J1583+7))</f>
        <v/>
      </c>
      <c r="D1583">
        <f>IF($J1583="","",SUMIFS('Hours Log'!$D:$D,'Hours Log'!$A:$A,"&gt;="&amp;$J1583,'Hours Log'!$A:$A,"&lt;"&amp;$J1583+7))</f>
        <v/>
      </c>
      <c r="E1583">
        <f>IF($J1583="","",IFERROR(C1583/(B1583*40),0))</f>
        <v/>
      </c>
      <c r="F1583">
        <f>IF($J1583="","",0)</f>
        <v/>
      </c>
      <c r="G1583">
        <f>IF($J1583="","",SUMIFS('Hours Log'!$E:$E,'Hours Log'!$A:$A,"&gt;="&amp;$J1583,'Hours Log'!$A:$A,"&lt;"&amp;$J1583+7))</f>
        <v/>
      </c>
      <c r="J1583">
        <f>IF(COUNT('Hours Log'!$A$4:$A$5000)=0,"",IF(MIN('Hours Log'!$A$4:$A$5000)+7*(ROW()-10)&gt;MAX('Hours Log'!$A$4:$A$5000),"",MIN('Hours Log'!$A$4:$A$5000)+7*(ROW()-10)))</f>
        <v/>
      </c>
    </row>
    <row r="1584">
      <c r="A1584">
        <f>IF($J1584="","",YEAR($J1584-WEEKDAY($J1584,2)+4)&amp;"-W"&amp;TEXT(WEEKNUM($J1584,21),"00"))</f>
        <v/>
      </c>
      <c r="B1584" s="41">
        <f>IF($J1584="","",COUNTIFS(Roster!$D$4:$D$500,"Active",Roster!$C$4:$C$500,"&lt;="&amp;$J1584))</f>
        <v/>
      </c>
      <c r="C1584">
        <f>IF($J1584="","",SUMIFS('Hours Log'!$C:$C,'Hours Log'!$A:$A,"&gt;="&amp;$J1584,'Hours Log'!$A:$A,"&lt;"&amp;$J1584+7)+SUMIFS('Hours Log'!$D:$D,'Hours Log'!$A:$A,"&gt;="&amp;$J1584,'Hours Log'!$A:$A,"&lt;"&amp;$J1584+7))</f>
        <v/>
      </c>
      <c r="D1584">
        <f>IF($J1584="","",SUMIFS('Hours Log'!$D:$D,'Hours Log'!$A:$A,"&gt;="&amp;$J1584,'Hours Log'!$A:$A,"&lt;"&amp;$J1584+7))</f>
        <v/>
      </c>
      <c r="E1584">
        <f>IF($J1584="","",IFERROR(C1584/(B1584*40),0))</f>
        <v/>
      </c>
      <c r="F1584">
        <f>IF($J1584="","",0)</f>
        <v/>
      </c>
      <c r="G1584">
        <f>IF($J1584="","",SUMIFS('Hours Log'!$E:$E,'Hours Log'!$A:$A,"&gt;="&amp;$J1584,'Hours Log'!$A:$A,"&lt;"&amp;$J1584+7))</f>
        <v/>
      </c>
      <c r="J1584">
        <f>IF(COUNT('Hours Log'!$A$4:$A$5000)=0,"",IF(MIN('Hours Log'!$A$4:$A$5000)+7*(ROW()-10)&gt;MAX('Hours Log'!$A$4:$A$5000),"",MIN('Hours Log'!$A$4:$A$5000)+7*(ROW()-10)))</f>
        <v/>
      </c>
    </row>
    <row r="1585">
      <c r="A1585">
        <f>IF($J1585="","",YEAR($J1585-WEEKDAY($J1585,2)+4)&amp;"-W"&amp;TEXT(WEEKNUM($J1585,21),"00"))</f>
        <v/>
      </c>
      <c r="B1585" s="41">
        <f>IF($J1585="","",COUNTIFS(Roster!$D$4:$D$500,"Active",Roster!$C$4:$C$500,"&lt;="&amp;$J1585))</f>
        <v/>
      </c>
      <c r="C1585">
        <f>IF($J1585="","",SUMIFS('Hours Log'!$C:$C,'Hours Log'!$A:$A,"&gt;="&amp;$J1585,'Hours Log'!$A:$A,"&lt;"&amp;$J1585+7)+SUMIFS('Hours Log'!$D:$D,'Hours Log'!$A:$A,"&gt;="&amp;$J1585,'Hours Log'!$A:$A,"&lt;"&amp;$J1585+7))</f>
        <v/>
      </c>
      <c r="D1585">
        <f>IF($J1585="","",SUMIFS('Hours Log'!$D:$D,'Hours Log'!$A:$A,"&gt;="&amp;$J1585,'Hours Log'!$A:$A,"&lt;"&amp;$J1585+7))</f>
        <v/>
      </c>
      <c r="E1585">
        <f>IF($J1585="","",IFERROR(C1585/(B1585*40),0))</f>
        <v/>
      </c>
      <c r="F1585">
        <f>IF($J1585="","",0)</f>
        <v/>
      </c>
      <c r="G1585">
        <f>IF($J1585="","",SUMIFS('Hours Log'!$E:$E,'Hours Log'!$A:$A,"&gt;="&amp;$J1585,'Hours Log'!$A:$A,"&lt;"&amp;$J1585+7))</f>
        <v/>
      </c>
      <c r="J1585">
        <f>IF(COUNT('Hours Log'!$A$4:$A$5000)=0,"",IF(MIN('Hours Log'!$A$4:$A$5000)+7*(ROW()-10)&gt;MAX('Hours Log'!$A$4:$A$5000),"",MIN('Hours Log'!$A$4:$A$5000)+7*(ROW()-10)))</f>
        <v/>
      </c>
    </row>
    <row r="1586">
      <c r="A1586">
        <f>IF($J1586="","",YEAR($J1586-WEEKDAY($J1586,2)+4)&amp;"-W"&amp;TEXT(WEEKNUM($J1586,21),"00"))</f>
        <v/>
      </c>
      <c r="B1586" s="41">
        <f>IF($J1586="","",COUNTIFS(Roster!$D$4:$D$500,"Active",Roster!$C$4:$C$500,"&lt;="&amp;$J1586))</f>
        <v/>
      </c>
      <c r="C1586">
        <f>IF($J1586="","",SUMIFS('Hours Log'!$C:$C,'Hours Log'!$A:$A,"&gt;="&amp;$J1586,'Hours Log'!$A:$A,"&lt;"&amp;$J1586+7)+SUMIFS('Hours Log'!$D:$D,'Hours Log'!$A:$A,"&gt;="&amp;$J1586,'Hours Log'!$A:$A,"&lt;"&amp;$J1586+7))</f>
        <v/>
      </c>
      <c r="D1586">
        <f>IF($J1586="","",SUMIFS('Hours Log'!$D:$D,'Hours Log'!$A:$A,"&gt;="&amp;$J1586,'Hours Log'!$A:$A,"&lt;"&amp;$J1586+7))</f>
        <v/>
      </c>
      <c r="E1586">
        <f>IF($J1586="","",IFERROR(C1586/(B1586*40),0))</f>
        <v/>
      </c>
      <c r="F1586">
        <f>IF($J1586="","",0)</f>
        <v/>
      </c>
      <c r="G1586">
        <f>IF($J1586="","",SUMIFS('Hours Log'!$E:$E,'Hours Log'!$A:$A,"&gt;="&amp;$J1586,'Hours Log'!$A:$A,"&lt;"&amp;$J1586+7))</f>
        <v/>
      </c>
      <c r="J1586">
        <f>IF(COUNT('Hours Log'!$A$4:$A$5000)=0,"",IF(MIN('Hours Log'!$A$4:$A$5000)+7*(ROW()-10)&gt;MAX('Hours Log'!$A$4:$A$5000),"",MIN('Hours Log'!$A$4:$A$5000)+7*(ROW()-10)))</f>
        <v/>
      </c>
    </row>
    <row r="1587">
      <c r="A1587">
        <f>IF($J1587="","",YEAR($J1587-WEEKDAY($J1587,2)+4)&amp;"-W"&amp;TEXT(WEEKNUM($J1587,21),"00"))</f>
        <v/>
      </c>
      <c r="B1587" s="41">
        <f>IF($J1587="","",COUNTIFS(Roster!$D$4:$D$500,"Active",Roster!$C$4:$C$500,"&lt;="&amp;$J1587))</f>
        <v/>
      </c>
      <c r="C1587">
        <f>IF($J1587="","",SUMIFS('Hours Log'!$C:$C,'Hours Log'!$A:$A,"&gt;="&amp;$J1587,'Hours Log'!$A:$A,"&lt;"&amp;$J1587+7)+SUMIFS('Hours Log'!$D:$D,'Hours Log'!$A:$A,"&gt;="&amp;$J1587,'Hours Log'!$A:$A,"&lt;"&amp;$J1587+7))</f>
        <v/>
      </c>
      <c r="D1587">
        <f>IF($J1587="","",SUMIFS('Hours Log'!$D:$D,'Hours Log'!$A:$A,"&gt;="&amp;$J1587,'Hours Log'!$A:$A,"&lt;"&amp;$J1587+7))</f>
        <v/>
      </c>
      <c r="E1587">
        <f>IF($J1587="","",IFERROR(C1587/(B1587*40),0))</f>
        <v/>
      </c>
      <c r="F1587">
        <f>IF($J1587="","",0)</f>
        <v/>
      </c>
      <c r="G1587">
        <f>IF($J1587="","",SUMIFS('Hours Log'!$E:$E,'Hours Log'!$A:$A,"&gt;="&amp;$J1587,'Hours Log'!$A:$A,"&lt;"&amp;$J1587+7))</f>
        <v/>
      </c>
      <c r="J1587">
        <f>IF(COUNT('Hours Log'!$A$4:$A$5000)=0,"",IF(MIN('Hours Log'!$A$4:$A$5000)+7*(ROW()-10)&gt;MAX('Hours Log'!$A$4:$A$5000),"",MIN('Hours Log'!$A$4:$A$5000)+7*(ROW()-10)))</f>
        <v/>
      </c>
    </row>
    <row r="1588">
      <c r="A1588">
        <f>IF($J1588="","",YEAR($J1588-WEEKDAY($J1588,2)+4)&amp;"-W"&amp;TEXT(WEEKNUM($J1588,21),"00"))</f>
        <v/>
      </c>
      <c r="B1588" s="41">
        <f>IF($J1588="","",COUNTIFS(Roster!$D$4:$D$500,"Active",Roster!$C$4:$C$500,"&lt;="&amp;$J1588))</f>
        <v/>
      </c>
      <c r="C1588">
        <f>IF($J1588="","",SUMIFS('Hours Log'!$C:$C,'Hours Log'!$A:$A,"&gt;="&amp;$J1588,'Hours Log'!$A:$A,"&lt;"&amp;$J1588+7)+SUMIFS('Hours Log'!$D:$D,'Hours Log'!$A:$A,"&gt;="&amp;$J1588,'Hours Log'!$A:$A,"&lt;"&amp;$J1588+7))</f>
        <v/>
      </c>
      <c r="D1588">
        <f>IF($J1588="","",SUMIFS('Hours Log'!$D:$D,'Hours Log'!$A:$A,"&gt;="&amp;$J1588,'Hours Log'!$A:$A,"&lt;"&amp;$J1588+7))</f>
        <v/>
      </c>
      <c r="E1588">
        <f>IF($J1588="","",IFERROR(C1588/(B1588*40),0))</f>
        <v/>
      </c>
      <c r="F1588">
        <f>IF($J1588="","",0)</f>
        <v/>
      </c>
      <c r="G1588">
        <f>IF($J1588="","",SUMIFS('Hours Log'!$E:$E,'Hours Log'!$A:$A,"&gt;="&amp;$J1588,'Hours Log'!$A:$A,"&lt;"&amp;$J1588+7))</f>
        <v/>
      </c>
      <c r="J1588">
        <f>IF(COUNT('Hours Log'!$A$4:$A$5000)=0,"",IF(MIN('Hours Log'!$A$4:$A$5000)+7*(ROW()-10)&gt;MAX('Hours Log'!$A$4:$A$5000),"",MIN('Hours Log'!$A$4:$A$5000)+7*(ROW()-10)))</f>
        <v/>
      </c>
    </row>
    <row r="1589">
      <c r="A1589">
        <f>IF($J1589="","",YEAR($J1589-WEEKDAY($J1589,2)+4)&amp;"-W"&amp;TEXT(WEEKNUM($J1589,21),"00"))</f>
        <v/>
      </c>
      <c r="B1589" s="41">
        <f>IF($J1589="","",COUNTIFS(Roster!$D$4:$D$500,"Active",Roster!$C$4:$C$500,"&lt;="&amp;$J1589))</f>
        <v/>
      </c>
      <c r="C1589">
        <f>IF($J1589="","",SUMIFS('Hours Log'!$C:$C,'Hours Log'!$A:$A,"&gt;="&amp;$J1589,'Hours Log'!$A:$A,"&lt;"&amp;$J1589+7)+SUMIFS('Hours Log'!$D:$D,'Hours Log'!$A:$A,"&gt;="&amp;$J1589,'Hours Log'!$A:$A,"&lt;"&amp;$J1589+7))</f>
        <v/>
      </c>
      <c r="D1589">
        <f>IF($J1589="","",SUMIFS('Hours Log'!$D:$D,'Hours Log'!$A:$A,"&gt;="&amp;$J1589,'Hours Log'!$A:$A,"&lt;"&amp;$J1589+7))</f>
        <v/>
      </c>
      <c r="E1589">
        <f>IF($J1589="","",IFERROR(C1589/(B1589*40),0))</f>
        <v/>
      </c>
      <c r="F1589">
        <f>IF($J1589="","",0)</f>
        <v/>
      </c>
      <c r="G1589">
        <f>IF($J1589="","",SUMIFS('Hours Log'!$E:$E,'Hours Log'!$A:$A,"&gt;="&amp;$J1589,'Hours Log'!$A:$A,"&lt;"&amp;$J1589+7))</f>
        <v/>
      </c>
      <c r="J1589">
        <f>IF(COUNT('Hours Log'!$A$4:$A$5000)=0,"",IF(MIN('Hours Log'!$A$4:$A$5000)+7*(ROW()-10)&gt;MAX('Hours Log'!$A$4:$A$5000),"",MIN('Hours Log'!$A$4:$A$5000)+7*(ROW()-10)))</f>
        <v/>
      </c>
    </row>
    <row r="1590">
      <c r="A1590">
        <f>IF($J1590="","",YEAR($J1590-WEEKDAY($J1590,2)+4)&amp;"-W"&amp;TEXT(WEEKNUM($J1590,21),"00"))</f>
        <v/>
      </c>
      <c r="B1590" s="41">
        <f>IF($J1590="","",COUNTIFS(Roster!$D$4:$D$500,"Active",Roster!$C$4:$C$500,"&lt;="&amp;$J1590))</f>
        <v/>
      </c>
      <c r="C1590">
        <f>IF($J1590="","",SUMIFS('Hours Log'!$C:$C,'Hours Log'!$A:$A,"&gt;="&amp;$J1590,'Hours Log'!$A:$A,"&lt;"&amp;$J1590+7)+SUMIFS('Hours Log'!$D:$D,'Hours Log'!$A:$A,"&gt;="&amp;$J1590,'Hours Log'!$A:$A,"&lt;"&amp;$J1590+7))</f>
        <v/>
      </c>
      <c r="D1590">
        <f>IF($J1590="","",SUMIFS('Hours Log'!$D:$D,'Hours Log'!$A:$A,"&gt;="&amp;$J1590,'Hours Log'!$A:$A,"&lt;"&amp;$J1590+7))</f>
        <v/>
      </c>
      <c r="E1590">
        <f>IF($J1590="","",IFERROR(C1590/(B1590*40),0))</f>
        <v/>
      </c>
      <c r="F1590">
        <f>IF($J1590="","",0)</f>
        <v/>
      </c>
      <c r="G1590">
        <f>IF($J1590="","",SUMIFS('Hours Log'!$E:$E,'Hours Log'!$A:$A,"&gt;="&amp;$J1590,'Hours Log'!$A:$A,"&lt;"&amp;$J1590+7))</f>
        <v/>
      </c>
      <c r="J1590">
        <f>IF(COUNT('Hours Log'!$A$4:$A$5000)=0,"",IF(MIN('Hours Log'!$A$4:$A$5000)+7*(ROW()-10)&gt;MAX('Hours Log'!$A$4:$A$5000),"",MIN('Hours Log'!$A$4:$A$5000)+7*(ROW()-10)))</f>
        <v/>
      </c>
    </row>
    <row r="1591">
      <c r="A1591">
        <f>IF($J1591="","",YEAR($J1591-WEEKDAY($J1591,2)+4)&amp;"-W"&amp;TEXT(WEEKNUM($J1591,21),"00"))</f>
        <v/>
      </c>
      <c r="B1591" s="41">
        <f>IF($J1591="","",COUNTIFS(Roster!$D$4:$D$500,"Active",Roster!$C$4:$C$500,"&lt;="&amp;$J1591))</f>
        <v/>
      </c>
      <c r="C1591">
        <f>IF($J1591="","",SUMIFS('Hours Log'!$C:$C,'Hours Log'!$A:$A,"&gt;="&amp;$J1591,'Hours Log'!$A:$A,"&lt;"&amp;$J1591+7)+SUMIFS('Hours Log'!$D:$D,'Hours Log'!$A:$A,"&gt;="&amp;$J1591,'Hours Log'!$A:$A,"&lt;"&amp;$J1591+7))</f>
        <v/>
      </c>
      <c r="D1591">
        <f>IF($J1591="","",SUMIFS('Hours Log'!$D:$D,'Hours Log'!$A:$A,"&gt;="&amp;$J1591,'Hours Log'!$A:$A,"&lt;"&amp;$J1591+7))</f>
        <v/>
      </c>
      <c r="E1591">
        <f>IF($J1591="","",IFERROR(C1591/(B1591*40),0))</f>
        <v/>
      </c>
      <c r="F1591">
        <f>IF($J1591="","",0)</f>
        <v/>
      </c>
      <c r="G1591">
        <f>IF($J1591="","",SUMIFS('Hours Log'!$E:$E,'Hours Log'!$A:$A,"&gt;="&amp;$J1591,'Hours Log'!$A:$A,"&lt;"&amp;$J1591+7))</f>
        <v/>
      </c>
      <c r="J1591">
        <f>IF(COUNT('Hours Log'!$A$4:$A$5000)=0,"",IF(MIN('Hours Log'!$A$4:$A$5000)+7*(ROW()-10)&gt;MAX('Hours Log'!$A$4:$A$5000),"",MIN('Hours Log'!$A$4:$A$5000)+7*(ROW()-10)))</f>
        <v/>
      </c>
    </row>
    <row r="1592">
      <c r="A1592">
        <f>IF($J1592="","",YEAR($J1592-WEEKDAY($J1592,2)+4)&amp;"-W"&amp;TEXT(WEEKNUM($J1592,21),"00"))</f>
        <v/>
      </c>
      <c r="B1592" s="41">
        <f>IF($J1592="","",COUNTIFS(Roster!$D$4:$D$500,"Active",Roster!$C$4:$C$500,"&lt;="&amp;$J1592))</f>
        <v/>
      </c>
      <c r="C1592">
        <f>IF($J1592="","",SUMIFS('Hours Log'!$C:$C,'Hours Log'!$A:$A,"&gt;="&amp;$J1592,'Hours Log'!$A:$A,"&lt;"&amp;$J1592+7)+SUMIFS('Hours Log'!$D:$D,'Hours Log'!$A:$A,"&gt;="&amp;$J1592,'Hours Log'!$A:$A,"&lt;"&amp;$J1592+7))</f>
        <v/>
      </c>
      <c r="D1592">
        <f>IF($J1592="","",SUMIFS('Hours Log'!$D:$D,'Hours Log'!$A:$A,"&gt;="&amp;$J1592,'Hours Log'!$A:$A,"&lt;"&amp;$J1592+7))</f>
        <v/>
      </c>
      <c r="E1592">
        <f>IF($J1592="","",IFERROR(C1592/(B1592*40),0))</f>
        <v/>
      </c>
      <c r="F1592">
        <f>IF($J1592="","",0)</f>
        <v/>
      </c>
      <c r="G1592">
        <f>IF($J1592="","",SUMIFS('Hours Log'!$E:$E,'Hours Log'!$A:$A,"&gt;="&amp;$J1592,'Hours Log'!$A:$A,"&lt;"&amp;$J1592+7))</f>
        <v/>
      </c>
      <c r="J1592">
        <f>IF(COUNT('Hours Log'!$A$4:$A$5000)=0,"",IF(MIN('Hours Log'!$A$4:$A$5000)+7*(ROW()-10)&gt;MAX('Hours Log'!$A$4:$A$5000),"",MIN('Hours Log'!$A$4:$A$5000)+7*(ROW()-10)))</f>
        <v/>
      </c>
    </row>
    <row r="1593">
      <c r="A1593">
        <f>IF($J1593="","",YEAR($J1593-WEEKDAY($J1593,2)+4)&amp;"-W"&amp;TEXT(WEEKNUM($J1593,21),"00"))</f>
        <v/>
      </c>
      <c r="B1593" s="41">
        <f>IF($J1593="","",COUNTIFS(Roster!$D$4:$D$500,"Active",Roster!$C$4:$C$500,"&lt;="&amp;$J1593))</f>
        <v/>
      </c>
      <c r="C1593">
        <f>IF($J1593="","",SUMIFS('Hours Log'!$C:$C,'Hours Log'!$A:$A,"&gt;="&amp;$J1593,'Hours Log'!$A:$A,"&lt;"&amp;$J1593+7)+SUMIFS('Hours Log'!$D:$D,'Hours Log'!$A:$A,"&gt;="&amp;$J1593,'Hours Log'!$A:$A,"&lt;"&amp;$J1593+7))</f>
        <v/>
      </c>
      <c r="D1593">
        <f>IF($J1593="","",SUMIFS('Hours Log'!$D:$D,'Hours Log'!$A:$A,"&gt;="&amp;$J1593,'Hours Log'!$A:$A,"&lt;"&amp;$J1593+7))</f>
        <v/>
      </c>
      <c r="E1593">
        <f>IF($J1593="","",IFERROR(C1593/(B1593*40),0))</f>
        <v/>
      </c>
      <c r="F1593">
        <f>IF($J1593="","",0)</f>
        <v/>
      </c>
      <c r="G1593">
        <f>IF($J1593="","",SUMIFS('Hours Log'!$E:$E,'Hours Log'!$A:$A,"&gt;="&amp;$J1593,'Hours Log'!$A:$A,"&lt;"&amp;$J1593+7))</f>
        <v/>
      </c>
      <c r="J1593">
        <f>IF(COUNT('Hours Log'!$A$4:$A$5000)=0,"",IF(MIN('Hours Log'!$A$4:$A$5000)+7*(ROW()-10)&gt;MAX('Hours Log'!$A$4:$A$5000),"",MIN('Hours Log'!$A$4:$A$5000)+7*(ROW()-10)))</f>
        <v/>
      </c>
    </row>
    <row r="1594">
      <c r="A1594">
        <f>IF($J1594="","",YEAR($J1594-WEEKDAY($J1594,2)+4)&amp;"-W"&amp;TEXT(WEEKNUM($J1594,21),"00"))</f>
        <v/>
      </c>
      <c r="B1594" s="41">
        <f>IF($J1594="","",COUNTIFS(Roster!$D$4:$D$500,"Active",Roster!$C$4:$C$500,"&lt;="&amp;$J1594))</f>
        <v/>
      </c>
      <c r="C1594">
        <f>IF($J1594="","",SUMIFS('Hours Log'!$C:$C,'Hours Log'!$A:$A,"&gt;="&amp;$J1594,'Hours Log'!$A:$A,"&lt;"&amp;$J1594+7)+SUMIFS('Hours Log'!$D:$D,'Hours Log'!$A:$A,"&gt;="&amp;$J1594,'Hours Log'!$A:$A,"&lt;"&amp;$J1594+7))</f>
        <v/>
      </c>
      <c r="D1594">
        <f>IF($J1594="","",SUMIFS('Hours Log'!$D:$D,'Hours Log'!$A:$A,"&gt;="&amp;$J1594,'Hours Log'!$A:$A,"&lt;"&amp;$J1594+7))</f>
        <v/>
      </c>
      <c r="E1594">
        <f>IF($J1594="","",IFERROR(C1594/(B1594*40),0))</f>
        <v/>
      </c>
      <c r="F1594">
        <f>IF($J1594="","",0)</f>
        <v/>
      </c>
      <c r="G1594">
        <f>IF($J1594="","",SUMIFS('Hours Log'!$E:$E,'Hours Log'!$A:$A,"&gt;="&amp;$J1594,'Hours Log'!$A:$A,"&lt;"&amp;$J1594+7))</f>
        <v/>
      </c>
      <c r="J1594">
        <f>IF(COUNT('Hours Log'!$A$4:$A$5000)=0,"",IF(MIN('Hours Log'!$A$4:$A$5000)+7*(ROW()-10)&gt;MAX('Hours Log'!$A$4:$A$5000),"",MIN('Hours Log'!$A$4:$A$5000)+7*(ROW()-10)))</f>
        <v/>
      </c>
    </row>
    <row r="1595">
      <c r="A1595">
        <f>IF($J1595="","",YEAR($J1595-WEEKDAY($J1595,2)+4)&amp;"-W"&amp;TEXT(WEEKNUM($J1595,21),"00"))</f>
        <v/>
      </c>
      <c r="B1595" s="41">
        <f>IF($J1595="","",COUNTIFS(Roster!$D$4:$D$500,"Active",Roster!$C$4:$C$500,"&lt;="&amp;$J1595))</f>
        <v/>
      </c>
      <c r="C1595">
        <f>IF($J1595="","",SUMIFS('Hours Log'!$C:$C,'Hours Log'!$A:$A,"&gt;="&amp;$J1595,'Hours Log'!$A:$A,"&lt;"&amp;$J1595+7)+SUMIFS('Hours Log'!$D:$D,'Hours Log'!$A:$A,"&gt;="&amp;$J1595,'Hours Log'!$A:$A,"&lt;"&amp;$J1595+7))</f>
        <v/>
      </c>
      <c r="D1595">
        <f>IF($J1595="","",SUMIFS('Hours Log'!$D:$D,'Hours Log'!$A:$A,"&gt;="&amp;$J1595,'Hours Log'!$A:$A,"&lt;"&amp;$J1595+7))</f>
        <v/>
      </c>
      <c r="E1595">
        <f>IF($J1595="","",IFERROR(C1595/(B1595*40),0))</f>
        <v/>
      </c>
      <c r="F1595">
        <f>IF($J1595="","",0)</f>
        <v/>
      </c>
      <c r="G1595">
        <f>IF($J1595="","",SUMIFS('Hours Log'!$E:$E,'Hours Log'!$A:$A,"&gt;="&amp;$J1595,'Hours Log'!$A:$A,"&lt;"&amp;$J1595+7))</f>
        <v/>
      </c>
      <c r="J1595">
        <f>IF(COUNT('Hours Log'!$A$4:$A$5000)=0,"",IF(MIN('Hours Log'!$A$4:$A$5000)+7*(ROW()-10)&gt;MAX('Hours Log'!$A$4:$A$5000),"",MIN('Hours Log'!$A$4:$A$5000)+7*(ROW()-10)))</f>
        <v/>
      </c>
    </row>
    <row r="1596">
      <c r="A1596">
        <f>IF($J1596="","",YEAR($J1596-WEEKDAY($J1596,2)+4)&amp;"-W"&amp;TEXT(WEEKNUM($J1596,21),"00"))</f>
        <v/>
      </c>
      <c r="B1596" s="41">
        <f>IF($J1596="","",COUNTIFS(Roster!$D$4:$D$500,"Active",Roster!$C$4:$C$500,"&lt;="&amp;$J1596))</f>
        <v/>
      </c>
      <c r="C1596">
        <f>IF($J1596="","",SUMIFS('Hours Log'!$C:$C,'Hours Log'!$A:$A,"&gt;="&amp;$J1596,'Hours Log'!$A:$A,"&lt;"&amp;$J1596+7)+SUMIFS('Hours Log'!$D:$D,'Hours Log'!$A:$A,"&gt;="&amp;$J1596,'Hours Log'!$A:$A,"&lt;"&amp;$J1596+7))</f>
        <v/>
      </c>
      <c r="D1596">
        <f>IF($J1596="","",SUMIFS('Hours Log'!$D:$D,'Hours Log'!$A:$A,"&gt;="&amp;$J1596,'Hours Log'!$A:$A,"&lt;"&amp;$J1596+7))</f>
        <v/>
      </c>
      <c r="E1596">
        <f>IF($J1596="","",IFERROR(C1596/(B1596*40),0))</f>
        <v/>
      </c>
      <c r="F1596">
        <f>IF($J1596="","",0)</f>
        <v/>
      </c>
      <c r="G1596">
        <f>IF($J1596="","",SUMIFS('Hours Log'!$E:$E,'Hours Log'!$A:$A,"&gt;="&amp;$J1596,'Hours Log'!$A:$A,"&lt;"&amp;$J1596+7))</f>
        <v/>
      </c>
      <c r="J1596">
        <f>IF(COUNT('Hours Log'!$A$4:$A$5000)=0,"",IF(MIN('Hours Log'!$A$4:$A$5000)+7*(ROW()-10)&gt;MAX('Hours Log'!$A$4:$A$5000),"",MIN('Hours Log'!$A$4:$A$5000)+7*(ROW()-10)))</f>
        <v/>
      </c>
    </row>
    <row r="1597">
      <c r="A1597">
        <f>IF($J1597="","",YEAR($J1597-WEEKDAY($J1597,2)+4)&amp;"-W"&amp;TEXT(WEEKNUM($J1597,21),"00"))</f>
        <v/>
      </c>
      <c r="B1597" s="41">
        <f>IF($J1597="","",COUNTIFS(Roster!$D$4:$D$500,"Active",Roster!$C$4:$C$500,"&lt;="&amp;$J1597))</f>
        <v/>
      </c>
      <c r="C1597">
        <f>IF($J1597="","",SUMIFS('Hours Log'!$C:$C,'Hours Log'!$A:$A,"&gt;="&amp;$J1597,'Hours Log'!$A:$A,"&lt;"&amp;$J1597+7)+SUMIFS('Hours Log'!$D:$D,'Hours Log'!$A:$A,"&gt;="&amp;$J1597,'Hours Log'!$A:$A,"&lt;"&amp;$J1597+7))</f>
        <v/>
      </c>
      <c r="D1597">
        <f>IF($J1597="","",SUMIFS('Hours Log'!$D:$D,'Hours Log'!$A:$A,"&gt;="&amp;$J1597,'Hours Log'!$A:$A,"&lt;"&amp;$J1597+7))</f>
        <v/>
      </c>
      <c r="E1597">
        <f>IF($J1597="","",IFERROR(C1597/(B1597*40),0))</f>
        <v/>
      </c>
      <c r="F1597">
        <f>IF($J1597="","",0)</f>
        <v/>
      </c>
      <c r="G1597">
        <f>IF($J1597="","",SUMIFS('Hours Log'!$E:$E,'Hours Log'!$A:$A,"&gt;="&amp;$J1597,'Hours Log'!$A:$A,"&lt;"&amp;$J1597+7))</f>
        <v/>
      </c>
      <c r="J1597">
        <f>IF(COUNT('Hours Log'!$A$4:$A$5000)=0,"",IF(MIN('Hours Log'!$A$4:$A$5000)+7*(ROW()-10)&gt;MAX('Hours Log'!$A$4:$A$5000),"",MIN('Hours Log'!$A$4:$A$5000)+7*(ROW()-10)))</f>
        <v/>
      </c>
    </row>
    <row r="1598">
      <c r="A1598">
        <f>IF($J1598="","",YEAR($J1598-WEEKDAY($J1598,2)+4)&amp;"-W"&amp;TEXT(WEEKNUM($J1598,21),"00"))</f>
        <v/>
      </c>
      <c r="B1598" s="41">
        <f>IF($J1598="","",COUNTIFS(Roster!$D$4:$D$500,"Active",Roster!$C$4:$C$500,"&lt;="&amp;$J1598))</f>
        <v/>
      </c>
      <c r="C1598">
        <f>IF($J1598="","",SUMIFS('Hours Log'!$C:$C,'Hours Log'!$A:$A,"&gt;="&amp;$J1598,'Hours Log'!$A:$A,"&lt;"&amp;$J1598+7)+SUMIFS('Hours Log'!$D:$D,'Hours Log'!$A:$A,"&gt;="&amp;$J1598,'Hours Log'!$A:$A,"&lt;"&amp;$J1598+7))</f>
        <v/>
      </c>
      <c r="D1598">
        <f>IF($J1598="","",SUMIFS('Hours Log'!$D:$D,'Hours Log'!$A:$A,"&gt;="&amp;$J1598,'Hours Log'!$A:$A,"&lt;"&amp;$J1598+7))</f>
        <v/>
      </c>
      <c r="E1598">
        <f>IF($J1598="","",IFERROR(C1598/(B1598*40),0))</f>
        <v/>
      </c>
      <c r="F1598">
        <f>IF($J1598="","",0)</f>
        <v/>
      </c>
      <c r="G1598">
        <f>IF($J1598="","",SUMIFS('Hours Log'!$E:$E,'Hours Log'!$A:$A,"&gt;="&amp;$J1598,'Hours Log'!$A:$A,"&lt;"&amp;$J1598+7))</f>
        <v/>
      </c>
      <c r="J1598">
        <f>IF(COUNT('Hours Log'!$A$4:$A$5000)=0,"",IF(MIN('Hours Log'!$A$4:$A$5000)+7*(ROW()-10)&gt;MAX('Hours Log'!$A$4:$A$5000),"",MIN('Hours Log'!$A$4:$A$5000)+7*(ROW()-10)))</f>
        <v/>
      </c>
    </row>
    <row r="1599">
      <c r="A1599">
        <f>IF($J1599="","",YEAR($J1599-WEEKDAY($J1599,2)+4)&amp;"-W"&amp;TEXT(WEEKNUM($J1599,21),"00"))</f>
        <v/>
      </c>
      <c r="B1599" s="41">
        <f>IF($J1599="","",COUNTIFS(Roster!$D$4:$D$500,"Active",Roster!$C$4:$C$500,"&lt;="&amp;$J1599))</f>
        <v/>
      </c>
      <c r="C1599">
        <f>IF($J1599="","",SUMIFS('Hours Log'!$C:$C,'Hours Log'!$A:$A,"&gt;="&amp;$J1599,'Hours Log'!$A:$A,"&lt;"&amp;$J1599+7)+SUMIFS('Hours Log'!$D:$D,'Hours Log'!$A:$A,"&gt;="&amp;$J1599,'Hours Log'!$A:$A,"&lt;"&amp;$J1599+7))</f>
        <v/>
      </c>
      <c r="D1599">
        <f>IF($J1599="","",SUMIFS('Hours Log'!$D:$D,'Hours Log'!$A:$A,"&gt;="&amp;$J1599,'Hours Log'!$A:$A,"&lt;"&amp;$J1599+7))</f>
        <v/>
      </c>
      <c r="E1599">
        <f>IF($J1599="","",IFERROR(C1599/(B1599*40),0))</f>
        <v/>
      </c>
      <c r="F1599">
        <f>IF($J1599="","",0)</f>
        <v/>
      </c>
      <c r="G1599">
        <f>IF($J1599="","",SUMIFS('Hours Log'!$E:$E,'Hours Log'!$A:$A,"&gt;="&amp;$J1599,'Hours Log'!$A:$A,"&lt;"&amp;$J1599+7))</f>
        <v/>
      </c>
      <c r="J1599">
        <f>IF(COUNT('Hours Log'!$A$4:$A$5000)=0,"",IF(MIN('Hours Log'!$A$4:$A$5000)+7*(ROW()-10)&gt;MAX('Hours Log'!$A$4:$A$5000),"",MIN('Hours Log'!$A$4:$A$5000)+7*(ROW()-10)))</f>
        <v/>
      </c>
    </row>
    <row r="1600">
      <c r="A1600">
        <f>IF($J1600="","",YEAR($J1600-WEEKDAY($J1600,2)+4)&amp;"-W"&amp;TEXT(WEEKNUM($J1600,21),"00"))</f>
        <v/>
      </c>
      <c r="B1600" s="41">
        <f>IF($J1600="","",COUNTIFS(Roster!$D$4:$D$500,"Active",Roster!$C$4:$C$500,"&lt;="&amp;$J1600))</f>
        <v/>
      </c>
      <c r="C1600">
        <f>IF($J1600="","",SUMIFS('Hours Log'!$C:$C,'Hours Log'!$A:$A,"&gt;="&amp;$J1600,'Hours Log'!$A:$A,"&lt;"&amp;$J1600+7)+SUMIFS('Hours Log'!$D:$D,'Hours Log'!$A:$A,"&gt;="&amp;$J1600,'Hours Log'!$A:$A,"&lt;"&amp;$J1600+7))</f>
        <v/>
      </c>
      <c r="D1600">
        <f>IF($J1600="","",SUMIFS('Hours Log'!$D:$D,'Hours Log'!$A:$A,"&gt;="&amp;$J1600,'Hours Log'!$A:$A,"&lt;"&amp;$J1600+7))</f>
        <v/>
      </c>
      <c r="E1600">
        <f>IF($J1600="","",IFERROR(C1600/(B1600*40),0))</f>
        <v/>
      </c>
      <c r="F1600">
        <f>IF($J1600="","",0)</f>
        <v/>
      </c>
      <c r="G1600">
        <f>IF($J1600="","",SUMIFS('Hours Log'!$E:$E,'Hours Log'!$A:$A,"&gt;="&amp;$J1600,'Hours Log'!$A:$A,"&lt;"&amp;$J1600+7))</f>
        <v/>
      </c>
      <c r="J1600">
        <f>IF(COUNT('Hours Log'!$A$4:$A$5000)=0,"",IF(MIN('Hours Log'!$A$4:$A$5000)+7*(ROW()-10)&gt;MAX('Hours Log'!$A$4:$A$5000),"",MIN('Hours Log'!$A$4:$A$5000)+7*(ROW()-10)))</f>
        <v/>
      </c>
    </row>
    <row r="1601">
      <c r="A1601">
        <f>IF($J1601="","",YEAR($J1601-WEEKDAY($J1601,2)+4)&amp;"-W"&amp;TEXT(WEEKNUM($J1601,21),"00"))</f>
        <v/>
      </c>
      <c r="B1601" s="41">
        <f>IF($J1601="","",COUNTIFS(Roster!$D$4:$D$500,"Active",Roster!$C$4:$C$500,"&lt;="&amp;$J1601))</f>
        <v/>
      </c>
      <c r="C1601">
        <f>IF($J1601="","",SUMIFS('Hours Log'!$C:$C,'Hours Log'!$A:$A,"&gt;="&amp;$J1601,'Hours Log'!$A:$A,"&lt;"&amp;$J1601+7)+SUMIFS('Hours Log'!$D:$D,'Hours Log'!$A:$A,"&gt;="&amp;$J1601,'Hours Log'!$A:$A,"&lt;"&amp;$J1601+7))</f>
        <v/>
      </c>
      <c r="D1601">
        <f>IF($J1601="","",SUMIFS('Hours Log'!$D:$D,'Hours Log'!$A:$A,"&gt;="&amp;$J1601,'Hours Log'!$A:$A,"&lt;"&amp;$J1601+7))</f>
        <v/>
      </c>
      <c r="E1601">
        <f>IF($J1601="","",IFERROR(C1601/(B1601*40),0))</f>
        <v/>
      </c>
      <c r="F1601">
        <f>IF($J1601="","",0)</f>
        <v/>
      </c>
      <c r="G1601">
        <f>IF($J1601="","",SUMIFS('Hours Log'!$E:$E,'Hours Log'!$A:$A,"&gt;="&amp;$J1601,'Hours Log'!$A:$A,"&lt;"&amp;$J1601+7))</f>
        <v/>
      </c>
      <c r="J1601">
        <f>IF(COUNT('Hours Log'!$A$4:$A$5000)=0,"",IF(MIN('Hours Log'!$A$4:$A$5000)+7*(ROW()-10)&gt;MAX('Hours Log'!$A$4:$A$5000),"",MIN('Hours Log'!$A$4:$A$5000)+7*(ROW()-10)))</f>
        <v/>
      </c>
    </row>
    <row r="1602">
      <c r="A1602">
        <f>IF($J1602="","",YEAR($J1602-WEEKDAY($J1602,2)+4)&amp;"-W"&amp;TEXT(WEEKNUM($J1602,21),"00"))</f>
        <v/>
      </c>
      <c r="B1602" s="41">
        <f>IF($J1602="","",COUNTIFS(Roster!$D$4:$D$500,"Active",Roster!$C$4:$C$500,"&lt;="&amp;$J1602))</f>
        <v/>
      </c>
      <c r="C1602">
        <f>IF($J1602="","",SUMIFS('Hours Log'!$C:$C,'Hours Log'!$A:$A,"&gt;="&amp;$J1602,'Hours Log'!$A:$A,"&lt;"&amp;$J1602+7)+SUMIFS('Hours Log'!$D:$D,'Hours Log'!$A:$A,"&gt;="&amp;$J1602,'Hours Log'!$A:$A,"&lt;"&amp;$J1602+7))</f>
        <v/>
      </c>
      <c r="D1602">
        <f>IF($J1602="","",SUMIFS('Hours Log'!$D:$D,'Hours Log'!$A:$A,"&gt;="&amp;$J1602,'Hours Log'!$A:$A,"&lt;"&amp;$J1602+7))</f>
        <v/>
      </c>
      <c r="E1602">
        <f>IF($J1602="","",IFERROR(C1602/(B1602*40),0))</f>
        <v/>
      </c>
      <c r="F1602">
        <f>IF($J1602="","",0)</f>
        <v/>
      </c>
      <c r="G1602">
        <f>IF($J1602="","",SUMIFS('Hours Log'!$E:$E,'Hours Log'!$A:$A,"&gt;="&amp;$J1602,'Hours Log'!$A:$A,"&lt;"&amp;$J1602+7))</f>
        <v/>
      </c>
      <c r="J1602">
        <f>IF(COUNT('Hours Log'!$A$4:$A$5000)=0,"",IF(MIN('Hours Log'!$A$4:$A$5000)+7*(ROW()-10)&gt;MAX('Hours Log'!$A$4:$A$5000),"",MIN('Hours Log'!$A$4:$A$5000)+7*(ROW()-10)))</f>
        <v/>
      </c>
    </row>
    <row r="1603">
      <c r="A1603">
        <f>IF($J1603="","",YEAR($J1603-WEEKDAY($J1603,2)+4)&amp;"-W"&amp;TEXT(WEEKNUM($J1603,21),"00"))</f>
        <v/>
      </c>
      <c r="B1603" s="41">
        <f>IF($J1603="","",COUNTIFS(Roster!$D$4:$D$500,"Active",Roster!$C$4:$C$500,"&lt;="&amp;$J1603))</f>
        <v/>
      </c>
      <c r="C1603">
        <f>IF($J1603="","",SUMIFS('Hours Log'!$C:$C,'Hours Log'!$A:$A,"&gt;="&amp;$J1603,'Hours Log'!$A:$A,"&lt;"&amp;$J1603+7)+SUMIFS('Hours Log'!$D:$D,'Hours Log'!$A:$A,"&gt;="&amp;$J1603,'Hours Log'!$A:$A,"&lt;"&amp;$J1603+7))</f>
        <v/>
      </c>
      <c r="D1603">
        <f>IF($J1603="","",SUMIFS('Hours Log'!$D:$D,'Hours Log'!$A:$A,"&gt;="&amp;$J1603,'Hours Log'!$A:$A,"&lt;"&amp;$J1603+7))</f>
        <v/>
      </c>
      <c r="E1603">
        <f>IF($J1603="","",IFERROR(C1603/(B1603*40),0))</f>
        <v/>
      </c>
      <c r="F1603">
        <f>IF($J1603="","",0)</f>
        <v/>
      </c>
      <c r="G1603">
        <f>IF($J1603="","",SUMIFS('Hours Log'!$E:$E,'Hours Log'!$A:$A,"&gt;="&amp;$J1603,'Hours Log'!$A:$A,"&lt;"&amp;$J1603+7))</f>
        <v/>
      </c>
      <c r="J1603">
        <f>IF(COUNT('Hours Log'!$A$4:$A$5000)=0,"",IF(MIN('Hours Log'!$A$4:$A$5000)+7*(ROW()-10)&gt;MAX('Hours Log'!$A$4:$A$5000),"",MIN('Hours Log'!$A$4:$A$5000)+7*(ROW()-10)))</f>
        <v/>
      </c>
    </row>
    <row r="1604">
      <c r="A1604">
        <f>IF($J1604="","",YEAR($J1604-WEEKDAY($J1604,2)+4)&amp;"-W"&amp;TEXT(WEEKNUM($J1604,21),"00"))</f>
        <v/>
      </c>
      <c r="B1604" s="41">
        <f>IF($J1604="","",COUNTIFS(Roster!$D$4:$D$500,"Active",Roster!$C$4:$C$500,"&lt;="&amp;$J1604))</f>
        <v/>
      </c>
      <c r="C1604">
        <f>IF($J1604="","",SUMIFS('Hours Log'!$C:$C,'Hours Log'!$A:$A,"&gt;="&amp;$J1604,'Hours Log'!$A:$A,"&lt;"&amp;$J1604+7)+SUMIFS('Hours Log'!$D:$D,'Hours Log'!$A:$A,"&gt;="&amp;$J1604,'Hours Log'!$A:$A,"&lt;"&amp;$J1604+7))</f>
        <v/>
      </c>
      <c r="D1604">
        <f>IF($J1604="","",SUMIFS('Hours Log'!$D:$D,'Hours Log'!$A:$A,"&gt;="&amp;$J1604,'Hours Log'!$A:$A,"&lt;"&amp;$J1604+7))</f>
        <v/>
      </c>
      <c r="E1604">
        <f>IF($J1604="","",IFERROR(C1604/(B1604*40),0))</f>
        <v/>
      </c>
      <c r="F1604">
        <f>IF($J1604="","",0)</f>
        <v/>
      </c>
      <c r="G1604">
        <f>IF($J1604="","",SUMIFS('Hours Log'!$E:$E,'Hours Log'!$A:$A,"&gt;="&amp;$J1604,'Hours Log'!$A:$A,"&lt;"&amp;$J1604+7))</f>
        <v/>
      </c>
      <c r="J1604">
        <f>IF(COUNT('Hours Log'!$A$4:$A$5000)=0,"",IF(MIN('Hours Log'!$A$4:$A$5000)+7*(ROW()-10)&gt;MAX('Hours Log'!$A$4:$A$5000),"",MIN('Hours Log'!$A$4:$A$5000)+7*(ROW()-10)))</f>
        <v/>
      </c>
    </row>
    <row r="1605">
      <c r="A1605">
        <f>IF($J1605="","",YEAR($J1605-WEEKDAY($J1605,2)+4)&amp;"-W"&amp;TEXT(WEEKNUM($J1605,21),"00"))</f>
        <v/>
      </c>
      <c r="B1605" s="41">
        <f>IF($J1605="","",COUNTIFS(Roster!$D$4:$D$500,"Active",Roster!$C$4:$C$500,"&lt;="&amp;$J1605))</f>
        <v/>
      </c>
      <c r="C1605">
        <f>IF($J1605="","",SUMIFS('Hours Log'!$C:$C,'Hours Log'!$A:$A,"&gt;="&amp;$J1605,'Hours Log'!$A:$A,"&lt;"&amp;$J1605+7)+SUMIFS('Hours Log'!$D:$D,'Hours Log'!$A:$A,"&gt;="&amp;$J1605,'Hours Log'!$A:$A,"&lt;"&amp;$J1605+7))</f>
        <v/>
      </c>
      <c r="D1605">
        <f>IF($J1605="","",SUMIFS('Hours Log'!$D:$D,'Hours Log'!$A:$A,"&gt;="&amp;$J1605,'Hours Log'!$A:$A,"&lt;"&amp;$J1605+7))</f>
        <v/>
      </c>
      <c r="E1605">
        <f>IF($J1605="","",IFERROR(C1605/(B1605*40),0))</f>
        <v/>
      </c>
      <c r="F1605">
        <f>IF($J1605="","",0)</f>
        <v/>
      </c>
      <c r="G1605">
        <f>IF($J1605="","",SUMIFS('Hours Log'!$E:$E,'Hours Log'!$A:$A,"&gt;="&amp;$J1605,'Hours Log'!$A:$A,"&lt;"&amp;$J1605+7))</f>
        <v/>
      </c>
      <c r="J1605">
        <f>IF(COUNT('Hours Log'!$A$4:$A$5000)=0,"",IF(MIN('Hours Log'!$A$4:$A$5000)+7*(ROW()-10)&gt;MAX('Hours Log'!$A$4:$A$5000),"",MIN('Hours Log'!$A$4:$A$5000)+7*(ROW()-10)))</f>
        <v/>
      </c>
    </row>
    <row r="1606">
      <c r="A1606">
        <f>IF($J1606="","",YEAR($J1606-WEEKDAY($J1606,2)+4)&amp;"-W"&amp;TEXT(WEEKNUM($J1606,21),"00"))</f>
        <v/>
      </c>
      <c r="B1606" s="41">
        <f>IF($J1606="","",COUNTIFS(Roster!$D$4:$D$500,"Active",Roster!$C$4:$C$500,"&lt;="&amp;$J1606))</f>
        <v/>
      </c>
      <c r="C1606">
        <f>IF($J1606="","",SUMIFS('Hours Log'!$C:$C,'Hours Log'!$A:$A,"&gt;="&amp;$J1606,'Hours Log'!$A:$A,"&lt;"&amp;$J1606+7)+SUMIFS('Hours Log'!$D:$D,'Hours Log'!$A:$A,"&gt;="&amp;$J1606,'Hours Log'!$A:$A,"&lt;"&amp;$J1606+7))</f>
        <v/>
      </c>
      <c r="D1606">
        <f>IF($J1606="","",SUMIFS('Hours Log'!$D:$D,'Hours Log'!$A:$A,"&gt;="&amp;$J1606,'Hours Log'!$A:$A,"&lt;"&amp;$J1606+7))</f>
        <v/>
      </c>
      <c r="E1606">
        <f>IF($J1606="","",IFERROR(C1606/(B1606*40),0))</f>
        <v/>
      </c>
      <c r="F1606">
        <f>IF($J1606="","",0)</f>
        <v/>
      </c>
      <c r="G1606">
        <f>IF($J1606="","",SUMIFS('Hours Log'!$E:$E,'Hours Log'!$A:$A,"&gt;="&amp;$J1606,'Hours Log'!$A:$A,"&lt;"&amp;$J1606+7))</f>
        <v/>
      </c>
      <c r="J1606">
        <f>IF(COUNT('Hours Log'!$A$4:$A$5000)=0,"",IF(MIN('Hours Log'!$A$4:$A$5000)+7*(ROW()-10)&gt;MAX('Hours Log'!$A$4:$A$5000),"",MIN('Hours Log'!$A$4:$A$5000)+7*(ROW()-10)))</f>
        <v/>
      </c>
    </row>
    <row r="1607">
      <c r="A1607">
        <f>IF($J1607="","",YEAR($J1607-WEEKDAY($J1607,2)+4)&amp;"-W"&amp;TEXT(WEEKNUM($J1607,21),"00"))</f>
        <v/>
      </c>
      <c r="B1607" s="41">
        <f>IF($J1607="","",COUNTIFS(Roster!$D$4:$D$500,"Active",Roster!$C$4:$C$500,"&lt;="&amp;$J1607))</f>
        <v/>
      </c>
      <c r="C1607">
        <f>IF($J1607="","",SUMIFS('Hours Log'!$C:$C,'Hours Log'!$A:$A,"&gt;="&amp;$J1607,'Hours Log'!$A:$A,"&lt;"&amp;$J1607+7)+SUMIFS('Hours Log'!$D:$D,'Hours Log'!$A:$A,"&gt;="&amp;$J1607,'Hours Log'!$A:$A,"&lt;"&amp;$J1607+7))</f>
        <v/>
      </c>
      <c r="D1607">
        <f>IF($J1607="","",SUMIFS('Hours Log'!$D:$D,'Hours Log'!$A:$A,"&gt;="&amp;$J1607,'Hours Log'!$A:$A,"&lt;"&amp;$J1607+7))</f>
        <v/>
      </c>
      <c r="E1607">
        <f>IF($J1607="","",IFERROR(C1607/(B1607*40),0))</f>
        <v/>
      </c>
      <c r="F1607">
        <f>IF($J1607="","",0)</f>
        <v/>
      </c>
      <c r="G1607">
        <f>IF($J1607="","",SUMIFS('Hours Log'!$E:$E,'Hours Log'!$A:$A,"&gt;="&amp;$J1607,'Hours Log'!$A:$A,"&lt;"&amp;$J1607+7))</f>
        <v/>
      </c>
      <c r="J1607">
        <f>IF(COUNT('Hours Log'!$A$4:$A$5000)=0,"",IF(MIN('Hours Log'!$A$4:$A$5000)+7*(ROW()-10)&gt;MAX('Hours Log'!$A$4:$A$5000),"",MIN('Hours Log'!$A$4:$A$5000)+7*(ROW()-10)))</f>
        <v/>
      </c>
    </row>
    <row r="1608">
      <c r="A1608">
        <f>IF($J1608="","",YEAR($J1608-WEEKDAY($J1608,2)+4)&amp;"-W"&amp;TEXT(WEEKNUM($J1608,21),"00"))</f>
        <v/>
      </c>
      <c r="B1608" s="41">
        <f>IF($J1608="","",COUNTIFS(Roster!$D$4:$D$500,"Active",Roster!$C$4:$C$500,"&lt;="&amp;$J1608))</f>
        <v/>
      </c>
      <c r="C1608">
        <f>IF($J1608="","",SUMIFS('Hours Log'!$C:$C,'Hours Log'!$A:$A,"&gt;="&amp;$J1608,'Hours Log'!$A:$A,"&lt;"&amp;$J1608+7)+SUMIFS('Hours Log'!$D:$D,'Hours Log'!$A:$A,"&gt;="&amp;$J1608,'Hours Log'!$A:$A,"&lt;"&amp;$J1608+7))</f>
        <v/>
      </c>
      <c r="D1608">
        <f>IF($J1608="","",SUMIFS('Hours Log'!$D:$D,'Hours Log'!$A:$A,"&gt;="&amp;$J1608,'Hours Log'!$A:$A,"&lt;"&amp;$J1608+7))</f>
        <v/>
      </c>
      <c r="E1608">
        <f>IF($J1608="","",IFERROR(C1608/(B1608*40),0))</f>
        <v/>
      </c>
      <c r="F1608">
        <f>IF($J1608="","",0)</f>
        <v/>
      </c>
      <c r="G1608">
        <f>IF($J1608="","",SUMIFS('Hours Log'!$E:$E,'Hours Log'!$A:$A,"&gt;="&amp;$J1608,'Hours Log'!$A:$A,"&lt;"&amp;$J1608+7))</f>
        <v/>
      </c>
      <c r="J1608">
        <f>IF(COUNT('Hours Log'!$A$4:$A$5000)=0,"",IF(MIN('Hours Log'!$A$4:$A$5000)+7*(ROW()-10)&gt;MAX('Hours Log'!$A$4:$A$5000),"",MIN('Hours Log'!$A$4:$A$5000)+7*(ROW()-10)))</f>
        <v/>
      </c>
    </row>
    <row r="1609">
      <c r="A1609">
        <f>IF($J1609="","",YEAR($J1609-WEEKDAY($J1609,2)+4)&amp;"-W"&amp;TEXT(WEEKNUM($J1609,21),"00"))</f>
        <v/>
      </c>
      <c r="B1609" s="41">
        <f>IF($J1609="","",COUNTIFS(Roster!$D$4:$D$500,"Active",Roster!$C$4:$C$500,"&lt;="&amp;$J1609))</f>
        <v/>
      </c>
      <c r="C1609">
        <f>IF($J1609="","",SUMIFS('Hours Log'!$C:$C,'Hours Log'!$A:$A,"&gt;="&amp;$J1609,'Hours Log'!$A:$A,"&lt;"&amp;$J1609+7)+SUMIFS('Hours Log'!$D:$D,'Hours Log'!$A:$A,"&gt;="&amp;$J1609,'Hours Log'!$A:$A,"&lt;"&amp;$J1609+7))</f>
        <v/>
      </c>
      <c r="D1609">
        <f>IF($J1609="","",SUMIFS('Hours Log'!$D:$D,'Hours Log'!$A:$A,"&gt;="&amp;$J1609,'Hours Log'!$A:$A,"&lt;"&amp;$J1609+7))</f>
        <v/>
      </c>
      <c r="E1609">
        <f>IF($J1609="","",IFERROR(C1609/(B1609*40),0))</f>
        <v/>
      </c>
      <c r="F1609">
        <f>IF($J1609="","",0)</f>
        <v/>
      </c>
      <c r="G1609">
        <f>IF($J1609="","",SUMIFS('Hours Log'!$E:$E,'Hours Log'!$A:$A,"&gt;="&amp;$J1609,'Hours Log'!$A:$A,"&lt;"&amp;$J1609+7))</f>
        <v/>
      </c>
      <c r="J1609">
        <f>IF(COUNT('Hours Log'!$A$4:$A$5000)=0,"",IF(MIN('Hours Log'!$A$4:$A$5000)+7*(ROW()-10)&gt;MAX('Hours Log'!$A$4:$A$5000),"",MIN('Hours Log'!$A$4:$A$5000)+7*(ROW()-10)))</f>
        <v/>
      </c>
    </row>
    <row r="1610">
      <c r="A1610">
        <f>IF($J1610="","",YEAR($J1610-WEEKDAY($J1610,2)+4)&amp;"-W"&amp;TEXT(WEEKNUM($J1610,21),"00"))</f>
        <v/>
      </c>
      <c r="B1610" s="41">
        <f>IF($J1610="","",COUNTIFS(Roster!$D$4:$D$500,"Active",Roster!$C$4:$C$500,"&lt;="&amp;$J1610))</f>
        <v/>
      </c>
      <c r="C1610">
        <f>IF($J1610="","",SUMIFS('Hours Log'!$C:$C,'Hours Log'!$A:$A,"&gt;="&amp;$J1610,'Hours Log'!$A:$A,"&lt;"&amp;$J1610+7)+SUMIFS('Hours Log'!$D:$D,'Hours Log'!$A:$A,"&gt;="&amp;$J1610,'Hours Log'!$A:$A,"&lt;"&amp;$J1610+7))</f>
        <v/>
      </c>
      <c r="D1610">
        <f>IF($J1610="","",SUMIFS('Hours Log'!$D:$D,'Hours Log'!$A:$A,"&gt;="&amp;$J1610,'Hours Log'!$A:$A,"&lt;"&amp;$J1610+7))</f>
        <v/>
      </c>
      <c r="E1610">
        <f>IF($J1610="","",IFERROR(C1610/(B1610*40),0))</f>
        <v/>
      </c>
      <c r="F1610">
        <f>IF($J1610="","",0)</f>
        <v/>
      </c>
      <c r="G1610">
        <f>IF($J1610="","",SUMIFS('Hours Log'!$E:$E,'Hours Log'!$A:$A,"&gt;="&amp;$J1610,'Hours Log'!$A:$A,"&lt;"&amp;$J1610+7))</f>
        <v/>
      </c>
      <c r="J1610">
        <f>IF(COUNT('Hours Log'!$A$4:$A$5000)=0,"",IF(MIN('Hours Log'!$A$4:$A$5000)+7*(ROW()-10)&gt;MAX('Hours Log'!$A$4:$A$5000),"",MIN('Hours Log'!$A$4:$A$5000)+7*(ROW()-10)))</f>
        <v/>
      </c>
    </row>
    <row r="1611">
      <c r="A1611">
        <f>IF($J1611="","",YEAR($J1611-WEEKDAY($J1611,2)+4)&amp;"-W"&amp;TEXT(WEEKNUM($J1611,21),"00"))</f>
        <v/>
      </c>
      <c r="B1611" s="41">
        <f>IF($J1611="","",COUNTIFS(Roster!$D$4:$D$500,"Active",Roster!$C$4:$C$500,"&lt;="&amp;$J1611))</f>
        <v/>
      </c>
      <c r="C1611">
        <f>IF($J1611="","",SUMIFS('Hours Log'!$C:$C,'Hours Log'!$A:$A,"&gt;="&amp;$J1611,'Hours Log'!$A:$A,"&lt;"&amp;$J1611+7)+SUMIFS('Hours Log'!$D:$D,'Hours Log'!$A:$A,"&gt;="&amp;$J1611,'Hours Log'!$A:$A,"&lt;"&amp;$J1611+7))</f>
        <v/>
      </c>
      <c r="D1611">
        <f>IF($J1611="","",SUMIFS('Hours Log'!$D:$D,'Hours Log'!$A:$A,"&gt;="&amp;$J1611,'Hours Log'!$A:$A,"&lt;"&amp;$J1611+7))</f>
        <v/>
      </c>
      <c r="E1611">
        <f>IF($J1611="","",IFERROR(C1611/(B1611*40),0))</f>
        <v/>
      </c>
      <c r="F1611">
        <f>IF($J1611="","",0)</f>
        <v/>
      </c>
      <c r="G1611">
        <f>IF($J1611="","",SUMIFS('Hours Log'!$E:$E,'Hours Log'!$A:$A,"&gt;="&amp;$J1611,'Hours Log'!$A:$A,"&lt;"&amp;$J1611+7))</f>
        <v/>
      </c>
      <c r="J1611">
        <f>IF(COUNT('Hours Log'!$A$4:$A$5000)=0,"",IF(MIN('Hours Log'!$A$4:$A$5000)+7*(ROW()-10)&gt;MAX('Hours Log'!$A$4:$A$5000),"",MIN('Hours Log'!$A$4:$A$5000)+7*(ROW()-10)))</f>
        <v/>
      </c>
    </row>
    <row r="1612">
      <c r="A1612">
        <f>IF($J1612="","",YEAR($J1612-WEEKDAY($J1612,2)+4)&amp;"-W"&amp;TEXT(WEEKNUM($J1612,21),"00"))</f>
        <v/>
      </c>
      <c r="B1612" s="41">
        <f>IF($J1612="","",COUNTIFS(Roster!$D$4:$D$500,"Active",Roster!$C$4:$C$500,"&lt;="&amp;$J1612))</f>
        <v/>
      </c>
      <c r="C1612">
        <f>IF($J1612="","",SUMIFS('Hours Log'!$C:$C,'Hours Log'!$A:$A,"&gt;="&amp;$J1612,'Hours Log'!$A:$A,"&lt;"&amp;$J1612+7)+SUMIFS('Hours Log'!$D:$D,'Hours Log'!$A:$A,"&gt;="&amp;$J1612,'Hours Log'!$A:$A,"&lt;"&amp;$J1612+7))</f>
        <v/>
      </c>
      <c r="D1612">
        <f>IF($J1612="","",SUMIFS('Hours Log'!$D:$D,'Hours Log'!$A:$A,"&gt;="&amp;$J1612,'Hours Log'!$A:$A,"&lt;"&amp;$J1612+7))</f>
        <v/>
      </c>
      <c r="E1612">
        <f>IF($J1612="","",IFERROR(C1612/(B1612*40),0))</f>
        <v/>
      </c>
      <c r="F1612">
        <f>IF($J1612="","",0)</f>
        <v/>
      </c>
      <c r="G1612">
        <f>IF($J1612="","",SUMIFS('Hours Log'!$E:$E,'Hours Log'!$A:$A,"&gt;="&amp;$J1612,'Hours Log'!$A:$A,"&lt;"&amp;$J1612+7))</f>
        <v/>
      </c>
      <c r="J1612">
        <f>IF(COUNT('Hours Log'!$A$4:$A$5000)=0,"",IF(MIN('Hours Log'!$A$4:$A$5000)+7*(ROW()-10)&gt;MAX('Hours Log'!$A$4:$A$5000),"",MIN('Hours Log'!$A$4:$A$5000)+7*(ROW()-10)))</f>
        <v/>
      </c>
    </row>
    <row r="1613">
      <c r="A1613">
        <f>IF($J1613="","",YEAR($J1613-WEEKDAY($J1613,2)+4)&amp;"-W"&amp;TEXT(WEEKNUM($J1613,21),"00"))</f>
        <v/>
      </c>
      <c r="B1613" s="41">
        <f>IF($J1613="","",COUNTIFS(Roster!$D$4:$D$500,"Active",Roster!$C$4:$C$500,"&lt;="&amp;$J1613))</f>
        <v/>
      </c>
      <c r="C1613">
        <f>IF($J1613="","",SUMIFS('Hours Log'!$C:$C,'Hours Log'!$A:$A,"&gt;="&amp;$J1613,'Hours Log'!$A:$A,"&lt;"&amp;$J1613+7)+SUMIFS('Hours Log'!$D:$D,'Hours Log'!$A:$A,"&gt;="&amp;$J1613,'Hours Log'!$A:$A,"&lt;"&amp;$J1613+7))</f>
        <v/>
      </c>
      <c r="D1613">
        <f>IF($J1613="","",SUMIFS('Hours Log'!$D:$D,'Hours Log'!$A:$A,"&gt;="&amp;$J1613,'Hours Log'!$A:$A,"&lt;"&amp;$J1613+7))</f>
        <v/>
      </c>
      <c r="E1613">
        <f>IF($J1613="","",IFERROR(C1613/(B1613*40),0))</f>
        <v/>
      </c>
      <c r="F1613">
        <f>IF($J1613="","",0)</f>
        <v/>
      </c>
      <c r="G1613">
        <f>IF($J1613="","",SUMIFS('Hours Log'!$E:$E,'Hours Log'!$A:$A,"&gt;="&amp;$J1613,'Hours Log'!$A:$A,"&lt;"&amp;$J1613+7))</f>
        <v/>
      </c>
      <c r="J1613">
        <f>IF(COUNT('Hours Log'!$A$4:$A$5000)=0,"",IF(MIN('Hours Log'!$A$4:$A$5000)+7*(ROW()-10)&gt;MAX('Hours Log'!$A$4:$A$5000),"",MIN('Hours Log'!$A$4:$A$5000)+7*(ROW()-10)))</f>
        <v/>
      </c>
    </row>
    <row r="1614">
      <c r="A1614">
        <f>IF($J1614="","",YEAR($J1614-WEEKDAY($J1614,2)+4)&amp;"-W"&amp;TEXT(WEEKNUM($J1614,21),"00"))</f>
        <v/>
      </c>
      <c r="B1614" s="41">
        <f>IF($J1614="","",COUNTIFS(Roster!$D$4:$D$500,"Active",Roster!$C$4:$C$500,"&lt;="&amp;$J1614))</f>
        <v/>
      </c>
      <c r="C1614">
        <f>IF($J1614="","",SUMIFS('Hours Log'!$C:$C,'Hours Log'!$A:$A,"&gt;="&amp;$J1614,'Hours Log'!$A:$A,"&lt;"&amp;$J1614+7)+SUMIFS('Hours Log'!$D:$D,'Hours Log'!$A:$A,"&gt;="&amp;$J1614,'Hours Log'!$A:$A,"&lt;"&amp;$J1614+7))</f>
        <v/>
      </c>
      <c r="D1614">
        <f>IF($J1614="","",SUMIFS('Hours Log'!$D:$D,'Hours Log'!$A:$A,"&gt;="&amp;$J1614,'Hours Log'!$A:$A,"&lt;"&amp;$J1614+7))</f>
        <v/>
      </c>
      <c r="E1614">
        <f>IF($J1614="","",IFERROR(C1614/(B1614*40),0))</f>
        <v/>
      </c>
      <c r="F1614">
        <f>IF($J1614="","",0)</f>
        <v/>
      </c>
      <c r="G1614">
        <f>IF($J1614="","",SUMIFS('Hours Log'!$E:$E,'Hours Log'!$A:$A,"&gt;="&amp;$J1614,'Hours Log'!$A:$A,"&lt;"&amp;$J1614+7))</f>
        <v/>
      </c>
      <c r="J1614">
        <f>IF(COUNT('Hours Log'!$A$4:$A$5000)=0,"",IF(MIN('Hours Log'!$A$4:$A$5000)+7*(ROW()-10)&gt;MAX('Hours Log'!$A$4:$A$5000),"",MIN('Hours Log'!$A$4:$A$5000)+7*(ROW()-10)))</f>
        <v/>
      </c>
    </row>
    <row r="1615">
      <c r="A1615">
        <f>IF($J1615="","",YEAR($J1615-WEEKDAY($J1615,2)+4)&amp;"-W"&amp;TEXT(WEEKNUM($J1615,21),"00"))</f>
        <v/>
      </c>
      <c r="B1615" s="41">
        <f>IF($J1615="","",COUNTIFS(Roster!$D$4:$D$500,"Active",Roster!$C$4:$C$500,"&lt;="&amp;$J1615))</f>
        <v/>
      </c>
      <c r="C1615">
        <f>IF($J1615="","",SUMIFS('Hours Log'!$C:$C,'Hours Log'!$A:$A,"&gt;="&amp;$J1615,'Hours Log'!$A:$A,"&lt;"&amp;$J1615+7)+SUMIFS('Hours Log'!$D:$D,'Hours Log'!$A:$A,"&gt;="&amp;$J1615,'Hours Log'!$A:$A,"&lt;"&amp;$J1615+7))</f>
        <v/>
      </c>
      <c r="D1615">
        <f>IF($J1615="","",SUMIFS('Hours Log'!$D:$D,'Hours Log'!$A:$A,"&gt;="&amp;$J1615,'Hours Log'!$A:$A,"&lt;"&amp;$J1615+7))</f>
        <v/>
      </c>
      <c r="E1615">
        <f>IF($J1615="","",IFERROR(C1615/(B1615*40),0))</f>
        <v/>
      </c>
      <c r="F1615">
        <f>IF($J1615="","",0)</f>
        <v/>
      </c>
      <c r="G1615">
        <f>IF($J1615="","",SUMIFS('Hours Log'!$E:$E,'Hours Log'!$A:$A,"&gt;="&amp;$J1615,'Hours Log'!$A:$A,"&lt;"&amp;$J1615+7))</f>
        <v/>
      </c>
      <c r="J1615">
        <f>IF(COUNT('Hours Log'!$A$4:$A$5000)=0,"",IF(MIN('Hours Log'!$A$4:$A$5000)+7*(ROW()-10)&gt;MAX('Hours Log'!$A$4:$A$5000),"",MIN('Hours Log'!$A$4:$A$5000)+7*(ROW()-10)))</f>
        <v/>
      </c>
    </row>
    <row r="1616">
      <c r="A1616">
        <f>IF($J1616="","",YEAR($J1616-WEEKDAY($J1616,2)+4)&amp;"-W"&amp;TEXT(WEEKNUM($J1616,21),"00"))</f>
        <v/>
      </c>
      <c r="B1616" s="41">
        <f>IF($J1616="","",COUNTIFS(Roster!$D$4:$D$500,"Active",Roster!$C$4:$C$500,"&lt;="&amp;$J1616))</f>
        <v/>
      </c>
      <c r="C1616">
        <f>IF($J1616="","",SUMIFS('Hours Log'!$C:$C,'Hours Log'!$A:$A,"&gt;="&amp;$J1616,'Hours Log'!$A:$A,"&lt;"&amp;$J1616+7)+SUMIFS('Hours Log'!$D:$D,'Hours Log'!$A:$A,"&gt;="&amp;$J1616,'Hours Log'!$A:$A,"&lt;"&amp;$J1616+7))</f>
        <v/>
      </c>
      <c r="D1616">
        <f>IF($J1616="","",SUMIFS('Hours Log'!$D:$D,'Hours Log'!$A:$A,"&gt;="&amp;$J1616,'Hours Log'!$A:$A,"&lt;"&amp;$J1616+7))</f>
        <v/>
      </c>
      <c r="E1616">
        <f>IF($J1616="","",IFERROR(C1616/(B1616*40),0))</f>
        <v/>
      </c>
      <c r="F1616">
        <f>IF($J1616="","",0)</f>
        <v/>
      </c>
      <c r="G1616">
        <f>IF($J1616="","",SUMIFS('Hours Log'!$E:$E,'Hours Log'!$A:$A,"&gt;="&amp;$J1616,'Hours Log'!$A:$A,"&lt;"&amp;$J1616+7))</f>
        <v/>
      </c>
      <c r="J1616">
        <f>IF(COUNT('Hours Log'!$A$4:$A$5000)=0,"",IF(MIN('Hours Log'!$A$4:$A$5000)+7*(ROW()-10)&gt;MAX('Hours Log'!$A$4:$A$5000),"",MIN('Hours Log'!$A$4:$A$5000)+7*(ROW()-10)))</f>
        <v/>
      </c>
    </row>
    <row r="1617">
      <c r="A1617">
        <f>IF($J1617="","",YEAR($J1617-WEEKDAY($J1617,2)+4)&amp;"-W"&amp;TEXT(WEEKNUM($J1617,21),"00"))</f>
        <v/>
      </c>
      <c r="B1617" s="41">
        <f>IF($J1617="","",COUNTIFS(Roster!$D$4:$D$500,"Active",Roster!$C$4:$C$500,"&lt;="&amp;$J1617))</f>
        <v/>
      </c>
      <c r="C1617">
        <f>IF($J1617="","",SUMIFS('Hours Log'!$C:$C,'Hours Log'!$A:$A,"&gt;="&amp;$J1617,'Hours Log'!$A:$A,"&lt;"&amp;$J1617+7)+SUMIFS('Hours Log'!$D:$D,'Hours Log'!$A:$A,"&gt;="&amp;$J1617,'Hours Log'!$A:$A,"&lt;"&amp;$J1617+7))</f>
        <v/>
      </c>
      <c r="D1617">
        <f>IF($J1617="","",SUMIFS('Hours Log'!$D:$D,'Hours Log'!$A:$A,"&gt;="&amp;$J1617,'Hours Log'!$A:$A,"&lt;"&amp;$J1617+7))</f>
        <v/>
      </c>
      <c r="E1617">
        <f>IF($J1617="","",IFERROR(C1617/(B1617*40),0))</f>
        <v/>
      </c>
      <c r="F1617">
        <f>IF($J1617="","",0)</f>
        <v/>
      </c>
      <c r="G1617">
        <f>IF($J1617="","",SUMIFS('Hours Log'!$E:$E,'Hours Log'!$A:$A,"&gt;="&amp;$J1617,'Hours Log'!$A:$A,"&lt;"&amp;$J1617+7))</f>
        <v/>
      </c>
      <c r="J1617">
        <f>IF(COUNT('Hours Log'!$A$4:$A$5000)=0,"",IF(MIN('Hours Log'!$A$4:$A$5000)+7*(ROW()-10)&gt;MAX('Hours Log'!$A$4:$A$5000),"",MIN('Hours Log'!$A$4:$A$5000)+7*(ROW()-10)))</f>
        <v/>
      </c>
    </row>
    <row r="1618">
      <c r="A1618">
        <f>IF($J1618="","",YEAR($J1618-WEEKDAY($J1618,2)+4)&amp;"-W"&amp;TEXT(WEEKNUM($J1618,21),"00"))</f>
        <v/>
      </c>
      <c r="B1618" s="41">
        <f>IF($J1618="","",COUNTIFS(Roster!$D$4:$D$500,"Active",Roster!$C$4:$C$500,"&lt;="&amp;$J1618))</f>
        <v/>
      </c>
      <c r="C1618">
        <f>IF($J1618="","",SUMIFS('Hours Log'!$C:$C,'Hours Log'!$A:$A,"&gt;="&amp;$J1618,'Hours Log'!$A:$A,"&lt;"&amp;$J1618+7)+SUMIFS('Hours Log'!$D:$D,'Hours Log'!$A:$A,"&gt;="&amp;$J1618,'Hours Log'!$A:$A,"&lt;"&amp;$J1618+7))</f>
        <v/>
      </c>
      <c r="D1618">
        <f>IF($J1618="","",SUMIFS('Hours Log'!$D:$D,'Hours Log'!$A:$A,"&gt;="&amp;$J1618,'Hours Log'!$A:$A,"&lt;"&amp;$J1618+7))</f>
        <v/>
      </c>
      <c r="E1618">
        <f>IF($J1618="","",IFERROR(C1618/(B1618*40),0))</f>
        <v/>
      </c>
      <c r="F1618">
        <f>IF($J1618="","",0)</f>
        <v/>
      </c>
      <c r="G1618">
        <f>IF($J1618="","",SUMIFS('Hours Log'!$E:$E,'Hours Log'!$A:$A,"&gt;="&amp;$J1618,'Hours Log'!$A:$A,"&lt;"&amp;$J1618+7))</f>
        <v/>
      </c>
      <c r="J1618">
        <f>IF(COUNT('Hours Log'!$A$4:$A$5000)=0,"",IF(MIN('Hours Log'!$A$4:$A$5000)+7*(ROW()-10)&gt;MAX('Hours Log'!$A$4:$A$5000),"",MIN('Hours Log'!$A$4:$A$5000)+7*(ROW()-10)))</f>
        <v/>
      </c>
    </row>
    <row r="1619">
      <c r="A1619">
        <f>IF($J1619="","",YEAR($J1619-WEEKDAY($J1619,2)+4)&amp;"-W"&amp;TEXT(WEEKNUM($J1619,21),"00"))</f>
        <v/>
      </c>
      <c r="B1619" s="41">
        <f>IF($J1619="","",COUNTIFS(Roster!$D$4:$D$500,"Active",Roster!$C$4:$C$500,"&lt;="&amp;$J1619))</f>
        <v/>
      </c>
      <c r="C1619">
        <f>IF($J1619="","",SUMIFS('Hours Log'!$C:$C,'Hours Log'!$A:$A,"&gt;="&amp;$J1619,'Hours Log'!$A:$A,"&lt;"&amp;$J1619+7)+SUMIFS('Hours Log'!$D:$D,'Hours Log'!$A:$A,"&gt;="&amp;$J1619,'Hours Log'!$A:$A,"&lt;"&amp;$J1619+7))</f>
        <v/>
      </c>
      <c r="D1619">
        <f>IF($J1619="","",SUMIFS('Hours Log'!$D:$D,'Hours Log'!$A:$A,"&gt;="&amp;$J1619,'Hours Log'!$A:$A,"&lt;"&amp;$J1619+7))</f>
        <v/>
      </c>
      <c r="E1619">
        <f>IF($J1619="","",IFERROR(C1619/(B1619*40),0))</f>
        <v/>
      </c>
      <c r="F1619">
        <f>IF($J1619="","",0)</f>
        <v/>
      </c>
      <c r="G1619">
        <f>IF($J1619="","",SUMIFS('Hours Log'!$E:$E,'Hours Log'!$A:$A,"&gt;="&amp;$J1619,'Hours Log'!$A:$A,"&lt;"&amp;$J1619+7))</f>
        <v/>
      </c>
      <c r="J1619">
        <f>IF(COUNT('Hours Log'!$A$4:$A$5000)=0,"",IF(MIN('Hours Log'!$A$4:$A$5000)+7*(ROW()-10)&gt;MAX('Hours Log'!$A$4:$A$5000),"",MIN('Hours Log'!$A$4:$A$5000)+7*(ROW()-10)))</f>
        <v/>
      </c>
    </row>
    <row r="1620">
      <c r="A1620">
        <f>IF($J1620="","",YEAR($J1620-WEEKDAY($J1620,2)+4)&amp;"-W"&amp;TEXT(WEEKNUM($J1620,21),"00"))</f>
        <v/>
      </c>
      <c r="B1620" s="41">
        <f>IF($J1620="","",COUNTIFS(Roster!$D$4:$D$500,"Active",Roster!$C$4:$C$500,"&lt;="&amp;$J1620))</f>
        <v/>
      </c>
      <c r="C1620">
        <f>IF($J1620="","",SUMIFS('Hours Log'!$C:$C,'Hours Log'!$A:$A,"&gt;="&amp;$J1620,'Hours Log'!$A:$A,"&lt;"&amp;$J1620+7)+SUMIFS('Hours Log'!$D:$D,'Hours Log'!$A:$A,"&gt;="&amp;$J1620,'Hours Log'!$A:$A,"&lt;"&amp;$J1620+7))</f>
        <v/>
      </c>
      <c r="D1620">
        <f>IF($J1620="","",SUMIFS('Hours Log'!$D:$D,'Hours Log'!$A:$A,"&gt;="&amp;$J1620,'Hours Log'!$A:$A,"&lt;"&amp;$J1620+7))</f>
        <v/>
      </c>
      <c r="E1620">
        <f>IF($J1620="","",IFERROR(C1620/(B1620*40),0))</f>
        <v/>
      </c>
      <c r="F1620">
        <f>IF($J1620="","",0)</f>
        <v/>
      </c>
      <c r="G1620">
        <f>IF($J1620="","",SUMIFS('Hours Log'!$E:$E,'Hours Log'!$A:$A,"&gt;="&amp;$J1620,'Hours Log'!$A:$A,"&lt;"&amp;$J1620+7))</f>
        <v/>
      </c>
      <c r="J1620">
        <f>IF(COUNT('Hours Log'!$A$4:$A$5000)=0,"",IF(MIN('Hours Log'!$A$4:$A$5000)+7*(ROW()-10)&gt;MAX('Hours Log'!$A$4:$A$5000),"",MIN('Hours Log'!$A$4:$A$5000)+7*(ROW()-10)))</f>
        <v/>
      </c>
    </row>
    <row r="1621">
      <c r="A1621">
        <f>IF($J1621="","",YEAR($J1621-WEEKDAY($J1621,2)+4)&amp;"-W"&amp;TEXT(WEEKNUM($J1621,21),"00"))</f>
        <v/>
      </c>
      <c r="B1621" s="41">
        <f>IF($J1621="","",COUNTIFS(Roster!$D$4:$D$500,"Active",Roster!$C$4:$C$500,"&lt;="&amp;$J1621))</f>
        <v/>
      </c>
      <c r="C1621">
        <f>IF($J1621="","",SUMIFS('Hours Log'!$C:$C,'Hours Log'!$A:$A,"&gt;="&amp;$J1621,'Hours Log'!$A:$A,"&lt;"&amp;$J1621+7)+SUMIFS('Hours Log'!$D:$D,'Hours Log'!$A:$A,"&gt;="&amp;$J1621,'Hours Log'!$A:$A,"&lt;"&amp;$J1621+7))</f>
        <v/>
      </c>
      <c r="D1621">
        <f>IF($J1621="","",SUMIFS('Hours Log'!$D:$D,'Hours Log'!$A:$A,"&gt;="&amp;$J1621,'Hours Log'!$A:$A,"&lt;"&amp;$J1621+7))</f>
        <v/>
      </c>
      <c r="E1621">
        <f>IF($J1621="","",IFERROR(C1621/(B1621*40),0))</f>
        <v/>
      </c>
      <c r="F1621">
        <f>IF($J1621="","",0)</f>
        <v/>
      </c>
      <c r="G1621">
        <f>IF($J1621="","",SUMIFS('Hours Log'!$E:$E,'Hours Log'!$A:$A,"&gt;="&amp;$J1621,'Hours Log'!$A:$A,"&lt;"&amp;$J1621+7))</f>
        <v/>
      </c>
      <c r="J1621">
        <f>IF(COUNT('Hours Log'!$A$4:$A$5000)=0,"",IF(MIN('Hours Log'!$A$4:$A$5000)+7*(ROW()-10)&gt;MAX('Hours Log'!$A$4:$A$5000),"",MIN('Hours Log'!$A$4:$A$5000)+7*(ROW()-10)))</f>
        <v/>
      </c>
    </row>
    <row r="1622">
      <c r="A1622">
        <f>IF($J1622="","",YEAR($J1622-WEEKDAY($J1622,2)+4)&amp;"-W"&amp;TEXT(WEEKNUM($J1622,21),"00"))</f>
        <v/>
      </c>
      <c r="B1622" s="41">
        <f>IF($J1622="","",COUNTIFS(Roster!$D$4:$D$500,"Active",Roster!$C$4:$C$500,"&lt;="&amp;$J1622))</f>
        <v/>
      </c>
      <c r="C1622">
        <f>IF($J1622="","",SUMIFS('Hours Log'!$C:$C,'Hours Log'!$A:$A,"&gt;="&amp;$J1622,'Hours Log'!$A:$A,"&lt;"&amp;$J1622+7)+SUMIFS('Hours Log'!$D:$D,'Hours Log'!$A:$A,"&gt;="&amp;$J1622,'Hours Log'!$A:$A,"&lt;"&amp;$J1622+7))</f>
        <v/>
      </c>
      <c r="D1622">
        <f>IF($J1622="","",SUMIFS('Hours Log'!$D:$D,'Hours Log'!$A:$A,"&gt;="&amp;$J1622,'Hours Log'!$A:$A,"&lt;"&amp;$J1622+7))</f>
        <v/>
      </c>
      <c r="E1622">
        <f>IF($J1622="","",IFERROR(C1622/(B1622*40),0))</f>
        <v/>
      </c>
      <c r="F1622">
        <f>IF($J1622="","",0)</f>
        <v/>
      </c>
      <c r="G1622">
        <f>IF($J1622="","",SUMIFS('Hours Log'!$E:$E,'Hours Log'!$A:$A,"&gt;="&amp;$J1622,'Hours Log'!$A:$A,"&lt;"&amp;$J1622+7))</f>
        <v/>
      </c>
      <c r="J1622">
        <f>IF(COUNT('Hours Log'!$A$4:$A$5000)=0,"",IF(MIN('Hours Log'!$A$4:$A$5000)+7*(ROW()-10)&gt;MAX('Hours Log'!$A$4:$A$5000),"",MIN('Hours Log'!$A$4:$A$5000)+7*(ROW()-10)))</f>
        <v/>
      </c>
    </row>
    <row r="1623">
      <c r="A1623">
        <f>IF($J1623="","",YEAR($J1623-WEEKDAY($J1623,2)+4)&amp;"-W"&amp;TEXT(WEEKNUM($J1623,21),"00"))</f>
        <v/>
      </c>
      <c r="B1623" s="41">
        <f>IF($J1623="","",COUNTIFS(Roster!$D$4:$D$500,"Active",Roster!$C$4:$C$500,"&lt;="&amp;$J1623))</f>
        <v/>
      </c>
      <c r="C1623">
        <f>IF($J1623="","",SUMIFS('Hours Log'!$C:$C,'Hours Log'!$A:$A,"&gt;="&amp;$J1623,'Hours Log'!$A:$A,"&lt;"&amp;$J1623+7)+SUMIFS('Hours Log'!$D:$D,'Hours Log'!$A:$A,"&gt;="&amp;$J1623,'Hours Log'!$A:$A,"&lt;"&amp;$J1623+7))</f>
        <v/>
      </c>
      <c r="D1623">
        <f>IF($J1623="","",SUMIFS('Hours Log'!$D:$D,'Hours Log'!$A:$A,"&gt;="&amp;$J1623,'Hours Log'!$A:$A,"&lt;"&amp;$J1623+7))</f>
        <v/>
      </c>
      <c r="E1623">
        <f>IF($J1623="","",IFERROR(C1623/(B1623*40),0))</f>
        <v/>
      </c>
      <c r="F1623">
        <f>IF($J1623="","",0)</f>
        <v/>
      </c>
      <c r="G1623">
        <f>IF($J1623="","",SUMIFS('Hours Log'!$E:$E,'Hours Log'!$A:$A,"&gt;="&amp;$J1623,'Hours Log'!$A:$A,"&lt;"&amp;$J1623+7))</f>
        <v/>
      </c>
      <c r="J1623">
        <f>IF(COUNT('Hours Log'!$A$4:$A$5000)=0,"",IF(MIN('Hours Log'!$A$4:$A$5000)+7*(ROW()-10)&gt;MAX('Hours Log'!$A$4:$A$5000),"",MIN('Hours Log'!$A$4:$A$5000)+7*(ROW()-10)))</f>
        <v/>
      </c>
    </row>
    <row r="1624">
      <c r="A1624">
        <f>IF($J1624="","",YEAR($J1624-WEEKDAY($J1624,2)+4)&amp;"-W"&amp;TEXT(WEEKNUM($J1624,21),"00"))</f>
        <v/>
      </c>
      <c r="B1624" s="41">
        <f>IF($J1624="","",COUNTIFS(Roster!$D$4:$D$500,"Active",Roster!$C$4:$C$500,"&lt;="&amp;$J1624))</f>
        <v/>
      </c>
      <c r="C1624">
        <f>IF($J1624="","",SUMIFS('Hours Log'!$C:$C,'Hours Log'!$A:$A,"&gt;="&amp;$J1624,'Hours Log'!$A:$A,"&lt;"&amp;$J1624+7)+SUMIFS('Hours Log'!$D:$D,'Hours Log'!$A:$A,"&gt;="&amp;$J1624,'Hours Log'!$A:$A,"&lt;"&amp;$J1624+7))</f>
        <v/>
      </c>
      <c r="D1624">
        <f>IF($J1624="","",SUMIFS('Hours Log'!$D:$D,'Hours Log'!$A:$A,"&gt;="&amp;$J1624,'Hours Log'!$A:$A,"&lt;"&amp;$J1624+7))</f>
        <v/>
      </c>
      <c r="E1624">
        <f>IF($J1624="","",IFERROR(C1624/(B1624*40),0))</f>
        <v/>
      </c>
      <c r="F1624">
        <f>IF($J1624="","",0)</f>
        <v/>
      </c>
      <c r="G1624">
        <f>IF($J1624="","",SUMIFS('Hours Log'!$E:$E,'Hours Log'!$A:$A,"&gt;="&amp;$J1624,'Hours Log'!$A:$A,"&lt;"&amp;$J1624+7))</f>
        <v/>
      </c>
      <c r="J1624">
        <f>IF(COUNT('Hours Log'!$A$4:$A$5000)=0,"",IF(MIN('Hours Log'!$A$4:$A$5000)+7*(ROW()-10)&gt;MAX('Hours Log'!$A$4:$A$5000),"",MIN('Hours Log'!$A$4:$A$5000)+7*(ROW()-10)))</f>
        <v/>
      </c>
    </row>
    <row r="1625">
      <c r="A1625">
        <f>IF($J1625="","",YEAR($J1625-WEEKDAY($J1625,2)+4)&amp;"-W"&amp;TEXT(WEEKNUM($J1625,21),"00"))</f>
        <v/>
      </c>
      <c r="B1625" s="41">
        <f>IF($J1625="","",COUNTIFS(Roster!$D$4:$D$500,"Active",Roster!$C$4:$C$500,"&lt;="&amp;$J1625))</f>
        <v/>
      </c>
      <c r="C1625">
        <f>IF($J1625="","",SUMIFS('Hours Log'!$C:$C,'Hours Log'!$A:$A,"&gt;="&amp;$J1625,'Hours Log'!$A:$A,"&lt;"&amp;$J1625+7)+SUMIFS('Hours Log'!$D:$D,'Hours Log'!$A:$A,"&gt;="&amp;$J1625,'Hours Log'!$A:$A,"&lt;"&amp;$J1625+7))</f>
        <v/>
      </c>
      <c r="D1625">
        <f>IF($J1625="","",SUMIFS('Hours Log'!$D:$D,'Hours Log'!$A:$A,"&gt;="&amp;$J1625,'Hours Log'!$A:$A,"&lt;"&amp;$J1625+7))</f>
        <v/>
      </c>
      <c r="E1625">
        <f>IF($J1625="","",IFERROR(C1625/(B1625*40),0))</f>
        <v/>
      </c>
      <c r="F1625">
        <f>IF($J1625="","",0)</f>
        <v/>
      </c>
      <c r="G1625">
        <f>IF($J1625="","",SUMIFS('Hours Log'!$E:$E,'Hours Log'!$A:$A,"&gt;="&amp;$J1625,'Hours Log'!$A:$A,"&lt;"&amp;$J1625+7))</f>
        <v/>
      </c>
      <c r="J1625">
        <f>IF(COUNT('Hours Log'!$A$4:$A$5000)=0,"",IF(MIN('Hours Log'!$A$4:$A$5000)+7*(ROW()-10)&gt;MAX('Hours Log'!$A$4:$A$5000),"",MIN('Hours Log'!$A$4:$A$5000)+7*(ROW()-10)))</f>
        <v/>
      </c>
    </row>
    <row r="1626">
      <c r="A1626">
        <f>IF($J1626="","",YEAR($J1626-WEEKDAY($J1626,2)+4)&amp;"-W"&amp;TEXT(WEEKNUM($J1626,21),"00"))</f>
        <v/>
      </c>
      <c r="B1626" s="41">
        <f>IF($J1626="","",COUNTIFS(Roster!$D$4:$D$500,"Active",Roster!$C$4:$C$500,"&lt;="&amp;$J1626))</f>
        <v/>
      </c>
      <c r="C1626">
        <f>IF($J1626="","",SUMIFS('Hours Log'!$C:$C,'Hours Log'!$A:$A,"&gt;="&amp;$J1626,'Hours Log'!$A:$A,"&lt;"&amp;$J1626+7)+SUMIFS('Hours Log'!$D:$D,'Hours Log'!$A:$A,"&gt;="&amp;$J1626,'Hours Log'!$A:$A,"&lt;"&amp;$J1626+7))</f>
        <v/>
      </c>
      <c r="D1626">
        <f>IF($J1626="","",SUMIFS('Hours Log'!$D:$D,'Hours Log'!$A:$A,"&gt;="&amp;$J1626,'Hours Log'!$A:$A,"&lt;"&amp;$J1626+7))</f>
        <v/>
      </c>
      <c r="E1626">
        <f>IF($J1626="","",IFERROR(C1626/(B1626*40),0))</f>
        <v/>
      </c>
      <c r="F1626">
        <f>IF($J1626="","",0)</f>
        <v/>
      </c>
      <c r="G1626">
        <f>IF($J1626="","",SUMIFS('Hours Log'!$E:$E,'Hours Log'!$A:$A,"&gt;="&amp;$J1626,'Hours Log'!$A:$A,"&lt;"&amp;$J1626+7))</f>
        <v/>
      </c>
      <c r="J1626">
        <f>IF(COUNT('Hours Log'!$A$4:$A$5000)=0,"",IF(MIN('Hours Log'!$A$4:$A$5000)+7*(ROW()-10)&gt;MAX('Hours Log'!$A$4:$A$5000),"",MIN('Hours Log'!$A$4:$A$5000)+7*(ROW()-10)))</f>
        <v/>
      </c>
    </row>
    <row r="1627">
      <c r="A1627">
        <f>IF($J1627="","",YEAR($J1627-WEEKDAY($J1627,2)+4)&amp;"-W"&amp;TEXT(WEEKNUM($J1627,21),"00"))</f>
        <v/>
      </c>
      <c r="B1627" s="41">
        <f>IF($J1627="","",COUNTIFS(Roster!$D$4:$D$500,"Active",Roster!$C$4:$C$500,"&lt;="&amp;$J1627))</f>
        <v/>
      </c>
      <c r="C1627">
        <f>IF($J1627="","",SUMIFS('Hours Log'!$C:$C,'Hours Log'!$A:$A,"&gt;="&amp;$J1627,'Hours Log'!$A:$A,"&lt;"&amp;$J1627+7)+SUMIFS('Hours Log'!$D:$D,'Hours Log'!$A:$A,"&gt;="&amp;$J1627,'Hours Log'!$A:$A,"&lt;"&amp;$J1627+7))</f>
        <v/>
      </c>
      <c r="D1627">
        <f>IF($J1627="","",SUMIFS('Hours Log'!$D:$D,'Hours Log'!$A:$A,"&gt;="&amp;$J1627,'Hours Log'!$A:$A,"&lt;"&amp;$J1627+7))</f>
        <v/>
      </c>
      <c r="E1627">
        <f>IF($J1627="","",IFERROR(C1627/(B1627*40),0))</f>
        <v/>
      </c>
      <c r="F1627">
        <f>IF($J1627="","",0)</f>
        <v/>
      </c>
      <c r="G1627">
        <f>IF($J1627="","",SUMIFS('Hours Log'!$E:$E,'Hours Log'!$A:$A,"&gt;="&amp;$J1627,'Hours Log'!$A:$A,"&lt;"&amp;$J1627+7))</f>
        <v/>
      </c>
      <c r="J1627">
        <f>IF(COUNT('Hours Log'!$A$4:$A$5000)=0,"",IF(MIN('Hours Log'!$A$4:$A$5000)+7*(ROW()-10)&gt;MAX('Hours Log'!$A$4:$A$5000),"",MIN('Hours Log'!$A$4:$A$5000)+7*(ROW()-10)))</f>
        <v/>
      </c>
    </row>
    <row r="1628">
      <c r="A1628">
        <f>IF($J1628="","",YEAR($J1628-WEEKDAY($J1628,2)+4)&amp;"-W"&amp;TEXT(WEEKNUM($J1628,21),"00"))</f>
        <v/>
      </c>
      <c r="B1628" s="41">
        <f>IF($J1628="","",COUNTIFS(Roster!$D$4:$D$500,"Active",Roster!$C$4:$C$500,"&lt;="&amp;$J1628))</f>
        <v/>
      </c>
      <c r="C1628">
        <f>IF($J1628="","",SUMIFS('Hours Log'!$C:$C,'Hours Log'!$A:$A,"&gt;="&amp;$J1628,'Hours Log'!$A:$A,"&lt;"&amp;$J1628+7)+SUMIFS('Hours Log'!$D:$D,'Hours Log'!$A:$A,"&gt;="&amp;$J1628,'Hours Log'!$A:$A,"&lt;"&amp;$J1628+7))</f>
        <v/>
      </c>
      <c r="D1628">
        <f>IF($J1628="","",SUMIFS('Hours Log'!$D:$D,'Hours Log'!$A:$A,"&gt;="&amp;$J1628,'Hours Log'!$A:$A,"&lt;"&amp;$J1628+7))</f>
        <v/>
      </c>
      <c r="E1628">
        <f>IF($J1628="","",IFERROR(C1628/(B1628*40),0))</f>
        <v/>
      </c>
      <c r="F1628">
        <f>IF($J1628="","",0)</f>
        <v/>
      </c>
      <c r="G1628">
        <f>IF($J1628="","",SUMIFS('Hours Log'!$E:$E,'Hours Log'!$A:$A,"&gt;="&amp;$J1628,'Hours Log'!$A:$A,"&lt;"&amp;$J1628+7))</f>
        <v/>
      </c>
      <c r="J1628">
        <f>IF(COUNT('Hours Log'!$A$4:$A$5000)=0,"",IF(MIN('Hours Log'!$A$4:$A$5000)+7*(ROW()-10)&gt;MAX('Hours Log'!$A$4:$A$5000),"",MIN('Hours Log'!$A$4:$A$5000)+7*(ROW()-10)))</f>
        <v/>
      </c>
    </row>
    <row r="1629">
      <c r="A1629">
        <f>IF($J1629="","",YEAR($J1629-WEEKDAY($J1629,2)+4)&amp;"-W"&amp;TEXT(WEEKNUM($J1629,21),"00"))</f>
        <v/>
      </c>
      <c r="B1629" s="41">
        <f>IF($J1629="","",COUNTIFS(Roster!$D$4:$D$500,"Active",Roster!$C$4:$C$500,"&lt;="&amp;$J1629))</f>
        <v/>
      </c>
      <c r="C1629">
        <f>IF($J1629="","",SUMIFS('Hours Log'!$C:$C,'Hours Log'!$A:$A,"&gt;="&amp;$J1629,'Hours Log'!$A:$A,"&lt;"&amp;$J1629+7)+SUMIFS('Hours Log'!$D:$D,'Hours Log'!$A:$A,"&gt;="&amp;$J1629,'Hours Log'!$A:$A,"&lt;"&amp;$J1629+7))</f>
        <v/>
      </c>
      <c r="D1629">
        <f>IF($J1629="","",SUMIFS('Hours Log'!$D:$D,'Hours Log'!$A:$A,"&gt;="&amp;$J1629,'Hours Log'!$A:$A,"&lt;"&amp;$J1629+7))</f>
        <v/>
      </c>
      <c r="E1629">
        <f>IF($J1629="","",IFERROR(C1629/(B1629*40),0))</f>
        <v/>
      </c>
      <c r="F1629">
        <f>IF($J1629="","",0)</f>
        <v/>
      </c>
      <c r="G1629">
        <f>IF($J1629="","",SUMIFS('Hours Log'!$E:$E,'Hours Log'!$A:$A,"&gt;="&amp;$J1629,'Hours Log'!$A:$A,"&lt;"&amp;$J1629+7))</f>
        <v/>
      </c>
      <c r="J1629">
        <f>IF(COUNT('Hours Log'!$A$4:$A$5000)=0,"",IF(MIN('Hours Log'!$A$4:$A$5000)+7*(ROW()-10)&gt;MAX('Hours Log'!$A$4:$A$5000),"",MIN('Hours Log'!$A$4:$A$5000)+7*(ROW()-10)))</f>
        <v/>
      </c>
    </row>
    <row r="1630">
      <c r="A1630">
        <f>IF($J1630="","",YEAR($J1630-WEEKDAY($J1630,2)+4)&amp;"-W"&amp;TEXT(WEEKNUM($J1630,21),"00"))</f>
        <v/>
      </c>
      <c r="B1630" s="41">
        <f>IF($J1630="","",COUNTIFS(Roster!$D$4:$D$500,"Active",Roster!$C$4:$C$500,"&lt;="&amp;$J1630))</f>
        <v/>
      </c>
      <c r="C1630">
        <f>IF($J1630="","",SUMIFS('Hours Log'!$C:$C,'Hours Log'!$A:$A,"&gt;="&amp;$J1630,'Hours Log'!$A:$A,"&lt;"&amp;$J1630+7)+SUMIFS('Hours Log'!$D:$D,'Hours Log'!$A:$A,"&gt;="&amp;$J1630,'Hours Log'!$A:$A,"&lt;"&amp;$J1630+7))</f>
        <v/>
      </c>
      <c r="D1630">
        <f>IF($J1630="","",SUMIFS('Hours Log'!$D:$D,'Hours Log'!$A:$A,"&gt;="&amp;$J1630,'Hours Log'!$A:$A,"&lt;"&amp;$J1630+7))</f>
        <v/>
      </c>
      <c r="E1630">
        <f>IF($J1630="","",IFERROR(C1630/(B1630*40),0))</f>
        <v/>
      </c>
      <c r="F1630">
        <f>IF($J1630="","",0)</f>
        <v/>
      </c>
      <c r="G1630">
        <f>IF($J1630="","",SUMIFS('Hours Log'!$E:$E,'Hours Log'!$A:$A,"&gt;="&amp;$J1630,'Hours Log'!$A:$A,"&lt;"&amp;$J1630+7))</f>
        <v/>
      </c>
      <c r="J1630">
        <f>IF(COUNT('Hours Log'!$A$4:$A$5000)=0,"",IF(MIN('Hours Log'!$A$4:$A$5000)+7*(ROW()-10)&gt;MAX('Hours Log'!$A$4:$A$5000),"",MIN('Hours Log'!$A$4:$A$5000)+7*(ROW()-10)))</f>
        <v/>
      </c>
    </row>
    <row r="1631">
      <c r="A1631">
        <f>IF($J1631="","",YEAR($J1631-WEEKDAY($J1631,2)+4)&amp;"-W"&amp;TEXT(WEEKNUM($J1631,21),"00"))</f>
        <v/>
      </c>
      <c r="B1631" s="41">
        <f>IF($J1631="","",COUNTIFS(Roster!$D$4:$D$500,"Active",Roster!$C$4:$C$500,"&lt;="&amp;$J1631))</f>
        <v/>
      </c>
      <c r="C1631">
        <f>IF($J1631="","",SUMIFS('Hours Log'!$C:$C,'Hours Log'!$A:$A,"&gt;="&amp;$J1631,'Hours Log'!$A:$A,"&lt;"&amp;$J1631+7)+SUMIFS('Hours Log'!$D:$D,'Hours Log'!$A:$A,"&gt;="&amp;$J1631,'Hours Log'!$A:$A,"&lt;"&amp;$J1631+7))</f>
        <v/>
      </c>
      <c r="D1631">
        <f>IF($J1631="","",SUMIFS('Hours Log'!$D:$D,'Hours Log'!$A:$A,"&gt;="&amp;$J1631,'Hours Log'!$A:$A,"&lt;"&amp;$J1631+7))</f>
        <v/>
      </c>
      <c r="E1631">
        <f>IF($J1631="","",IFERROR(C1631/(B1631*40),0))</f>
        <v/>
      </c>
      <c r="F1631">
        <f>IF($J1631="","",0)</f>
        <v/>
      </c>
      <c r="G1631">
        <f>IF($J1631="","",SUMIFS('Hours Log'!$E:$E,'Hours Log'!$A:$A,"&gt;="&amp;$J1631,'Hours Log'!$A:$A,"&lt;"&amp;$J1631+7))</f>
        <v/>
      </c>
      <c r="J1631">
        <f>IF(COUNT('Hours Log'!$A$4:$A$5000)=0,"",IF(MIN('Hours Log'!$A$4:$A$5000)+7*(ROW()-10)&gt;MAX('Hours Log'!$A$4:$A$5000),"",MIN('Hours Log'!$A$4:$A$5000)+7*(ROW()-10)))</f>
        <v/>
      </c>
    </row>
    <row r="1632">
      <c r="A1632">
        <f>IF($J1632="","",YEAR($J1632-WEEKDAY($J1632,2)+4)&amp;"-W"&amp;TEXT(WEEKNUM($J1632,21),"00"))</f>
        <v/>
      </c>
      <c r="B1632" s="41">
        <f>IF($J1632="","",COUNTIFS(Roster!$D$4:$D$500,"Active",Roster!$C$4:$C$500,"&lt;="&amp;$J1632))</f>
        <v/>
      </c>
      <c r="C1632">
        <f>IF($J1632="","",SUMIFS('Hours Log'!$C:$C,'Hours Log'!$A:$A,"&gt;="&amp;$J1632,'Hours Log'!$A:$A,"&lt;"&amp;$J1632+7)+SUMIFS('Hours Log'!$D:$D,'Hours Log'!$A:$A,"&gt;="&amp;$J1632,'Hours Log'!$A:$A,"&lt;"&amp;$J1632+7))</f>
        <v/>
      </c>
      <c r="D1632">
        <f>IF($J1632="","",SUMIFS('Hours Log'!$D:$D,'Hours Log'!$A:$A,"&gt;="&amp;$J1632,'Hours Log'!$A:$A,"&lt;"&amp;$J1632+7))</f>
        <v/>
      </c>
      <c r="E1632">
        <f>IF($J1632="","",IFERROR(C1632/(B1632*40),0))</f>
        <v/>
      </c>
      <c r="F1632">
        <f>IF($J1632="","",0)</f>
        <v/>
      </c>
      <c r="G1632">
        <f>IF($J1632="","",SUMIFS('Hours Log'!$E:$E,'Hours Log'!$A:$A,"&gt;="&amp;$J1632,'Hours Log'!$A:$A,"&lt;"&amp;$J1632+7))</f>
        <v/>
      </c>
      <c r="J1632">
        <f>IF(COUNT('Hours Log'!$A$4:$A$5000)=0,"",IF(MIN('Hours Log'!$A$4:$A$5000)+7*(ROW()-10)&gt;MAX('Hours Log'!$A$4:$A$5000),"",MIN('Hours Log'!$A$4:$A$5000)+7*(ROW()-10)))</f>
        <v/>
      </c>
    </row>
    <row r="1633">
      <c r="A1633">
        <f>IF($J1633="","",YEAR($J1633-WEEKDAY($J1633,2)+4)&amp;"-W"&amp;TEXT(WEEKNUM($J1633,21),"00"))</f>
        <v/>
      </c>
      <c r="B1633" s="41">
        <f>IF($J1633="","",COUNTIFS(Roster!$D$4:$D$500,"Active",Roster!$C$4:$C$500,"&lt;="&amp;$J1633))</f>
        <v/>
      </c>
      <c r="C1633">
        <f>IF($J1633="","",SUMIFS('Hours Log'!$C:$C,'Hours Log'!$A:$A,"&gt;="&amp;$J1633,'Hours Log'!$A:$A,"&lt;"&amp;$J1633+7)+SUMIFS('Hours Log'!$D:$D,'Hours Log'!$A:$A,"&gt;="&amp;$J1633,'Hours Log'!$A:$A,"&lt;"&amp;$J1633+7))</f>
        <v/>
      </c>
      <c r="D1633">
        <f>IF($J1633="","",SUMIFS('Hours Log'!$D:$D,'Hours Log'!$A:$A,"&gt;="&amp;$J1633,'Hours Log'!$A:$A,"&lt;"&amp;$J1633+7))</f>
        <v/>
      </c>
      <c r="E1633">
        <f>IF($J1633="","",IFERROR(C1633/(B1633*40),0))</f>
        <v/>
      </c>
      <c r="F1633">
        <f>IF($J1633="","",0)</f>
        <v/>
      </c>
      <c r="G1633">
        <f>IF($J1633="","",SUMIFS('Hours Log'!$E:$E,'Hours Log'!$A:$A,"&gt;="&amp;$J1633,'Hours Log'!$A:$A,"&lt;"&amp;$J1633+7))</f>
        <v/>
      </c>
      <c r="J1633">
        <f>IF(COUNT('Hours Log'!$A$4:$A$5000)=0,"",IF(MIN('Hours Log'!$A$4:$A$5000)+7*(ROW()-10)&gt;MAX('Hours Log'!$A$4:$A$5000),"",MIN('Hours Log'!$A$4:$A$5000)+7*(ROW()-10)))</f>
        <v/>
      </c>
    </row>
    <row r="1634">
      <c r="A1634">
        <f>IF($J1634="","",YEAR($J1634-WEEKDAY($J1634,2)+4)&amp;"-W"&amp;TEXT(WEEKNUM($J1634,21),"00"))</f>
        <v/>
      </c>
      <c r="B1634" s="41">
        <f>IF($J1634="","",COUNTIFS(Roster!$D$4:$D$500,"Active",Roster!$C$4:$C$500,"&lt;="&amp;$J1634))</f>
        <v/>
      </c>
      <c r="C1634">
        <f>IF($J1634="","",SUMIFS('Hours Log'!$C:$C,'Hours Log'!$A:$A,"&gt;="&amp;$J1634,'Hours Log'!$A:$A,"&lt;"&amp;$J1634+7)+SUMIFS('Hours Log'!$D:$D,'Hours Log'!$A:$A,"&gt;="&amp;$J1634,'Hours Log'!$A:$A,"&lt;"&amp;$J1634+7))</f>
        <v/>
      </c>
      <c r="D1634">
        <f>IF($J1634="","",SUMIFS('Hours Log'!$D:$D,'Hours Log'!$A:$A,"&gt;="&amp;$J1634,'Hours Log'!$A:$A,"&lt;"&amp;$J1634+7))</f>
        <v/>
      </c>
      <c r="E1634">
        <f>IF($J1634="","",IFERROR(C1634/(B1634*40),0))</f>
        <v/>
      </c>
      <c r="F1634">
        <f>IF($J1634="","",0)</f>
        <v/>
      </c>
      <c r="G1634">
        <f>IF($J1634="","",SUMIFS('Hours Log'!$E:$E,'Hours Log'!$A:$A,"&gt;="&amp;$J1634,'Hours Log'!$A:$A,"&lt;"&amp;$J1634+7))</f>
        <v/>
      </c>
      <c r="J1634">
        <f>IF(COUNT('Hours Log'!$A$4:$A$5000)=0,"",IF(MIN('Hours Log'!$A$4:$A$5000)+7*(ROW()-10)&gt;MAX('Hours Log'!$A$4:$A$5000),"",MIN('Hours Log'!$A$4:$A$5000)+7*(ROW()-10)))</f>
        <v/>
      </c>
    </row>
    <row r="1635">
      <c r="A1635">
        <f>IF($J1635="","",YEAR($J1635-WEEKDAY($J1635,2)+4)&amp;"-W"&amp;TEXT(WEEKNUM($J1635,21),"00"))</f>
        <v/>
      </c>
      <c r="B1635" s="41">
        <f>IF($J1635="","",COUNTIFS(Roster!$D$4:$D$500,"Active",Roster!$C$4:$C$500,"&lt;="&amp;$J1635))</f>
        <v/>
      </c>
      <c r="C1635">
        <f>IF($J1635="","",SUMIFS('Hours Log'!$C:$C,'Hours Log'!$A:$A,"&gt;="&amp;$J1635,'Hours Log'!$A:$A,"&lt;"&amp;$J1635+7)+SUMIFS('Hours Log'!$D:$D,'Hours Log'!$A:$A,"&gt;="&amp;$J1635,'Hours Log'!$A:$A,"&lt;"&amp;$J1635+7))</f>
        <v/>
      </c>
      <c r="D1635">
        <f>IF($J1635="","",SUMIFS('Hours Log'!$D:$D,'Hours Log'!$A:$A,"&gt;="&amp;$J1635,'Hours Log'!$A:$A,"&lt;"&amp;$J1635+7))</f>
        <v/>
      </c>
      <c r="E1635">
        <f>IF($J1635="","",IFERROR(C1635/(B1635*40),0))</f>
        <v/>
      </c>
      <c r="F1635">
        <f>IF($J1635="","",0)</f>
        <v/>
      </c>
      <c r="G1635">
        <f>IF($J1635="","",SUMIFS('Hours Log'!$E:$E,'Hours Log'!$A:$A,"&gt;="&amp;$J1635,'Hours Log'!$A:$A,"&lt;"&amp;$J1635+7))</f>
        <v/>
      </c>
      <c r="J1635">
        <f>IF(COUNT('Hours Log'!$A$4:$A$5000)=0,"",IF(MIN('Hours Log'!$A$4:$A$5000)+7*(ROW()-10)&gt;MAX('Hours Log'!$A$4:$A$5000),"",MIN('Hours Log'!$A$4:$A$5000)+7*(ROW()-10)))</f>
        <v/>
      </c>
    </row>
    <row r="1636">
      <c r="A1636">
        <f>IF($J1636="","",YEAR($J1636-WEEKDAY($J1636,2)+4)&amp;"-W"&amp;TEXT(WEEKNUM($J1636,21),"00"))</f>
        <v/>
      </c>
      <c r="B1636" s="41">
        <f>IF($J1636="","",COUNTIFS(Roster!$D$4:$D$500,"Active",Roster!$C$4:$C$500,"&lt;="&amp;$J1636))</f>
        <v/>
      </c>
      <c r="C1636">
        <f>IF($J1636="","",SUMIFS('Hours Log'!$C:$C,'Hours Log'!$A:$A,"&gt;="&amp;$J1636,'Hours Log'!$A:$A,"&lt;"&amp;$J1636+7)+SUMIFS('Hours Log'!$D:$D,'Hours Log'!$A:$A,"&gt;="&amp;$J1636,'Hours Log'!$A:$A,"&lt;"&amp;$J1636+7))</f>
        <v/>
      </c>
      <c r="D1636">
        <f>IF($J1636="","",SUMIFS('Hours Log'!$D:$D,'Hours Log'!$A:$A,"&gt;="&amp;$J1636,'Hours Log'!$A:$A,"&lt;"&amp;$J1636+7))</f>
        <v/>
      </c>
      <c r="E1636">
        <f>IF($J1636="","",IFERROR(C1636/(B1636*40),0))</f>
        <v/>
      </c>
      <c r="F1636">
        <f>IF($J1636="","",0)</f>
        <v/>
      </c>
      <c r="G1636">
        <f>IF($J1636="","",SUMIFS('Hours Log'!$E:$E,'Hours Log'!$A:$A,"&gt;="&amp;$J1636,'Hours Log'!$A:$A,"&lt;"&amp;$J1636+7))</f>
        <v/>
      </c>
      <c r="J1636">
        <f>IF(COUNT('Hours Log'!$A$4:$A$5000)=0,"",IF(MIN('Hours Log'!$A$4:$A$5000)+7*(ROW()-10)&gt;MAX('Hours Log'!$A$4:$A$5000),"",MIN('Hours Log'!$A$4:$A$5000)+7*(ROW()-10)))</f>
        <v/>
      </c>
    </row>
    <row r="1637">
      <c r="A1637">
        <f>IF($J1637="","",YEAR($J1637-WEEKDAY($J1637,2)+4)&amp;"-W"&amp;TEXT(WEEKNUM($J1637,21),"00"))</f>
        <v/>
      </c>
      <c r="B1637" s="41">
        <f>IF($J1637="","",COUNTIFS(Roster!$D$4:$D$500,"Active",Roster!$C$4:$C$500,"&lt;="&amp;$J1637))</f>
        <v/>
      </c>
      <c r="C1637">
        <f>IF($J1637="","",SUMIFS('Hours Log'!$C:$C,'Hours Log'!$A:$A,"&gt;="&amp;$J1637,'Hours Log'!$A:$A,"&lt;"&amp;$J1637+7)+SUMIFS('Hours Log'!$D:$D,'Hours Log'!$A:$A,"&gt;="&amp;$J1637,'Hours Log'!$A:$A,"&lt;"&amp;$J1637+7))</f>
        <v/>
      </c>
      <c r="D1637">
        <f>IF($J1637="","",SUMIFS('Hours Log'!$D:$D,'Hours Log'!$A:$A,"&gt;="&amp;$J1637,'Hours Log'!$A:$A,"&lt;"&amp;$J1637+7))</f>
        <v/>
      </c>
      <c r="E1637">
        <f>IF($J1637="","",IFERROR(C1637/(B1637*40),0))</f>
        <v/>
      </c>
      <c r="F1637">
        <f>IF($J1637="","",0)</f>
        <v/>
      </c>
      <c r="G1637">
        <f>IF($J1637="","",SUMIFS('Hours Log'!$E:$E,'Hours Log'!$A:$A,"&gt;="&amp;$J1637,'Hours Log'!$A:$A,"&lt;"&amp;$J1637+7))</f>
        <v/>
      </c>
      <c r="J1637">
        <f>IF(COUNT('Hours Log'!$A$4:$A$5000)=0,"",IF(MIN('Hours Log'!$A$4:$A$5000)+7*(ROW()-10)&gt;MAX('Hours Log'!$A$4:$A$5000),"",MIN('Hours Log'!$A$4:$A$5000)+7*(ROW()-10)))</f>
        <v/>
      </c>
    </row>
    <row r="1638">
      <c r="A1638">
        <f>IF($J1638="","",YEAR($J1638-WEEKDAY($J1638,2)+4)&amp;"-W"&amp;TEXT(WEEKNUM($J1638,21),"00"))</f>
        <v/>
      </c>
      <c r="B1638" s="41">
        <f>IF($J1638="","",COUNTIFS(Roster!$D$4:$D$500,"Active",Roster!$C$4:$C$500,"&lt;="&amp;$J1638))</f>
        <v/>
      </c>
      <c r="C1638">
        <f>IF($J1638="","",SUMIFS('Hours Log'!$C:$C,'Hours Log'!$A:$A,"&gt;="&amp;$J1638,'Hours Log'!$A:$A,"&lt;"&amp;$J1638+7)+SUMIFS('Hours Log'!$D:$D,'Hours Log'!$A:$A,"&gt;="&amp;$J1638,'Hours Log'!$A:$A,"&lt;"&amp;$J1638+7))</f>
        <v/>
      </c>
      <c r="D1638">
        <f>IF($J1638="","",SUMIFS('Hours Log'!$D:$D,'Hours Log'!$A:$A,"&gt;="&amp;$J1638,'Hours Log'!$A:$A,"&lt;"&amp;$J1638+7))</f>
        <v/>
      </c>
      <c r="E1638">
        <f>IF($J1638="","",IFERROR(C1638/(B1638*40),0))</f>
        <v/>
      </c>
      <c r="F1638">
        <f>IF($J1638="","",0)</f>
        <v/>
      </c>
      <c r="G1638">
        <f>IF($J1638="","",SUMIFS('Hours Log'!$E:$E,'Hours Log'!$A:$A,"&gt;="&amp;$J1638,'Hours Log'!$A:$A,"&lt;"&amp;$J1638+7))</f>
        <v/>
      </c>
      <c r="J1638">
        <f>IF(COUNT('Hours Log'!$A$4:$A$5000)=0,"",IF(MIN('Hours Log'!$A$4:$A$5000)+7*(ROW()-10)&gt;MAX('Hours Log'!$A$4:$A$5000),"",MIN('Hours Log'!$A$4:$A$5000)+7*(ROW()-10)))</f>
        <v/>
      </c>
    </row>
    <row r="1639">
      <c r="A1639">
        <f>IF($J1639="","",YEAR($J1639-WEEKDAY($J1639,2)+4)&amp;"-W"&amp;TEXT(WEEKNUM($J1639,21),"00"))</f>
        <v/>
      </c>
      <c r="B1639" s="41">
        <f>IF($J1639="","",COUNTIFS(Roster!$D$4:$D$500,"Active",Roster!$C$4:$C$500,"&lt;="&amp;$J1639))</f>
        <v/>
      </c>
      <c r="C1639">
        <f>IF($J1639="","",SUMIFS('Hours Log'!$C:$C,'Hours Log'!$A:$A,"&gt;="&amp;$J1639,'Hours Log'!$A:$A,"&lt;"&amp;$J1639+7)+SUMIFS('Hours Log'!$D:$D,'Hours Log'!$A:$A,"&gt;="&amp;$J1639,'Hours Log'!$A:$A,"&lt;"&amp;$J1639+7))</f>
        <v/>
      </c>
      <c r="D1639">
        <f>IF($J1639="","",SUMIFS('Hours Log'!$D:$D,'Hours Log'!$A:$A,"&gt;="&amp;$J1639,'Hours Log'!$A:$A,"&lt;"&amp;$J1639+7))</f>
        <v/>
      </c>
      <c r="E1639">
        <f>IF($J1639="","",IFERROR(C1639/(B1639*40),0))</f>
        <v/>
      </c>
      <c r="F1639">
        <f>IF($J1639="","",0)</f>
        <v/>
      </c>
      <c r="G1639">
        <f>IF($J1639="","",SUMIFS('Hours Log'!$E:$E,'Hours Log'!$A:$A,"&gt;="&amp;$J1639,'Hours Log'!$A:$A,"&lt;"&amp;$J1639+7))</f>
        <v/>
      </c>
      <c r="J1639">
        <f>IF(COUNT('Hours Log'!$A$4:$A$5000)=0,"",IF(MIN('Hours Log'!$A$4:$A$5000)+7*(ROW()-10)&gt;MAX('Hours Log'!$A$4:$A$5000),"",MIN('Hours Log'!$A$4:$A$5000)+7*(ROW()-10)))</f>
        <v/>
      </c>
    </row>
    <row r="1640">
      <c r="A1640">
        <f>IF($J1640="","",YEAR($J1640-WEEKDAY($J1640,2)+4)&amp;"-W"&amp;TEXT(WEEKNUM($J1640,21),"00"))</f>
        <v/>
      </c>
      <c r="B1640" s="41">
        <f>IF($J1640="","",COUNTIFS(Roster!$D$4:$D$500,"Active",Roster!$C$4:$C$500,"&lt;="&amp;$J1640))</f>
        <v/>
      </c>
      <c r="C1640">
        <f>IF($J1640="","",SUMIFS('Hours Log'!$C:$C,'Hours Log'!$A:$A,"&gt;="&amp;$J1640,'Hours Log'!$A:$A,"&lt;"&amp;$J1640+7)+SUMIFS('Hours Log'!$D:$D,'Hours Log'!$A:$A,"&gt;="&amp;$J1640,'Hours Log'!$A:$A,"&lt;"&amp;$J1640+7))</f>
        <v/>
      </c>
      <c r="D1640">
        <f>IF($J1640="","",SUMIFS('Hours Log'!$D:$D,'Hours Log'!$A:$A,"&gt;="&amp;$J1640,'Hours Log'!$A:$A,"&lt;"&amp;$J1640+7))</f>
        <v/>
      </c>
      <c r="E1640">
        <f>IF($J1640="","",IFERROR(C1640/(B1640*40),0))</f>
        <v/>
      </c>
      <c r="F1640">
        <f>IF($J1640="","",0)</f>
        <v/>
      </c>
      <c r="G1640">
        <f>IF($J1640="","",SUMIFS('Hours Log'!$E:$E,'Hours Log'!$A:$A,"&gt;="&amp;$J1640,'Hours Log'!$A:$A,"&lt;"&amp;$J1640+7))</f>
        <v/>
      </c>
      <c r="J1640">
        <f>IF(COUNT('Hours Log'!$A$4:$A$5000)=0,"",IF(MIN('Hours Log'!$A$4:$A$5000)+7*(ROW()-10)&gt;MAX('Hours Log'!$A$4:$A$5000),"",MIN('Hours Log'!$A$4:$A$5000)+7*(ROW()-10)))</f>
        <v/>
      </c>
    </row>
    <row r="1641">
      <c r="A1641">
        <f>IF($J1641="","",YEAR($J1641-WEEKDAY($J1641,2)+4)&amp;"-W"&amp;TEXT(WEEKNUM($J1641,21),"00"))</f>
        <v/>
      </c>
      <c r="B1641" s="41">
        <f>IF($J1641="","",COUNTIFS(Roster!$D$4:$D$500,"Active",Roster!$C$4:$C$500,"&lt;="&amp;$J1641))</f>
        <v/>
      </c>
      <c r="C1641">
        <f>IF($J1641="","",SUMIFS('Hours Log'!$C:$C,'Hours Log'!$A:$A,"&gt;="&amp;$J1641,'Hours Log'!$A:$A,"&lt;"&amp;$J1641+7)+SUMIFS('Hours Log'!$D:$D,'Hours Log'!$A:$A,"&gt;="&amp;$J1641,'Hours Log'!$A:$A,"&lt;"&amp;$J1641+7))</f>
        <v/>
      </c>
      <c r="D1641">
        <f>IF($J1641="","",SUMIFS('Hours Log'!$D:$D,'Hours Log'!$A:$A,"&gt;="&amp;$J1641,'Hours Log'!$A:$A,"&lt;"&amp;$J1641+7))</f>
        <v/>
      </c>
      <c r="E1641">
        <f>IF($J1641="","",IFERROR(C1641/(B1641*40),0))</f>
        <v/>
      </c>
      <c r="F1641">
        <f>IF($J1641="","",0)</f>
        <v/>
      </c>
      <c r="G1641">
        <f>IF($J1641="","",SUMIFS('Hours Log'!$E:$E,'Hours Log'!$A:$A,"&gt;="&amp;$J1641,'Hours Log'!$A:$A,"&lt;"&amp;$J1641+7))</f>
        <v/>
      </c>
      <c r="J1641">
        <f>IF(COUNT('Hours Log'!$A$4:$A$5000)=0,"",IF(MIN('Hours Log'!$A$4:$A$5000)+7*(ROW()-10)&gt;MAX('Hours Log'!$A$4:$A$5000),"",MIN('Hours Log'!$A$4:$A$5000)+7*(ROW()-10)))</f>
        <v/>
      </c>
    </row>
    <row r="1642">
      <c r="A1642">
        <f>IF($J1642="","",YEAR($J1642-WEEKDAY($J1642,2)+4)&amp;"-W"&amp;TEXT(WEEKNUM($J1642,21),"00"))</f>
        <v/>
      </c>
      <c r="B1642" s="41">
        <f>IF($J1642="","",COUNTIFS(Roster!$D$4:$D$500,"Active",Roster!$C$4:$C$500,"&lt;="&amp;$J1642))</f>
        <v/>
      </c>
      <c r="C1642">
        <f>IF($J1642="","",SUMIFS('Hours Log'!$C:$C,'Hours Log'!$A:$A,"&gt;="&amp;$J1642,'Hours Log'!$A:$A,"&lt;"&amp;$J1642+7)+SUMIFS('Hours Log'!$D:$D,'Hours Log'!$A:$A,"&gt;="&amp;$J1642,'Hours Log'!$A:$A,"&lt;"&amp;$J1642+7))</f>
        <v/>
      </c>
      <c r="D1642">
        <f>IF($J1642="","",SUMIFS('Hours Log'!$D:$D,'Hours Log'!$A:$A,"&gt;="&amp;$J1642,'Hours Log'!$A:$A,"&lt;"&amp;$J1642+7))</f>
        <v/>
      </c>
      <c r="E1642">
        <f>IF($J1642="","",IFERROR(C1642/(B1642*40),0))</f>
        <v/>
      </c>
      <c r="F1642">
        <f>IF($J1642="","",0)</f>
        <v/>
      </c>
      <c r="G1642">
        <f>IF($J1642="","",SUMIFS('Hours Log'!$E:$E,'Hours Log'!$A:$A,"&gt;="&amp;$J1642,'Hours Log'!$A:$A,"&lt;"&amp;$J1642+7))</f>
        <v/>
      </c>
      <c r="J1642">
        <f>IF(COUNT('Hours Log'!$A$4:$A$5000)=0,"",IF(MIN('Hours Log'!$A$4:$A$5000)+7*(ROW()-10)&gt;MAX('Hours Log'!$A$4:$A$5000),"",MIN('Hours Log'!$A$4:$A$5000)+7*(ROW()-10)))</f>
        <v/>
      </c>
    </row>
    <row r="1643">
      <c r="A1643">
        <f>IF($J1643="","",YEAR($J1643-WEEKDAY($J1643,2)+4)&amp;"-W"&amp;TEXT(WEEKNUM($J1643,21),"00"))</f>
        <v/>
      </c>
      <c r="B1643" s="41">
        <f>IF($J1643="","",COUNTIFS(Roster!$D$4:$D$500,"Active",Roster!$C$4:$C$500,"&lt;="&amp;$J1643))</f>
        <v/>
      </c>
      <c r="C1643">
        <f>IF($J1643="","",SUMIFS('Hours Log'!$C:$C,'Hours Log'!$A:$A,"&gt;="&amp;$J1643,'Hours Log'!$A:$A,"&lt;"&amp;$J1643+7)+SUMIFS('Hours Log'!$D:$D,'Hours Log'!$A:$A,"&gt;="&amp;$J1643,'Hours Log'!$A:$A,"&lt;"&amp;$J1643+7))</f>
        <v/>
      </c>
      <c r="D1643">
        <f>IF($J1643="","",SUMIFS('Hours Log'!$D:$D,'Hours Log'!$A:$A,"&gt;="&amp;$J1643,'Hours Log'!$A:$A,"&lt;"&amp;$J1643+7))</f>
        <v/>
      </c>
      <c r="E1643">
        <f>IF($J1643="","",IFERROR(C1643/(B1643*40),0))</f>
        <v/>
      </c>
      <c r="F1643">
        <f>IF($J1643="","",0)</f>
        <v/>
      </c>
      <c r="G1643">
        <f>IF($J1643="","",SUMIFS('Hours Log'!$E:$E,'Hours Log'!$A:$A,"&gt;="&amp;$J1643,'Hours Log'!$A:$A,"&lt;"&amp;$J1643+7))</f>
        <v/>
      </c>
      <c r="J1643">
        <f>IF(COUNT('Hours Log'!$A$4:$A$5000)=0,"",IF(MIN('Hours Log'!$A$4:$A$5000)+7*(ROW()-10)&gt;MAX('Hours Log'!$A$4:$A$5000),"",MIN('Hours Log'!$A$4:$A$5000)+7*(ROW()-10)))</f>
        <v/>
      </c>
    </row>
    <row r="1644">
      <c r="A1644">
        <f>IF($J1644="","",YEAR($J1644-WEEKDAY($J1644,2)+4)&amp;"-W"&amp;TEXT(WEEKNUM($J1644,21),"00"))</f>
        <v/>
      </c>
      <c r="B1644" s="41">
        <f>IF($J1644="","",COUNTIFS(Roster!$D$4:$D$500,"Active",Roster!$C$4:$C$500,"&lt;="&amp;$J1644))</f>
        <v/>
      </c>
      <c r="C1644">
        <f>IF($J1644="","",SUMIFS('Hours Log'!$C:$C,'Hours Log'!$A:$A,"&gt;="&amp;$J1644,'Hours Log'!$A:$A,"&lt;"&amp;$J1644+7)+SUMIFS('Hours Log'!$D:$D,'Hours Log'!$A:$A,"&gt;="&amp;$J1644,'Hours Log'!$A:$A,"&lt;"&amp;$J1644+7))</f>
        <v/>
      </c>
      <c r="D1644">
        <f>IF($J1644="","",SUMIFS('Hours Log'!$D:$D,'Hours Log'!$A:$A,"&gt;="&amp;$J1644,'Hours Log'!$A:$A,"&lt;"&amp;$J1644+7))</f>
        <v/>
      </c>
      <c r="E1644">
        <f>IF($J1644="","",IFERROR(C1644/(B1644*40),0))</f>
        <v/>
      </c>
      <c r="F1644">
        <f>IF($J1644="","",0)</f>
        <v/>
      </c>
      <c r="G1644">
        <f>IF($J1644="","",SUMIFS('Hours Log'!$E:$E,'Hours Log'!$A:$A,"&gt;="&amp;$J1644,'Hours Log'!$A:$A,"&lt;"&amp;$J1644+7))</f>
        <v/>
      </c>
      <c r="J1644">
        <f>IF(COUNT('Hours Log'!$A$4:$A$5000)=0,"",IF(MIN('Hours Log'!$A$4:$A$5000)+7*(ROW()-10)&gt;MAX('Hours Log'!$A$4:$A$5000),"",MIN('Hours Log'!$A$4:$A$5000)+7*(ROW()-10)))</f>
        <v/>
      </c>
    </row>
    <row r="1645">
      <c r="A1645">
        <f>IF($J1645="","",YEAR($J1645-WEEKDAY($J1645,2)+4)&amp;"-W"&amp;TEXT(WEEKNUM($J1645,21),"00"))</f>
        <v/>
      </c>
      <c r="B1645" s="41">
        <f>IF($J1645="","",COUNTIFS(Roster!$D$4:$D$500,"Active",Roster!$C$4:$C$500,"&lt;="&amp;$J1645))</f>
        <v/>
      </c>
      <c r="C1645">
        <f>IF($J1645="","",SUMIFS('Hours Log'!$C:$C,'Hours Log'!$A:$A,"&gt;="&amp;$J1645,'Hours Log'!$A:$A,"&lt;"&amp;$J1645+7)+SUMIFS('Hours Log'!$D:$D,'Hours Log'!$A:$A,"&gt;="&amp;$J1645,'Hours Log'!$A:$A,"&lt;"&amp;$J1645+7))</f>
        <v/>
      </c>
      <c r="D1645">
        <f>IF($J1645="","",SUMIFS('Hours Log'!$D:$D,'Hours Log'!$A:$A,"&gt;="&amp;$J1645,'Hours Log'!$A:$A,"&lt;"&amp;$J1645+7))</f>
        <v/>
      </c>
      <c r="E1645">
        <f>IF($J1645="","",IFERROR(C1645/(B1645*40),0))</f>
        <v/>
      </c>
      <c r="F1645">
        <f>IF($J1645="","",0)</f>
        <v/>
      </c>
      <c r="G1645">
        <f>IF($J1645="","",SUMIFS('Hours Log'!$E:$E,'Hours Log'!$A:$A,"&gt;="&amp;$J1645,'Hours Log'!$A:$A,"&lt;"&amp;$J1645+7))</f>
        <v/>
      </c>
      <c r="J1645">
        <f>IF(COUNT('Hours Log'!$A$4:$A$5000)=0,"",IF(MIN('Hours Log'!$A$4:$A$5000)+7*(ROW()-10)&gt;MAX('Hours Log'!$A$4:$A$5000),"",MIN('Hours Log'!$A$4:$A$5000)+7*(ROW()-10)))</f>
        <v/>
      </c>
    </row>
    <row r="1646">
      <c r="A1646">
        <f>IF($J1646="","",YEAR($J1646-WEEKDAY($J1646,2)+4)&amp;"-W"&amp;TEXT(WEEKNUM($J1646,21),"00"))</f>
        <v/>
      </c>
      <c r="B1646" s="41">
        <f>IF($J1646="","",COUNTIFS(Roster!$D$4:$D$500,"Active",Roster!$C$4:$C$500,"&lt;="&amp;$J1646))</f>
        <v/>
      </c>
      <c r="C1646">
        <f>IF($J1646="","",SUMIFS('Hours Log'!$C:$C,'Hours Log'!$A:$A,"&gt;="&amp;$J1646,'Hours Log'!$A:$A,"&lt;"&amp;$J1646+7)+SUMIFS('Hours Log'!$D:$D,'Hours Log'!$A:$A,"&gt;="&amp;$J1646,'Hours Log'!$A:$A,"&lt;"&amp;$J1646+7))</f>
        <v/>
      </c>
      <c r="D1646">
        <f>IF($J1646="","",SUMIFS('Hours Log'!$D:$D,'Hours Log'!$A:$A,"&gt;="&amp;$J1646,'Hours Log'!$A:$A,"&lt;"&amp;$J1646+7))</f>
        <v/>
      </c>
      <c r="E1646">
        <f>IF($J1646="","",IFERROR(C1646/(B1646*40),0))</f>
        <v/>
      </c>
      <c r="F1646">
        <f>IF($J1646="","",0)</f>
        <v/>
      </c>
      <c r="G1646">
        <f>IF($J1646="","",SUMIFS('Hours Log'!$E:$E,'Hours Log'!$A:$A,"&gt;="&amp;$J1646,'Hours Log'!$A:$A,"&lt;"&amp;$J1646+7))</f>
        <v/>
      </c>
      <c r="J1646">
        <f>IF(COUNT('Hours Log'!$A$4:$A$5000)=0,"",IF(MIN('Hours Log'!$A$4:$A$5000)+7*(ROW()-10)&gt;MAX('Hours Log'!$A$4:$A$5000),"",MIN('Hours Log'!$A$4:$A$5000)+7*(ROW()-10)))</f>
        <v/>
      </c>
    </row>
    <row r="1647">
      <c r="A1647">
        <f>IF($J1647="","",YEAR($J1647-WEEKDAY($J1647,2)+4)&amp;"-W"&amp;TEXT(WEEKNUM($J1647,21),"00"))</f>
        <v/>
      </c>
      <c r="B1647" s="41">
        <f>IF($J1647="","",COUNTIFS(Roster!$D$4:$D$500,"Active",Roster!$C$4:$C$500,"&lt;="&amp;$J1647))</f>
        <v/>
      </c>
      <c r="C1647">
        <f>IF($J1647="","",SUMIFS('Hours Log'!$C:$C,'Hours Log'!$A:$A,"&gt;="&amp;$J1647,'Hours Log'!$A:$A,"&lt;"&amp;$J1647+7)+SUMIFS('Hours Log'!$D:$D,'Hours Log'!$A:$A,"&gt;="&amp;$J1647,'Hours Log'!$A:$A,"&lt;"&amp;$J1647+7))</f>
        <v/>
      </c>
      <c r="D1647">
        <f>IF($J1647="","",SUMIFS('Hours Log'!$D:$D,'Hours Log'!$A:$A,"&gt;="&amp;$J1647,'Hours Log'!$A:$A,"&lt;"&amp;$J1647+7))</f>
        <v/>
      </c>
      <c r="E1647">
        <f>IF($J1647="","",IFERROR(C1647/(B1647*40),0))</f>
        <v/>
      </c>
      <c r="F1647">
        <f>IF($J1647="","",0)</f>
        <v/>
      </c>
      <c r="G1647">
        <f>IF($J1647="","",SUMIFS('Hours Log'!$E:$E,'Hours Log'!$A:$A,"&gt;="&amp;$J1647,'Hours Log'!$A:$A,"&lt;"&amp;$J1647+7))</f>
        <v/>
      </c>
      <c r="J1647">
        <f>IF(COUNT('Hours Log'!$A$4:$A$5000)=0,"",IF(MIN('Hours Log'!$A$4:$A$5000)+7*(ROW()-10)&gt;MAX('Hours Log'!$A$4:$A$5000),"",MIN('Hours Log'!$A$4:$A$5000)+7*(ROW()-10)))</f>
        <v/>
      </c>
    </row>
    <row r="1648">
      <c r="A1648">
        <f>IF($J1648="","",YEAR($J1648-WEEKDAY($J1648,2)+4)&amp;"-W"&amp;TEXT(WEEKNUM($J1648,21),"00"))</f>
        <v/>
      </c>
      <c r="B1648" s="41">
        <f>IF($J1648="","",COUNTIFS(Roster!$D$4:$D$500,"Active",Roster!$C$4:$C$500,"&lt;="&amp;$J1648))</f>
        <v/>
      </c>
      <c r="C1648">
        <f>IF($J1648="","",SUMIFS('Hours Log'!$C:$C,'Hours Log'!$A:$A,"&gt;="&amp;$J1648,'Hours Log'!$A:$A,"&lt;"&amp;$J1648+7)+SUMIFS('Hours Log'!$D:$D,'Hours Log'!$A:$A,"&gt;="&amp;$J1648,'Hours Log'!$A:$A,"&lt;"&amp;$J1648+7))</f>
        <v/>
      </c>
      <c r="D1648">
        <f>IF($J1648="","",SUMIFS('Hours Log'!$D:$D,'Hours Log'!$A:$A,"&gt;="&amp;$J1648,'Hours Log'!$A:$A,"&lt;"&amp;$J1648+7))</f>
        <v/>
      </c>
      <c r="E1648">
        <f>IF($J1648="","",IFERROR(C1648/(B1648*40),0))</f>
        <v/>
      </c>
      <c r="F1648">
        <f>IF($J1648="","",0)</f>
        <v/>
      </c>
      <c r="G1648">
        <f>IF($J1648="","",SUMIFS('Hours Log'!$E:$E,'Hours Log'!$A:$A,"&gt;="&amp;$J1648,'Hours Log'!$A:$A,"&lt;"&amp;$J1648+7))</f>
        <v/>
      </c>
      <c r="J1648">
        <f>IF(COUNT('Hours Log'!$A$4:$A$5000)=0,"",IF(MIN('Hours Log'!$A$4:$A$5000)+7*(ROW()-10)&gt;MAX('Hours Log'!$A$4:$A$5000),"",MIN('Hours Log'!$A$4:$A$5000)+7*(ROW()-10)))</f>
        <v/>
      </c>
    </row>
    <row r="1649">
      <c r="A1649">
        <f>IF($J1649="","",YEAR($J1649-WEEKDAY($J1649,2)+4)&amp;"-W"&amp;TEXT(WEEKNUM($J1649,21),"00"))</f>
        <v/>
      </c>
      <c r="B1649" s="41">
        <f>IF($J1649="","",COUNTIFS(Roster!$D$4:$D$500,"Active",Roster!$C$4:$C$500,"&lt;="&amp;$J1649))</f>
        <v/>
      </c>
      <c r="C1649">
        <f>IF($J1649="","",SUMIFS('Hours Log'!$C:$C,'Hours Log'!$A:$A,"&gt;="&amp;$J1649,'Hours Log'!$A:$A,"&lt;"&amp;$J1649+7)+SUMIFS('Hours Log'!$D:$D,'Hours Log'!$A:$A,"&gt;="&amp;$J1649,'Hours Log'!$A:$A,"&lt;"&amp;$J1649+7))</f>
        <v/>
      </c>
      <c r="D1649">
        <f>IF($J1649="","",SUMIFS('Hours Log'!$D:$D,'Hours Log'!$A:$A,"&gt;="&amp;$J1649,'Hours Log'!$A:$A,"&lt;"&amp;$J1649+7))</f>
        <v/>
      </c>
      <c r="E1649">
        <f>IF($J1649="","",IFERROR(C1649/(B1649*40),0))</f>
        <v/>
      </c>
      <c r="F1649">
        <f>IF($J1649="","",0)</f>
        <v/>
      </c>
      <c r="G1649">
        <f>IF($J1649="","",SUMIFS('Hours Log'!$E:$E,'Hours Log'!$A:$A,"&gt;="&amp;$J1649,'Hours Log'!$A:$A,"&lt;"&amp;$J1649+7))</f>
        <v/>
      </c>
      <c r="J1649">
        <f>IF(COUNT('Hours Log'!$A$4:$A$5000)=0,"",IF(MIN('Hours Log'!$A$4:$A$5000)+7*(ROW()-10)&gt;MAX('Hours Log'!$A$4:$A$5000),"",MIN('Hours Log'!$A$4:$A$5000)+7*(ROW()-10)))</f>
        <v/>
      </c>
    </row>
    <row r="1650">
      <c r="A1650">
        <f>IF($J1650="","",YEAR($J1650-WEEKDAY($J1650,2)+4)&amp;"-W"&amp;TEXT(WEEKNUM($J1650,21),"00"))</f>
        <v/>
      </c>
      <c r="B1650" s="41">
        <f>IF($J1650="","",COUNTIFS(Roster!$D$4:$D$500,"Active",Roster!$C$4:$C$500,"&lt;="&amp;$J1650))</f>
        <v/>
      </c>
      <c r="C1650">
        <f>IF($J1650="","",SUMIFS('Hours Log'!$C:$C,'Hours Log'!$A:$A,"&gt;="&amp;$J1650,'Hours Log'!$A:$A,"&lt;"&amp;$J1650+7)+SUMIFS('Hours Log'!$D:$D,'Hours Log'!$A:$A,"&gt;="&amp;$J1650,'Hours Log'!$A:$A,"&lt;"&amp;$J1650+7))</f>
        <v/>
      </c>
      <c r="D1650">
        <f>IF($J1650="","",SUMIFS('Hours Log'!$D:$D,'Hours Log'!$A:$A,"&gt;="&amp;$J1650,'Hours Log'!$A:$A,"&lt;"&amp;$J1650+7))</f>
        <v/>
      </c>
      <c r="E1650">
        <f>IF($J1650="","",IFERROR(C1650/(B1650*40),0))</f>
        <v/>
      </c>
      <c r="F1650">
        <f>IF($J1650="","",0)</f>
        <v/>
      </c>
      <c r="G1650">
        <f>IF($J1650="","",SUMIFS('Hours Log'!$E:$E,'Hours Log'!$A:$A,"&gt;="&amp;$J1650,'Hours Log'!$A:$A,"&lt;"&amp;$J1650+7))</f>
        <v/>
      </c>
      <c r="J1650">
        <f>IF(COUNT('Hours Log'!$A$4:$A$5000)=0,"",IF(MIN('Hours Log'!$A$4:$A$5000)+7*(ROW()-10)&gt;MAX('Hours Log'!$A$4:$A$5000),"",MIN('Hours Log'!$A$4:$A$5000)+7*(ROW()-10)))</f>
        <v/>
      </c>
    </row>
    <row r="1651">
      <c r="A1651">
        <f>IF($J1651="","",YEAR($J1651-WEEKDAY($J1651,2)+4)&amp;"-W"&amp;TEXT(WEEKNUM($J1651,21),"00"))</f>
        <v/>
      </c>
      <c r="B1651" s="41">
        <f>IF($J1651="","",COUNTIFS(Roster!$D$4:$D$500,"Active",Roster!$C$4:$C$500,"&lt;="&amp;$J1651))</f>
        <v/>
      </c>
      <c r="C1651">
        <f>IF($J1651="","",SUMIFS('Hours Log'!$C:$C,'Hours Log'!$A:$A,"&gt;="&amp;$J1651,'Hours Log'!$A:$A,"&lt;"&amp;$J1651+7)+SUMIFS('Hours Log'!$D:$D,'Hours Log'!$A:$A,"&gt;="&amp;$J1651,'Hours Log'!$A:$A,"&lt;"&amp;$J1651+7))</f>
        <v/>
      </c>
      <c r="D1651">
        <f>IF($J1651="","",SUMIFS('Hours Log'!$D:$D,'Hours Log'!$A:$A,"&gt;="&amp;$J1651,'Hours Log'!$A:$A,"&lt;"&amp;$J1651+7))</f>
        <v/>
      </c>
      <c r="E1651">
        <f>IF($J1651="","",IFERROR(C1651/(B1651*40),0))</f>
        <v/>
      </c>
      <c r="F1651">
        <f>IF($J1651="","",0)</f>
        <v/>
      </c>
      <c r="G1651">
        <f>IF($J1651="","",SUMIFS('Hours Log'!$E:$E,'Hours Log'!$A:$A,"&gt;="&amp;$J1651,'Hours Log'!$A:$A,"&lt;"&amp;$J1651+7))</f>
        <v/>
      </c>
      <c r="J1651">
        <f>IF(COUNT('Hours Log'!$A$4:$A$5000)=0,"",IF(MIN('Hours Log'!$A$4:$A$5000)+7*(ROW()-10)&gt;MAX('Hours Log'!$A$4:$A$5000),"",MIN('Hours Log'!$A$4:$A$5000)+7*(ROW()-10)))</f>
        <v/>
      </c>
    </row>
    <row r="1652">
      <c r="A1652">
        <f>IF($J1652="","",YEAR($J1652-WEEKDAY($J1652,2)+4)&amp;"-W"&amp;TEXT(WEEKNUM($J1652,21),"00"))</f>
        <v/>
      </c>
      <c r="B1652" s="41">
        <f>IF($J1652="","",COUNTIFS(Roster!$D$4:$D$500,"Active",Roster!$C$4:$C$500,"&lt;="&amp;$J1652))</f>
        <v/>
      </c>
      <c r="C1652">
        <f>IF($J1652="","",SUMIFS('Hours Log'!$C:$C,'Hours Log'!$A:$A,"&gt;="&amp;$J1652,'Hours Log'!$A:$A,"&lt;"&amp;$J1652+7)+SUMIFS('Hours Log'!$D:$D,'Hours Log'!$A:$A,"&gt;="&amp;$J1652,'Hours Log'!$A:$A,"&lt;"&amp;$J1652+7))</f>
        <v/>
      </c>
      <c r="D1652">
        <f>IF($J1652="","",SUMIFS('Hours Log'!$D:$D,'Hours Log'!$A:$A,"&gt;="&amp;$J1652,'Hours Log'!$A:$A,"&lt;"&amp;$J1652+7))</f>
        <v/>
      </c>
      <c r="E1652">
        <f>IF($J1652="","",IFERROR(C1652/(B1652*40),0))</f>
        <v/>
      </c>
      <c r="F1652">
        <f>IF($J1652="","",0)</f>
        <v/>
      </c>
      <c r="G1652">
        <f>IF($J1652="","",SUMIFS('Hours Log'!$E:$E,'Hours Log'!$A:$A,"&gt;="&amp;$J1652,'Hours Log'!$A:$A,"&lt;"&amp;$J1652+7))</f>
        <v/>
      </c>
      <c r="J1652">
        <f>IF(COUNT('Hours Log'!$A$4:$A$5000)=0,"",IF(MIN('Hours Log'!$A$4:$A$5000)+7*(ROW()-10)&gt;MAX('Hours Log'!$A$4:$A$5000),"",MIN('Hours Log'!$A$4:$A$5000)+7*(ROW()-10)))</f>
        <v/>
      </c>
    </row>
    <row r="1653">
      <c r="A1653">
        <f>IF($J1653="","",YEAR($J1653-WEEKDAY($J1653,2)+4)&amp;"-W"&amp;TEXT(WEEKNUM($J1653,21),"00"))</f>
        <v/>
      </c>
      <c r="B1653" s="41">
        <f>IF($J1653="","",COUNTIFS(Roster!$D$4:$D$500,"Active",Roster!$C$4:$C$500,"&lt;="&amp;$J1653))</f>
        <v/>
      </c>
      <c r="C1653">
        <f>IF($J1653="","",SUMIFS('Hours Log'!$C:$C,'Hours Log'!$A:$A,"&gt;="&amp;$J1653,'Hours Log'!$A:$A,"&lt;"&amp;$J1653+7)+SUMIFS('Hours Log'!$D:$D,'Hours Log'!$A:$A,"&gt;="&amp;$J1653,'Hours Log'!$A:$A,"&lt;"&amp;$J1653+7))</f>
        <v/>
      </c>
      <c r="D1653">
        <f>IF($J1653="","",SUMIFS('Hours Log'!$D:$D,'Hours Log'!$A:$A,"&gt;="&amp;$J1653,'Hours Log'!$A:$A,"&lt;"&amp;$J1653+7))</f>
        <v/>
      </c>
      <c r="E1653">
        <f>IF($J1653="","",IFERROR(C1653/(B1653*40),0))</f>
        <v/>
      </c>
      <c r="F1653">
        <f>IF($J1653="","",0)</f>
        <v/>
      </c>
      <c r="G1653">
        <f>IF($J1653="","",SUMIFS('Hours Log'!$E:$E,'Hours Log'!$A:$A,"&gt;="&amp;$J1653,'Hours Log'!$A:$A,"&lt;"&amp;$J1653+7))</f>
        <v/>
      </c>
      <c r="J1653">
        <f>IF(COUNT('Hours Log'!$A$4:$A$5000)=0,"",IF(MIN('Hours Log'!$A$4:$A$5000)+7*(ROW()-10)&gt;MAX('Hours Log'!$A$4:$A$5000),"",MIN('Hours Log'!$A$4:$A$5000)+7*(ROW()-10)))</f>
        <v/>
      </c>
    </row>
    <row r="1654">
      <c r="A1654">
        <f>IF($J1654="","",YEAR($J1654-WEEKDAY($J1654,2)+4)&amp;"-W"&amp;TEXT(WEEKNUM($J1654,21),"00"))</f>
        <v/>
      </c>
      <c r="B1654" s="41">
        <f>IF($J1654="","",COUNTIFS(Roster!$D$4:$D$500,"Active",Roster!$C$4:$C$500,"&lt;="&amp;$J1654))</f>
        <v/>
      </c>
      <c r="C1654">
        <f>IF($J1654="","",SUMIFS('Hours Log'!$C:$C,'Hours Log'!$A:$A,"&gt;="&amp;$J1654,'Hours Log'!$A:$A,"&lt;"&amp;$J1654+7)+SUMIFS('Hours Log'!$D:$D,'Hours Log'!$A:$A,"&gt;="&amp;$J1654,'Hours Log'!$A:$A,"&lt;"&amp;$J1654+7))</f>
        <v/>
      </c>
      <c r="D1654">
        <f>IF($J1654="","",SUMIFS('Hours Log'!$D:$D,'Hours Log'!$A:$A,"&gt;="&amp;$J1654,'Hours Log'!$A:$A,"&lt;"&amp;$J1654+7))</f>
        <v/>
      </c>
      <c r="E1654">
        <f>IF($J1654="","",IFERROR(C1654/(B1654*40),0))</f>
        <v/>
      </c>
      <c r="F1654">
        <f>IF($J1654="","",0)</f>
        <v/>
      </c>
      <c r="G1654">
        <f>IF($J1654="","",SUMIFS('Hours Log'!$E:$E,'Hours Log'!$A:$A,"&gt;="&amp;$J1654,'Hours Log'!$A:$A,"&lt;"&amp;$J1654+7))</f>
        <v/>
      </c>
      <c r="J1654">
        <f>IF(COUNT('Hours Log'!$A$4:$A$5000)=0,"",IF(MIN('Hours Log'!$A$4:$A$5000)+7*(ROW()-10)&gt;MAX('Hours Log'!$A$4:$A$5000),"",MIN('Hours Log'!$A$4:$A$5000)+7*(ROW()-10)))</f>
        <v/>
      </c>
    </row>
    <row r="1655">
      <c r="A1655">
        <f>IF($J1655="","",YEAR($J1655-WEEKDAY($J1655,2)+4)&amp;"-W"&amp;TEXT(WEEKNUM($J1655,21),"00"))</f>
        <v/>
      </c>
      <c r="B1655" s="41">
        <f>IF($J1655="","",COUNTIFS(Roster!$D$4:$D$500,"Active",Roster!$C$4:$C$500,"&lt;="&amp;$J1655))</f>
        <v/>
      </c>
      <c r="C1655">
        <f>IF($J1655="","",SUMIFS('Hours Log'!$C:$C,'Hours Log'!$A:$A,"&gt;="&amp;$J1655,'Hours Log'!$A:$A,"&lt;"&amp;$J1655+7)+SUMIFS('Hours Log'!$D:$D,'Hours Log'!$A:$A,"&gt;="&amp;$J1655,'Hours Log'!$A:$A,"&lt;"&amp;$J1655+7))</f>
        <v/>
      </c>
      <c r="D1655">
        <f>IF($J1655="","",SUMIFS('Hours Log'!$D:$D,'Hours Log'!$A:$A,"&gt;="&amp;$J1655,'Hours Log'!$A:$A,"&lt;"&amp;$J1655+7))</f>
        <v/>
      </c>
      <c r="E1655">
        <f>IF($J1655="","",IFERROR(C1655/(B1655*40),0))</f>
        <v/>
      </c>
      <c r="F1655">
        <f>IF($J1655="","",0)</f>
        <v/>
      </c>
      <c r="G1655">
        <f>IF($J1655="","",SUMIFS('Hours Log'!$E:$E,'Hours Log'!$A:$A,"&gt;="&amp;$J1655,'Hours Log'!$A:$A,"&lt;"&amp;$J1655+7))</f>
        <v/>
      </c>
      <c r="J1655">
        <f>IF(COUNT('Hours Log'!$A$4:$A$5000)=0,"",IF(MIN('Hours Log'!$A$4:$A$5000)+7*(ROW()-10)&gt;MAX('Hours Log'!$A$4:$A$5000),"",MIN('Hours Log'!$A$4:$A$5000)+7*(ROW()-10)))</f>
        <v/>
      </c>
    </row>
    <row r="1656">
      <c r="A1656">
        <f>IF($J1656="","",YEAR($J1656-WEEKDAY($J1656,2)+4)&amp;"-W"&amp;TEXT(WEEKNUM($J1656,21),"00"))</f>
        <v/>
      </c>
      <c r="B1656" s="41">
        <f>IF($J1656="","",COUNTIFS(Roster!$D$4:$D$500,"Active",Roster!$C$4:$C$500,"&lt;="&amp;$J1656))</f>
        <v/>
      </c>
      <c r="C1656">
        <f>IF($J1656="","",SUMIFS('Hours Log'!$C:$C,'Hours Log'!$A:$A,"&gt;="&amp;$J1656,'Hours Log'!$A:$A,"&lt;"&amp;$J1656+7)+SUMIFS('Hours Log'!$D:$D,'Hours Log'!$A:$A,"&gt;="&amp;$J1656,'Hours Log'!$A:$A,"&lt;"&amp;$J1656+7))</f>
        <v/>
      </c>
      <c r="D1656">
        <f>IF($J1656="","",SUMIFS('Hours Log'!$D:$D,'Hours Log'!$A:$A,"&gt;="&amp;$J1656,'Hours Log'!$A:$A,"&lt;"&amp;$J1656+7))</f>
        <v/>
      </c>
      <c r="E1656">
        <f>IF($J1656="","",IFERROR(C1656/(B1656*40),0))</f>
        <v/>
      </c>
      <c r="F1656">
        <f>IF($J1656="","",0)</f>
        <v/>
      </c>
      <c r="G1656">
        <f>IF($J1656="","",SUMIFS('Hours Log'!$E:$E,'Hours Log'!$A:$A,"&gt;="&amp;$J1656,'Hours Log'!$A:$A,"&lt;"&amp;$J1656+7))</f>
        <v/>
      </c>
      <c r="J1656">
        <f>IF(COUNT('Hours Log'!$A$4:$A$5000)=0,"",IF(MIN('Hours Log'!$A$4:$A$5000)+7*(ROW()-10)&gt;MAX('Hours Log'!$A$4:$A$5000),"",MIN('Hours Log'!$A$4:$A$5000)+7*(ROW()-10)))</f>
        <v/>
      </c>
    </row>
    <row r="1657">
      <c r="A1657">
        <f>IF($J1657="","",YEAR($J1657-WEEKDAY($J1657,2)+4)&amp;"-W"&amp;TEXT(WEEKNUM($J1657,21),"00"))</f>
        <v/>
      </c>
      <c r="B1657" s="41">
        <f>IF($J1657="","",COUNTIFS(Roster!$D$4:$D$500,"Active",Roster!$C$4:$C$500,"&lt;="&amp;$J1657))</f>
        <v/>
      </c>
      <c r="C1657">
        <f>IF($J1657="","",SUMIFS('Hours Log'!$C:$C,'Hours Log'!$A:$A,"&gt;="&amp;$J1657,'Hours Log'!$A:$A,"&lt;"&amp;$J1657+7)+SUMIFS('Hours Log'!$D:$D,'Hours Log'!$A:$A,"&gt;="&amp;$J1657,'Hours Log'!$A:$A,"&lt;"&amp;$J1657+7))</f>
        <v/>
      </c>
      <c r="D1657">
        <f>IF($J1657="","",SUMIFS('Hours Log'!$D:$D,'Hours Log'!$A:$A,"&gt;="&amp;$J1657,'Hours Log'!$A:$A,"&lt;"&amp;$J1657+7))</f>
        <v/>
      </c>
      <c r="E1657">
        <f>IF($J1657="","",IFERROR(C1657/(B1657*40),0))</f>
        <v/>
      </c>
      <c r="F1657">
        <f>IF($J1657="","",0)</f>
        <v/>
      </c>
      <c r="G1657">
        <f>IF($J1657="","",SUMIFS('Hours Log'!$E:$E,'Hours Log'!$A:$A,"&gt;="&amp;$J1657,'Hours Log'!$A:$A,"&lt;"&amp;$J1657+7))</f>
        <v/>
      </c>
      <c r="J1657">
        <f>IF(COUNT('Hours Log'!$A$4:$A$5000)=0,"",IF(MIN('Hours Log'!$A$4:$A$5000)+7*(ROW()-10)&gt;MAX('Hours Log'!$A$4:$A$5000),"",MIN('Hours Log'!$A$4:$A$5000)+7*(ROW()-10)))</f>
        <v/>
      </c>
    </row>
    <row r="1658">
      <c r="A1658">
        <f>IF($J1658="","",YEAR($J1658-WEEKDAY($J1658,2)+4)&amp;"-W"&amp;TEXT(WEEKNUM($J1658,21),"00"))</f>
        <v/>
      </c>
      <c r="B1658" s="41">
        <f>IF($J1658="","",COUNTIFS(Roster!$D$4:$D$500,"Active",Roster!$C$4:$C$500,"&lt;="&amp;$J1658))</f>
        <v/>
      </c>
      <c r="C1658">
        <f>IF($J1658="","",SUMIFS('Hours Log'!$C:$C,'Hours Log'!$A:$A,"&gt;="&amp;$J1658,'Hours Log'!$A:$A,"&lt;"&amp;$J1658+7)+SUMIFS('Hours Log'!$D:$D,'Hours Log'!$A:$A,"&gt;="&amp;$J1658,'Hours Log'!$A:$A,"&lt;"&amp;$J1658+7))</f>
        <v/>
      </c>
      <c r="D1658">
        <f>IF($J1658="","",SUMIFS('Hours Log'!$D:$D,'Hours Log'!$A:$A,"&gt;="&amp;$J1658,'Hours Log'!$A:$A,"&lt;"&amp;$J1658+7))</f>
        <v/>
      </c>
      <c r="E1658">
        <f>IF($J1658="","",IFERROR(C1658/(B1658*40),0))</f>
        <v/>
      </c>
      <c r="F1658">
        <f>IF($J1658="","",0)</f>
        <v/>
      </c>
      <c r="G1658">
        <f>IF($J1658="","",SUMIFS('Hours Log'!$E:$E,'Hours Log'!$A:$A,"&gt;="&amp;$J1658,'Hours Log'!$A:$A,"&lt;"&amp;$J1658+7))</f>
        <v/>
      </c>
      <c r="J1658">
        <f>IF(COUNT('Hours Log'!$A$4:$A$5000)=0,"",IF(MIN('Hours Log'!$A$4:$A$5000)+7*(ROW()-10)&gt;MAX('Hours Log'!$A$4:$A$5000),"",MIN('Hours Log'!$A$4:$A$5000)+7*(ROW()-10)))</f>
        <v/>
      </c>
    </row>
    <row r="1659">
      <c r="A1659">
        <f>IF($J1659="","",YEAR($J1659-WEEKDAY($J1659,2)+4)&amp;"-W"&amp;TEXT(WEEKNUM($J1659,21),"00"))</f>
        <v/>
      </c>
      <c r="B1659" s="41">
        <f>IF($J1659="","",COUNTIFS(Roster!$D$4:$D$500,"Active",Roster!$C$4:$C$500,"&lt;="&amp;$J1659))</f>
        <v/>
      </c>
      <c r="C1659">
        <f>IF($J1659="","",SUMIFS('Hours Log'!$C:$C,'Hours Log'!$A:$A,"&gt;="&amp;$J1659,'Hours Log'!$A:$A,"&lt;"&amp;$J1659+7)+SUMIFS('Hours Log'!$D:$D,'Hours Log'!$A:$A,"&gt;="&amp;$J1659,'Hours Log'!$A:$A,"&lt;"&amp;$J1659+7))</f>
        <v/>
      </c>
      <c r="D1659">
        <f>IF($J1659="","",SUMIFS('Hours Log'!$D:$D,'Hours Log'!$A:$A,"&gt;="&amp;$J1659,'Hours Log'!$A:$A,"&lt;"&amp;$J1659+7))</f>
        <v/>
      </c>
      <c r="E1659">
        <f>IF($J1659="","",IFERROR(C1659/(B1659*40),0))</f>
        <v/>
      </c>
      <c r="F1659">
        <f>IF($J1659="","",0)</f>
        <v/>
      </c>
      <c r="G1659">
        <f>IF($J1659="","",SUMIFS('Hours Log'!$E:$E,'Hours Log'!$A:$A,"&gt;="&amp;$J1659,'Hours Log'!$A:$A,"&lt;"&amp;$J1659+7))</f>
        <v/>
      </c>
      <c r="J1659">
        <f>IF(COUNT('Hours Log'!$A$4:$A$5000)=0,"",IF(MIN('Hours Log'!$A$4:$A$5000)+7*(ROW()-10)&gt;MAX('Hours Log'!$A$4:$A$5000),"",MIN('Hours Log'!$A$4:$A$5000)+7*(ROW()-10)))</f>
        <v/>
      </c>
    </row>
    <row r="1660">
      <c r="A1660">
        <f>IF($J1660="","",YEAR($J1660-WEEKDAY($J1660,2)+4)&amp;"-W"&amp;TEXT(WEEKNUM($J1660,21),"00"))</f>
        <v/>
      </c>
      <c r="B1660" s="41">
        <f>IF($J1660="","",COUNTIFS(Roster!$D$4:$D$500,"Active",Roster!$C$4:$C$500,"&lt;="&amp;$J1660))</f>
        <v/>
      </c>
      <c r="C1660">
        <f>IF($J1660="","",SUMIFS('Hours Log'!$C:$C,'Hours Log'!$A:$A,"&gt;="&amp;$J1660,'Hours Log'!$A:$A,"&lt;"&amp;$J1660+7)+SUMIFS('Hours Log'!$D:$D,'Hours Log'!$A:$A,"&gt;="&amp;$J1660,'Hours Log'!$A:$A,"&lt;"&amp;$J1660+7))</f>
        <v/>
      </c>
      <c r="D1660">
        <f>IF($J1660="","",SUMIFS('Hours Log'!$D:$D,'Hours Log'!$A:$A,"&gt;="&amp;$J1660,'Hours Log'!$A:$A,"&lt;"&amp;$J1660+7))</f>
        <v/>
      </c>
      <c r="E1660">
        <f>IF($J1660="","",IFERROR(C1660/(B1660*40),0))</f>
        <v/>
      </c>
      <c r="F1660">
        <f>IF($J1660="","",0)</f>
        <v/>
      </c>
      <c r="G1660">
        <f>IF($J1660="","",SUMIFS('Hours Log'!$E:$E,'Hours Log'!$A:$A,"&gt;="&amp;$J1660,'Hours Log'!$A:$A,"&lt;"&amp;$J1660+7))</f>
        <v/>
      </c>
      <c r="J1660">
        <f>IF(COUNT('Hours Log'!$A$4:$A$5000)=0,"",IF(MIN('Hours Log'!$A$4:$A$5000)+7*(ROW()-10)&gt;MAX('Hours Log'!$A$4:$A$5000),"",MIN('Hours Log'!$A$4:$A$5000)+7*(ROW()-10)))</f>
        <v/>
      </c>
    </row>
    <row r="1661">
      <c r="A1661">
        <f>IF($J1661="","",YEAR($J1661-WEEKDAY($J1661,2)+4)&amp;"-W"&amp;TEXT(WEEKNUM($J1661,21),"00"))</f>
        <v/>
      </c>
      <c r="B1661" s="41">
        <f>IF($J1661="","",COUNTIFS(Roster!$D$4:$D$500,"Active",Roster!$C$4:$C$500,"&lt;="&amp;$J1661))</f>
        <v/>
      </c>
      <c r="C1661">
        <f>IF($J1661="","",SUMIFS('Hours Log'!$C:$C,'Hours Log'!$A:$A,"&gt;="&amp;$J1661,'Hours Log'!$A:$A,"&lt;"&amp;$J1661+7)+SUMIFS('Hours Log'!$D:$D,'Hours Log'!$A:$A,"&gt;="&amp;$J1661,'Hours Log'!$A:$A,"&lt;"&amp;$J1661+7))</f>
        <v/>
      </c>
      <c r="D1661">
        <f>IF($J1661="","",SUMIFS('Hours Log'!$D:$D,'Hours Log'!$A:$A,"&gt;="&amp;$J1661,'Hours Log'!$A:$A,"&lt;"&amp;$J1661+7))</f>
        <v/>
      </c>
      <c r="E1661">
        <f>IF($J1661="","",IFERROR(C1661/(B1661*40),0))</f>
        <v/>
      </c>
      <c r="F1661">
        <f>IF($J1661="","",0)</f>
        <v/>
      </c>
      <c r="G1661">
        <f>IF($J1661="","",SUMIFS('Hours Log'!$E:$E,'Hours Log'!$A:$A,"&gt;="&amp;$J1661,'Hours Log'!$A:$A,"&lt;"&amp;$J1661+7))</f>
        <v/>
      </c>
      <c r="J1661">
        <f>IF(COUNT('Hours Log'!$A$4:$A$5000)=0,"",IF(MIN('Hours Log'!$A$4:$A$5000)+7*(ROW()-10)&gt;MAX('Hours Log'!$A$4:$A$5000),"",MIN('Hours Log'!$A$4:$A$5000)+7*(ROW()-10)))</f>
        <v/>
      </c>
    </row>
    <row r="1662">
      <c r="A1662">
        <f>IF($J1662="","",YEAR($J1662-WEEKDAY($J1662,2)+4)&amp;"-W"&amp;TEXT(WEEKNUM($J1662,21),"00"))</f>
        <v/>
      </c>
      <c r="B1662" s="41">
        <f>IF($J1662="","",COUNTIFS(Roster!$D$4:$D$500,"Active",Roster!$C$4:$C$500,"&lt;="&amp;$J1662))</f>
        <v/>
      </c>
      <c r="C1662">
        <f>IF($J1662="","",SUMIFS('Hours Log'!$C:$C,'Hours Log'!$A:$A,"&gt;="&amp;$J1662,'Hours Log'!$A:$A,"&lt;"&amp;$J1662+7)+SUMIFS('Hours Log'!$D:$D,'Hours Log'!$A:$A,"&gt;="&amp;$J1662,'Hours Log'!$A:$A,"&lt;"&amp;$J1662+7))</f>
        <v/>
      </c>
      <c r="D1662">
        <f>IF($J1662="","",SUMIFS('Hours Log'!$D:$D,'Hours Log'!$A:$A,"&gt;="&amp;$J1662,'Hours Log'!$A:$A,"&lt;"&amp;$J1662+7))</f>
        <v/>
      </c>
      <c r="E1662">
        <f>IF($J1662="","",IFERROR(C1662/(B1662*40),0))</f>
        <v/>
      </c>
      <c r="F1662">
        <f>IF($J1662="","",0)</f>
        <v/>
      </c>
      <c r="G1662">
        <f>IF($J1662="","",SUMIFS('Hours Log'!$E:$E,'Hours Log'!$A:$A,"&gt;="&amp;$J1662,'Hours Log'!$A:$A,"&lt;"&amp;$J1662+7))</f>
        <v/>
      </c>
      <c r="J1662">
        <f>IF(COUNT('Hours Log'!$A$4:$A$5000)=0,"",IF(MIN('Hours Log'!$A$4:$A$5000)+7*(ROW()-10)&gt;MAX('Hours Log'!$A$4:$A$5000),"",MIN('Hours Log'!$A$4:$A$5000)+7*(ROW()-10)))</f>
        <v/>
      </c>
    </row>
    <row r="1663">
      <c r="A1663">
        <f>IF($J1663="","",YEAR($J1663-WEEKDAY($J1663,2)+4)&amp;"-W"&amp;TEXT(WEEKNUM($J1663,21),"00"))</f>
        <v/>
      </c>
      <c r="B1663" s="41">
        <f>IF($J1663="","",COUNTIFS(Roster!$D$4:$D$500,"Active",Roster!$C$4:$C$500,"&lt;="&amp;$J1663))</f>
        <v/>
      </c>
      <c r="C1663">
        <f>IF($J1663="","",SUMIFS('Hours Log'!$C:$C,'Hours Log'!$A:$A,"&gt;="&amp;$J1663,'Hours Log'!$A:$A,"&lt;"&amp;$J1663+7)+SUMIFS('Hours Log'!$D:$D,'Hours Log'!$A:$A,"&gt;="&amp;$J1663,'Hours Log'!$A:$A,"&lt;"&amp;$J1663+7))</f>
        <v/>
      </c>
      <c r="D1663">
        <f>IF($J1663="","",SUMIFS('Hours Log'!$D:$D,'Hours Log'!$A:$A,"&gt;="&amp;$J1663,'Hours Log'!$A:$A,"&lt;"&amp;$J1663+7))</f>
        <v/>
      </c>
      <c r="E1663">
        <f>IF($J1663="","",IFERROR(C1663/(B1663*40),0))</f>
        <v/>
      </c>
      <c r="F1663">
        <f>IF($J1663="","",0)</f>
        <v/>
      </c>
      <c r="G1663">
        <f>IF($J1663="","",SUMIFS('Hours Log'!$E:$E,'Hours Log'!$A:$A,"&gt;="&amp;$J1663,'Hours Log'!$A:$A,"&lt;"&amp;$J1663+7))</f>
        <v/>
      </c>
      <c r="J1663">
        <f>IF(COUNT('Hours Log'!$A$4:$A$5000)=0,"",IF(MIN('Hours Log'!$A$4:$A$5000)+7*(ROW()-10)&gt;MAX('Hours Log'!$A$4:$A$5000),"",MIN('Hours Log'!$A$4:$A$5000)+7*(ROW()-10)))</f>
        <v/>
      </c>
    </row>
    <row r="1664">
      <c r="A1664">
        <f>IF($J1664="","",YEAR($J1664-WEEKDAY($J1664,2)+4)&amp;"-W"&amp;TEXT(WEEKNUM($J1664,21),"00"))</f>
        <v/>
      </c>
      <c r="B1664" s="41">
        <f>IF($J1664="","",COUNTIFS(Roster!$D$4:$D$500,"Active",Roster!$C$4:$C$500,"&lt;="&amp;$J1664))</f>
        <v/>
      </c>
      <c r="C1664">
        <f>IF($J1664="","",SUMIFS('Hours Log'!$C:$C,'Hours Log'!$A:$A,"&gt;="&amp;$J1664,'Hours Log'!$A:$A,"&lt;"&amp;$J1664+7)+SUMIFS('Hours Log'!$D:$D,'Hours Log'!$A:$A,"&gt;="&amp;$J1664,'Hours Log'!$A:$A,"&lt;"&amp;$J1664+7))</f>
        <v/>
      </c>
      <c r="D1664">
        <f>IF($J1664="","",SUMIFS('Hours Log'!$D:$D,'Hours Log'!$A:$A,"&gt;="&amp;$J1664,'Hours Log'!$A:$A,"&lt;"&amp;$J1664+7))</f>
        <v/>
      </c>
      <c r="E1664">
        <f>IF($J1664="","",IFERROR(C1664/(B1664*40),0))</f>
        <v/>
      </c>
      <c r="F1664">
        <f>IF($J1664="","",0)</f>
        <v/>
      </c>
      <c r="G1664">
        <f>IF($J1664="","",SUMIFS('Hours Log'!$E:$E,'Hours Log'!$A:$A,"&gt;="&amp;$J1664,'Hours Log'!$A:$A,"&lt;"&amp;$J1664+7))</f>
        <v/>
      </c>
      <c r="J1664">
        <f>IF(COUNT('Hours Log'!$A$4:$A$5000)=0,"",IF(MIN('Hours Log'!$A$4:$A$5000)+7*(ROW()-10)&gt;MAX('Hours Log'!$A$4:$A$5000),"",MIN('Hours Log'!$A$4:$A$5000)+7*(ROW()-10)))</f>
        <v/>
      </c>
    </row>
    <row r="1665">
      <c r="A1665">
        <f>IF($J1665="","",YEAR($J1665-WEEKDAY($J1665,2)+4)&amp;"-W"&amp;TEXT(WEEKNUM($J1665,21),"00"))</f>
        <v/>
      </c>
      <c r="B1665" s="41">
        <f>IF($J1665="","",COUNTIFS(Roster!$D$4:$D$500,"Active",Roster!$C$4:$C$500,"&lt;="&amp;$J1665))</f>
        <v/>
      </c>
      <c r="C1665">
        <f>IF($J1665="","",SUMIFS('Hours Log'!$C:$C,'Hours Log'!$A:$A,"&gt;="&amp;$J1665,'Hours Log'!$A:$A,"&lt;"&amp;$J1665+7)+SUMIFS('Hours Log'!$D:$D,'Hours Log'!$A:$A,"&gt;="&amp;$J1665,'Hours Log'!$A:$A,"&lt;"&amp;$J1665+7))</f>
        <v/>
      </c>
      <c r="D1665">
        <f>IF($J1665="","",SUMIFS('Hours Log'!$D:$D,'Hours Log'!$A:$A,"&gt;="&amp;$J1665,'Hours Log'!$A:$A,"&lt;"&amp;$J1665+7))</f>
        <v/>
      </c>
      <c r="E1665">
        <f>IF($J1665="","",IFERROR(C1665/(B1665*40),0))</f>
        <v/>
      </c>
      <c r="F1665">
        <f>IF($J1665="","",0)</f>
        <v/>
      </c>
      <c r="G1665">
        <f>IF($J1665="","",SUMIFS('Hours Log'!$E:$E,'Hours Log'!$A:$A,"&gt;="&amp;$J1665,'Hours Log'!$A:$A,"&lt;"&amp;$J1665+7))</f>
        <v/>
      </c>
      <c r="J1665">
        <f>IF(COUNT('Hours Log'!$A$4:$A$5000)=0,"",IF(MIN('Hours Log'!$A$4:$A$5000)+7*(ROW()-10)&gt;MAX('Hours Log'!$A$4:$A$5000),"",MIN('Hours Log'!$A$4:$A$5000)+7*(ROW()-10)))</f>
        <v/>
      </c>
    </row>
    <row r="1666">
      <c r="A1666">
        <f>IF($J1666="","",YEAR($J1666-WEEKDAY($J1666,2)+4)&amp;"-W"&amp;TEXT(WEEKNUM($J1666,21),"00"))</f>
        <v/>
      </c>
      <c r="B1666" s="41">
        <f>IF($J1666="","",COUNTIFS(Roster!$D$4:$D$500,"Active",Roster!$C$4:$C$500,"&lt;="&amp;$J1666))</f>
        <v/>
      </c>
      <c r="C1666">
        <f>IF($J1666="","",SUMIFS('Hours Log'!$C:$C,'Hours Log'!$A:$A,"&gt;="&amp;$J1666,'Hours Log'!$A:$A,"&lt;"&amp;$J1666+7)+SUMIFS('Hours Log'!$D:$D,'Hours Log'!$A:$A,"&gt;="&amp;$J1666,'Hours Log'!$A:$A,"&lt;"&amp;$J1666+7))</f>
        <v/>
      </c>
      <c r="D1666">
        <f>IF($J1666="","",SUMIFS('Hours Log'!$D:$D,'Hours Log'!$A:$A,"&gt;="&amp;$J1666,'Hours Log'!$A:$A,"&lt;"&amp;$J1666+7))</f>
        <v/>
      </c>
      <c r="E1666">
        <f>IF($J1666="","",IFERROR(C1666/(B1666*40),0))</f>
        <v/>
      </c>
      <c r="F1666">
        <f>IF($J1666="","",0)</f>
        <v/>
      </c>
      <c r="G1666">
        <f>IF($J1666="","",SUMIFS('Hours Log'!$E:$E,'Hours Log'!$A:$A,"&gt;="&amp;$J1666,'Hours Log'!$A:$A,"&lt;"&amp;$J1666+7))</f>
        <v/>
      </c>
      <c r="J1666">
        <f>IF(COUNT('Hours Log'!$A$4:$A$5000)=0,"",IF(MIN('Hours Log'!$A$4:$A$5000)+7*(ROW()-10)&gt;MAX('Hours Log'!$A$4:$A$5000),"",MIN('Hours Log'!$A$4:$A$5000)+7*(ROW()-10)))</f>
        <v/>
      </c>
    </row>
    <row r="1667">
      <c r="A1667">
        <f>IF($J1667="","",YEAR($J1667-WEEKDAY($J1667,2)+4)&amp;"-W"&amp;TEXT(WEEKNUM($J1667,21),"00"))</f>
        <v/>
      </c>
      <c r="B1667" s="41">
        <f>IF($J1667="","",COUNTIFS(Roster!$D$4:$D$500,"Active",Roster!$C$4:$C$500,"&lt;="&amp;$J1667))</f>
        <v/>
      </c>
      <c r="C1667">
        <f>IF($J1667="","",SUMIFS('Hours Log'!$C:$C,'Hours Log'!$A:$A,"&gt;="&amp;$J1667,'Hours Log'!$A:$A,"&lt;"&amp;$J1667+7)+SUMIFS('Hours Log'!$D:$D,'Hours Log'!$A:$A,"&gt;="&amp;$J1667,'Hours Log'!$A:$A,"&lt;"&amp;$J1667+7))</f>
        <v/>
      </c>
      <c r="D1667">
        <f>IF($J1667="","",SUMIFS('Hours Log'!$D:$D,'Hours Log'!$A:$A,"&gt;="&amp;$J1667,'Hours Log'!$A:$A,"&lt;"&amp;$J1667+7))</f>
        <v/>
      </c>
      <c r="E1667">
        <f>IF($J1667="","",IFERROR(C1667/(B1667*40),0))</f>
        <v/>
      </c>
      <c r="F1667">
        <f>IF($J1667="","",0)</f>
        <v/>
      </c>
      <c r="G1667">
        <f>IF($J1667="","",SUMIFS('Hours Log'!$E:$E,'Hours Log'!$A:$A,"&gt;="&amp;$J1667,'Hours Log'!$A:$A,"&lt;"&amp;$J1667+7))</f>
        <v/>
      </c>
      <c r="J1667">
        <f>IF(COUNT('Hours Log'!$A$4:$A$5000)=0,"",IF(MIN('Hours Log'!$A$4:$A$5000)+7*(ROW()-10)&gt;MAX('Hours Log'!$A$4:$A$5000),"",MIN('Hours Log'!$A$4:$A$5000)+7*(ROW()-10)))</f>
        <v/>
      </c>
    </row>
    <row r="1668">
      <c r="A1668">
        <f>IF($J1668="","",YEAR($J1668-WEEKDAY($J1668,2)+4)&amp;"-W"&amp;TEXT(WEEKNUM($J1668,21),"00"))</f>
        <v/>
      </c>
      <c r="B1668" s="41">
        <f>IF($J1668="","",COUNTIFS(Roster!$D$4:$D$500,"Active",Roster!$C$4:$C$500,"&lt;="&amp;$J1668))</f>
        <v/>
      </c>
      <c r="C1668">
        <f>IF($J1668="","",SUMIFS('Hours Log'!$C:$C,'Hours Log'!$A:$A,"&gt;="&amp;$J1668,'Hours Log'!$A:$A,"&lt;"&amp;$J1668+7)+SUMIFS('Hours Log'!$D:$D,'Hours Log'!$A:$A,"&gt;="&amp;$J1668,'Hours Log'!$A:$A,"&lt;"&amp;$J1668+7))</f>
        <v/>
      </c>
      <c r="D1668">
        <f>IF($J1668="","",SUMIFS('Hours Log'!$D:$D,'Hours Log'!$A:$A,"&gt;="&amp;$J1668,'Hours Log'!$A:$A,"&lt;"&amp;$J1668+7))</f>
        <v/>
      </c>
      <c r="E1668">
        <f>IF($J1668="","",IFERROR(C1668/(B1668*40),0))</f>
        <v/>
      </c>
      <c r="F1668">
        <f>IF($J1668="","",0)</f>
        <v/>
      </c>
      <c r="G1668">
        <f>IF($J1668="","",SUMIFS('Hours Log'!$E:$E,'Hours Log'!$A:$A,"&gt;="&amp;$J1668,'Hours Log'!$A:$A,"&lt;"&amp;$J1668+7))</f>
        <v/>
      </c>
      <c r="J1668">
        <f>IF(COUNT('Hours Log'!$A$4:$A$5000)=0,"",IF(MIN('Hours Log'!$A$4:$A$5000)+7*(ROW()-10)&gt;MAX('Hours Log'!$A$4:$A$5000),"",MIN('Hours Log'!$A$4:$A$5000)+7*(ROW()-10)))</f>
        <v/>
      </c>
    </row>
    <row r="1669">
      <c r="A1669">
        <f>IF($J1669="","",YEAR($J1669-WEEKDAY($J1669,2)+4)&amp;"-W"&amp;TEXT(WEEKNUM($J1669,21),"00"))</f>
        <v/>
      </c>
      <c r="B1669" s="41">
        <f>IF($J1669="","",COUNTIFS(Roster!$D$4:$D$500,"Active",Roster!$C$4:$C$500,"&lt;="&amp;$J1669))</f>
        <v/>
      </c>
      <c r="C1669">
        <f>IF($J1669="","",SUMIFS('Hours Log'!$C:$C,'Hours Log'!$A:$A,"&gt;="&amp;$J1669,'Hours Log'!$A:$A,"&lt;"&amp;$J1669+7)+SUMIFS('Hours Log'!$D:$D,'Hours Log'!$A:$A,"&gt;="&amp;$J1669,'Hours Log'!$A:$A,"&lt;"&amp;$J1669+7))</f>
        <v/>
      </c>
      <c r="D1669">
        <f>IF($J1669="","",SUMIFS('Hours Log'!$D:$D,'Hours Log'!$A:$A,"&gt;="&amp;$J1669,'Hours Log'!$A:$A,"&lt;"&amp;$J1669+7))</f>
        <v/>
      </c>
      <c r="E1669">
        <f>IF($J1669="","",IFERROR(C1669/(B1669*40),0))</f>
        <v/>
      </c>
      <c r="F1669">
        <f>IF($J1669="","",0)</f>
        <v/>
      </c>
      <c r="G1669">
        <f>IF($J1669="","",SUMIFS('Hours Log'!$E:$E,'Hours Log'!$A:$A,"&gt;="&amp;$J1669,'Hours Log'!$A:$A,"&lt;"&amp;$J1669+7))</f>
        <v/>
      </c>
      <c r="J1669">
        <f>IF(COUNT('Hours Log'!$A$4:$A$5000)=0,"",IF(MIN('Hours Log'!$A$4:$A$5000)+7*(ROW()-10)&gt;MAX('Hours Log'!$A$4:$A$5000),"",MIN('Hours Log'!$A$4:$A$5000)+7*(ROW()-10)))</f>
        <v/>
      </c>
    </row>
    <row r="1670">
      <c r="A1670">
        <f>IF($J1670="","",YEAR($J1670-WEEKDAY($J1670,2)+4)&amp;"-W"&amp;TEXT(WEEKNUM($J1670,21),"00"))</f>
        <v/>
      </c>
      <c r="B1670" s="41">
        <f>IF($J1670="","",COUNTIFS(Roster!$D$4:$D$500,"Active",Roster!$C$4:$C$500,"&lt;="&amp;$J1670))</f>
        <v/>
      </c>
      <c r="C1670">
        <f>IF($J1670="","",SUMIFS('Hours Log'!$C:$C,'Hours Log'!$A:$A,"&gt;="&amp;$J1670,'Hours Log'!$A:$A,"&lt;"&amp;$J1670+7)+SUMIFS('Hours Log'!$D:$D,'Hours Log'!$A:$A,"&gt;="&amp;$J1670,'Hours Log'!$A:$A,"&lt;"&amp;$J1670+7))</f>
        <v/>
      </c>
      <c r="D1670">
        <f>IF($J1670="","",SUMIFS('Hours Log'!$D:$D,'Hours Log'!$A:$A,"&gt;="&amp;$J1670,'Hours Log'!$A:$A,"&lt;"&amp;$J1670+7))</f>
        <v/>
      </c>
      <c r="E1670">
        <f>IF($J1670="","",IFERROR(C1670/(B1670*40),0))</f>
        <v/>
      </c>
      <c r="F1670">
        <f>IF($J1670="","",0)</f>
        <v/>
      </c>
      <c r="G1670">
        <f>IF($J1670="","",SUMIFS('Hours Log'!$E:$E,'Hours Log'!$A:$A,"&gt;="&amp;$J1670,'Hours Log'!$A:$A,"&lt;"&amp;$J1670+7))</f>
        <v/>
      </c>
      <c r="J1670">
        <f>IF(COUNT('Hours Log'!$A$4:$A$5000)=0,"",IF(MIN('Hours Log'!$A$4:$A$5000)+7*(ROW()-10)&gt;MAX('Hours Log'!$A$4:$A$5000),"",MIN('Hours Log'!$A$4:$A$5000)+7*(ROW()-10)))</f>
        <v/>
      </c>
    </row>
    <row r="1671">
      <c r="A1671">
        <f>IF($J1671="","",YEAR($J1671-WEEKDAY($J1671,2)+4)&amp;"-W"&amp;TEXT(WEEKNUM($J1671,21),"00"))</f>
        <v/>
      </c>
      <c r="B1671" s="41">
        <f>IF($J1671="","",COUNTIFS(Roster!$D$4:$D$500,"Active",Roster!$C$4:$C$500,"&lt;="&amp;$J1671))</f>
        <v/>
      </c>
      <c r="C1671">
        <f>IF($J1671="","",SUMIFS('Hours Log'!$C:$C,'Hours Log'!$A:$A,"&gt;="&amp;$J1671,'Hours Log'!$A:$A,"&lt;"&amp;$J1671+7)+SUMIFS('Hours Log'!$D:$D,'Hours Log'!$A:$A,"&gt;="&amp;$J1671,'Hours Log'!$A:$A,"&lt;"&amp;$J1671+7))</f>
        <v/>
      </c>
      <c r="D1671">
        <f>IF($J1671="","",SUMIFS('Hours Log'!$D:$D,'Hours Log'!$A:$A,"&gt;="&amp;$J1671,'Hours Log'!$A:$A,"&lt;"&amp;$J1671+7))</f>
        <v/>
      </c>
      <c r="E1671">
        <f>IF($J1671="","",IFERROR(C1671/(B1671*40),0))</f>
        <v/>
      </c>
      <c r="F1671">
        <f>IF($J1671="","",0)</f>
        <v/>
      </c>
      <c r="G1671">
        <f>IF($J1671="","",SUMIFS('Hours Log'!$E:$E,'Hours Log'!$A:$A,"&gt;="&amp;$J1671,'Hours Log'!$A:$A,"&lt;"&amp;$J1671+7))</f>
        <v/>
      </c>
      <c r="J1671">
        <f>IF(COUNT('Hours Log'!$A$4:$A$5000)=0,"",IF(MIN('Hours Log'!$A$4:$A$5000)+7*(ROW()-10)&gt;MAX('Hours Log'!$A$4:$A$5000),"",MIN('Hours Log'!$A$4:$A$5000)+7*(ROW()-10)))</f>
        <v/>
      </c>
    </row>
    <row r="1672">
      <c r="A1672">
        <f>IF($J1672="","",YEAR($J1672-WEEKDAY($J1672,2)+4)&amp;"-W"&amp;TEXT(WEEKNUM($J1672,21),"00"))</f>
        <v/>
      </c>
      <c r="B1672" s="41">
        <f>IF($J1672="","",COUNTIFS(Roster!$D$4:$D$500,"Active",Roster!$C$4:$C$500,"&lt;="&amp;$J1672))</f>
        <v/>
      </c>
      <c r="C1672">
        <f>IF($J1672="","",SUMIFS('Hours Log'!$C:$C,'Hours Log'!$A:$A,"&gt;="&amp;$J1672,'Hours Log'!$A:$A,"&lt;"&amp;$J1672+7)+SUMIFS('Hours Log'!$D:$D,'Hours Log'!$A:$A,"&gt;="&amp;$J1672,'Hours Log'!$A:$A,"&lt;"&amp;$J1672+7))</f>
        <v/>
      </c>
      <c r="D1672">
        <f>IF($J1672="","",SUMIFS('Hours Log'!$D:$D,'Hours Log'!$A:$A,"&gt;="&amp;$J1672,'Hours Log'!$A:$A,"&lt;"&amp;$J1672+7))</f>
        <v/>
      </c>
      <c r="E1672">
        <f>IF($J1672="","",IFERROR(C1672/(B1672*40),0))</f>
        <v/>
      </c>
      <c r="F1672">
        <f>IF($J1672="","",0)</f>
        <v/>
      </c>
      <c r="G1672">
        <f>IF($J1672="","",SUMIFS('Hours Log'!$E:$E,'Hours Log'!$A:$A,"&gt;="&amp;$J1672,'Hours Log'!$A:$A,"&lt;"&amp;$J1672+7))</f>
        <v/>
      </c>
      <c r="J1672">
        <f>IF(COUNT('Hours Log'!$A$4:$A$5000)=0,"",IF(MIN('Hours Log'!$A$4:$A$5000)+7*(ROW()-10)&gt;MAX('Hours Log'!$A$4:$A$5000),"",MIN('Hours Log'!$A$4:$A$5000)+7*(ROW()-10)))</f>
        <v/>
      </c>
    </row>
    <row r="1673">
      <c r="A1673">
        <f>IF($J1673="","",YEAR($J1673-WEEKDAY($J1673,2)+4)&amp;"-W"&amp;TEXT(WEEKNUM($J1673,21),"00"))</f>
        <v/>
      </c>
      <c r="B1673" s="41">
        <f>IF($J1673="","",COUNTIFS(Roster!$D$4:$D$500,"Active",Roster!$C$4:$C$500,"&lt;="&amp;$J1673))</f>
        <v/>
      </c>
      <c r="C1673">
        <f>IF($J1673="","",SUMIFS('Hours Log'!$C:$C,'Hours Log'!$A:$A,"&gt;="&amp;$J1673,'Hours Log'!$A:$A,"&lt;"&amp;$J1673+7)+SUMIFS('Hours Log'!$D:$D,'Hours Log'!$A:$A,"&gt;="&amp;$J1673,'Hours Log'!$A:$A,"&lt;"&amp;$J1673+7))</f>
        <v/>
      </c>
      <c r="D1673">
        <f>IF($J1673="","",SUMIFS('Hours Log'!$D:$D,'Hours Log'!$A:$A,"&gt;="&amp;$J1673,'Hours Log'!$A:$A,"&lt;"&amp;$J1673+7))</f>
        <v/>
      </c>
      <c r="E1673">
        <f>IF($J1673="","",IFERROR(C1673/(B1673*40),0))</f>
        <v/>
      </c>
      <c r="F1673">
        <f>IF($J1673="","",0)</f>
        <v/>
      </c>
      <c r="G1673">
        <f>IF($J1673="","",SUMIFS('Hours Log'!$E:$E,'Hours Log'!$A:$A,"&gt;="&amp;$J1673,'Hours Log'!$A:$A,"&lt;"&amp;$J1673+7))</f>
        <v/>
      </c>
      <c r="J1673">
        <f>IF(COUNT('Hours Log'!$A$4:$A$5000)=0,"",IF(MIN('Hours Log'!$A$4:$A$5000)+7*(ROW()-10)&gt;MAX('Hours Log'!$A$4:$A$5000),"",MIN('Hours Log'!$A$4:$A$5000)+7*(ROW()-10)))</f>
        <v/>
      </c>
    </row>
    <row r="1674">
      <c r="A1674">
        <f>IF($J1674="","",YEAR($J1674-WEEKDAY($J1674,2)+4)&amp;"-W"&amp;TEXT(WEEKNUM($J1674,21),"00"))</f>
        <v/>
      </c>
      <c r="B1674" s="41">
        <f>IF($J1674="","",COUNTIFS(Roster!$D$4:$D$500,"Active",Roster!$C$4:$C$500,"&lt;="&amp;$J1674))</f>
        <v/>
      </c>
      <c r="C1674">
        <f>IF($J1674="","",SUMIFS('Hours Log'!$C:$C,'Hours Log'!$A:$A,"&gt;="&amp;$J1674,'Hours Log'!$A:$A,"&lt;"&amp;$J1674+7)+SUMIFS('Hours Log'!$D:$D,'Hours Log'!$A:$A,"&gt;="&amp;$J1674,'Hours Log'!$A:$A,"&lt;"&amp;$J1674+7))</f>
        <v/>
      </c>
      <c r="D1674">
        <f>IF($J1674="","",SUMIFS('Hours Log'!$D:$D,'Hours Log'!$A:$A,"&gt;="&amp;$J1674,'Hours Log'!$A:$A,"&lt;"&amp;$J1674+7))</f>
        <v/>
      </c>
      <c r="E1674">
        <f>IF($J1674="","",IFERROR(C1674/(B1674*40),0))</f>
        <v/>
      </c>
      <c r="F1674">
        <f>IF($J1674="","",0)</f>
        <v/>
      </c>
      <c r="G1674">
        <f>IF($J1674="","",SUMIFS('Hours Log'!$E:$E,'Hours Log'!$A:$A,"&gt;="&amp;$J1674,'Hours Log'!$A:$A,"&lt;"&amp;$J1674+7))</f>
        <v/>
      </c>
      <c r="J1674">
        <f>IF(COUNT('Hours Log'!$A$4:$A$5000)=0,"",IF(MIN('Hours Log'!$A$4:$A$5000)+7*(ROW()-10)&gt;MAX('Hours Log'!$A$4:$A$5000),"",MIN('Hours Log'!$A$4:$A$5000)+7*(ROW()-10)))</f>
        <v/>
      </c>
    </row>
    <row r="1675">
      <c r="A1675">
        <f>IF($J1675="","",YEAR($J1675-WEEKDAY($J1675,2)+4)&amp;"-W"&amp;TEXT(WEEKNUM($J1675,21),"00"))</f>
        <v/>
      </c>
      <c r="B1675" s="41">
        <f>IF($J1675="","",COUNTIFS(Roster!$D$4:$D$500,"Active",Roster!$C$4:$C$500,"&lt;="&amp;$J1675))</f>
        <v/>
      </c>
      <c r="C1675">
        <f>IF($J1675="","",SUMIFS('Hours Log'!$C:$C,'Hours Log'!$A:$A,"&gt;="&amp;$J1675,'Hours Log'!$A:$A,"&lt;"&amp;$J1675+7)+SUMIFS('Hours Log'!$D:$D,'Hours Log'!$A:$A,"&gt;="&amp;$J1675,'Hours Log'!$A:$A,"&lt;"&amp;$J1675+7))</f>
        <v/>
      </c>
      <c r="D1675">
        <f>IF($J1675="","",SUMIFS('Hours Log'!$D:$D,'Hours Log'!$A:$A,"&gt;="&amp;$J1675,'Hours Log'!$A:$A,"&lt;"&amp;$J1675+7))</f>
        <v/>
      </c>
      <c r="E1675">
        <f>IF($J1675="","",IFERROR(C1675/(B1675*40),0))</f>
        <v/>
      </c>
      <c r="F1675">
        <f>IF($J1675="","",0)</f>
        <v/>
      </c>
      <c r="G1675">
        <f>IF($J1675="","",SUMIFS('Hours Log'!$E:$E,'Hours Log'!$A:$A,"&gt;="&amp;$J1675,'Hours Log'!$A:$A,"&lt;"&amp;$J1675+7))</f>
        <v/>
      </c>
      <c r="J1675">
        <f>IF(COUNT('Hours Log'!$A$4:$A$5000)=0,"",IF(MIN('Hours Log'!$A$4:$A$5000)+7*(ROW()-10)&gt;MAX('Hours Log'!$A$4:$A$5000),"",MIN('Hours Log'!$A$4:$A$5000)+7*(ROW()-10)))</f>
        <v/>
      </c>
    </row>
    <row r="1676">
      <c r="A1676">
        <f>IF($J1676="","",YEAR($J1676-WEEKDAY($J1676,2)+4)&amp;"-W"&amp;TEXT(WEEKNUM($J1676,21),"00"))</f>
        <v/>
      </c>
      <c r="B1676" s="41">
        <f>IF($J1676="","",COUNTIFS(Roster!$D$4:$D$500,"Active",Roster!$C$4:$C$500,"&lt;="&amp;$J1676))</f>
        <v/>
      </c>
      <c r="C1676">
        <f>IF($J1676="","",SUMIFS('Hours Log'!$C:$C,'Hours Log'!$A:$A,"&gt;="&amp;$J1676,'Hours Log'!$A:$A,"&lt;"&amp;$J1676+7)+SUMIFS('Hours Log'!$D:$D,'Hours Log'!$A:$A,"&gt;="&amp;$J1676,'Hours Log'!$A:$A,"&lt;"&amp;$J1676+7))</f>
        <v/>
      </c>
      <c r="D1676">
        <f>IF($J1676="","",SUMIFS('Hours Log'!$D:$D,'Hours Log'!$A:$A,"&gt;="&amp;$J1676,'Hours Log'!$A:$A,"&lt;"&amp;$J1676+7))</f>
        <v/>
      </c>
      <c r="E1676">
        <f>IF($J1676="","",IFERROR(C1676/(B1676*40),0))</f>
        <v/>
      </c>
      <c r="F1676">
        <f>IF($J1676="","",0)</f>
        <v/>
      </c>
      <c r="G1676">
        <f>IF($J1676="","",SUMIFS('Hours Log'!$E:$E,'Hours Log'!$A:$A,"&gt;="&amp;$J1676,'Hours Log'!$A:$A,"&lt;"&amp;$J1676+7))</f>
        <v/>
      </c>
      <c r="J1676">
        <f>IF(COUNT('Hours Log'!$A$4:$A$5000)=0,"",IF(MIN('Hours Log'!$A$4:$A$5000)+7*(ROW()-10)&gt;MAX('Hours Log'!$A$4:$A$5000),"",MIN('Hours Log'!$A$4:$A$5000)+7*(ROW()-10)))</f>
        <v/>
      </c>
    </row>
    <row r="1677">
      <c r="A1677">
        <f>IF($J1677="","",YEAR($J1677-WEEKDAY($J1677,2)+4)&amp;"-W"&amp;TEXT(WEEKNUM($J1677,21),"00"))</f>
        <v/>
      </c>
      <c r="B1677" s="41">
        <f>IF($J1677="","",COUNTIFS(Roster!$D$4:$D$500,"Active",Roster!$C$4:$C$500,"&lt;="&amp;$J1677))</f>
        <v/>
      </c>
      <c r="C1677">
        <f>IF($J1677="","",SUMIFS('Hours Log'!$C:$C,'Hours Log'!$A:$A,"&gt;="&amp;$J1677,'Hours Log'!$A:$A,"&lt;"&amp;$J1677+7)+SUMIFS('Hours Log'!$D:$D,'Hours Log'!$A:$A,"&gt;="&amp;$J1677,'Hours Log'!$A:$A,"&lt;"&amp;$J1677+7))</f>
        <v/>
      </c>
      <c r="D1677">
        <f>IF($J1677="","",SUMIFS('Hours Log'!$D:$D,'Hours Log'!$A:$A,"&gt;="&amp;$J1677,'Hours Log'!$A:$A,"&lt;"&amp;$J1677+7))</f>
        <v/>
      </c>
      <c r="E1677">
        <f>IF($J1677="","",IFERROR(C1677/(B1677*40),0))</f>
        <v/>
      </c>
      <c r="F1677">
        <f>IF($J1677="","",0)</f>
        <v/>
      </c>
      <c r="G1677">
        <f>IF($J1677="","",SUMIFS('Hours Log'!$E:$E,'Hours Log'!$A:$A,"&gt;="&amp;$J1677,'Hours Log'!$A:$A,"&lt;"&amp;$J1677+7))</f>
        <v/>
      </c>
      <c r="J1677">
        <f>IF(COUNT('Hours Log'!$A$4:$A$5000)=0,"",IF(MIN('Hours Log'!$A$4:$A$5000)+7*(ROW()-10)&gt;MAX('Hours Log'!$A$4:$A$5000),"",MIN('Hours Log'!$A$4:$A$5000)+7*(ROW()-10)))</f>
        <v/>
      </c>
    </row>
    <row r="1678">
      <c r="A1678">
        <f>IF($J1678="","",YEAR($J1678-WEEKDAY($J1678,2)+4)&amp;"-W"&amp;TEXT(WEEKNUM($J1678,21),"00"))</f>
        <v/>
      </c>
      <c r="B1678" s="41">
        <f>IF($J1678="","",COUNTIFS(Roster!$D$4:$D$500,"Active",Roster!$C$4:$C$500,"&lt;="&amp;$J1678))</f>
        <v/>
      </c>
      <c r="C1678">
        <f>IF($J1678="","",SUMIFS('Hours Log'!$C:$C,'Hours Log'!$A:$A,"&gt;="&amp;$J1678,'Hours Log'!$A:$A,"&lt;"&amp;$J1678+7)+SUMIFS('Hours Log'!$D:$D,'Hours Log'!$A:$A,"&gt;="&amp;$J1678,'Hours Log'!$A:$A,"&lt;"&amp;$J1678+7))</f>
        <v/>
      </c>
      <c r="D1678">
        <f>IF($J1678="","",SUMIFS('Hours Log'!$D:$D,'Hours Log'!$A:$A,"&gt;="&amp;$J1678,'Hours Log'!$A:$A,"&lt;"&amp;$J1678+7))</f>
        <v/>
      </c>
      <c r="E1678">
        <f>IF($J1678="","",IFERROR(C1678/(B1678*40),0))</f>
        <v/>
      </c>
      <c r="F1678">
        <f>IF($J1678="","",0)</f>
        <v/>
      </c>
      <c r="G1678">
        <f>IF($J1678="","",SUMIFS('Hours Log'!$E:$E,'Hours Log'!$A:$A,"&gt;="&amp;$J1678,'Hours Log'!$A:$A,"&lt;"&amp;$J1678+7))</f>
        <v/>
      </c>
      <c r="J1678">
        <f>IF(COUNT('Hours Log'!$A$4:$A$5000)=0,"",IF(MIN('Hours Log'!$A$4:$A$5000)+7*(ROW()-10)&gt;MAX('Hours Log'!$A$4:$A$5000),"",MIN('Hours Log'!$A$4:$A$5000)+7*(ROW()-10)))</f>
        <v/>
      </c>
    </row>
    <row r="1679">
      <c r="A1679">
        <f>IF($J1679="","",YEAR($J1679-WEEKDAY($J1679,2)+4)&amp;"-W"&amp;TEXT(WEEKNUM($J1679,21),"00"))</f>
        <v/>
      </c>
      <c r="B1679" s="41">
        <f>IF($J1679="","",COUNTIFS(Roster!$D$4:$D$500,"Active",Roster!$C$4:$C$500,"&lt;="&amp;$J1679))</f>
        <v/>
      </c>
      <c r="C1679">
        <f>IF($J1679="","",SUMIFS('Hours Log'!$C:$C,'Hours Log'!$A:$A,"&gt;="&amp;$J1679,'Hours Log'!$A:$A,"&lt;"&amp;$J1679+7)+SUMIFS('Hours Log'!$D:$D,'Hours Log'!$A:$A,"&gt;="&amp;$J1679,'Hours Log'!$A:$A,"&lt;"&amp;$J1679+7))</f>
        <v/>
      </c>
      <c r="D1679">
        <f>IF($J1679="","",SUMIFS('Hours Log'!$D:$D,'Hours Log'!$A:$A,"&gt;="&amp;$J1679,'Hours Log'!$A:$A,"&lt;"&amp;$J1679+7))</f>
        <v/>
      </c>
      <c r="E1679">
        <f>IF($J1679="","",IFERROR(C1679/(B1679*40),0))</f>
        <v/>
      </c>
      <c r="F1679">
        <f>IF($J1679="","",0)</f>
        <v/>
      </c>
      <c r="G1679">
        <f>IF($J1679="","",SUMIFS('Hours Log'!$E:$E,'Hours Log'!$A:$A,"&gt;="&amp;$J1679,'Hours Log'!$A:$A,"&lt;"&amp;$J1679+7))</f>
        <v/>
      </c>
      <c r="J1679">
        <f>IF(COUNT('Hours Log'!$A$4:$A$5000)=0,"",IF(MIN('Hours Log'!$A$4:$A$5000)+7*(ROW()-10)&gt;MAX('Hours Log'!$A$4:$A$5000),"",MIN('Hours Log'!$A$4:$A$5000)+7*(ROW()-10)))</f>
        <v/>
      </c>
    </row>
    <row r="1680">
      <c r="A1680">
        <f>IF($J1680="","",YEAR($J1680-WEEKDAY($J1680,2)+4)&amp;"-W"&amp;TEXT(WEEKNUM($J1680,21),"00"))</f>
        <v/>
      </c>
      <c r="B1680" s="41">
        <f>IF($J1680="","",COUNTIFS(Roster!$D$4:$D$500,"Active",Roster!$C$4:$C$500,"&lt;="&amp;$J1680))</f>
        <v/>
      </c>
      <c r="C1680">
        <f>IF($J1680="","",SUMIFS('Hours Log'!$C:$C,'Hours Log'!$A:$A,"&gt;="&amp;$J1680,'Hours Log'!$A:$A,"&lt;"&amp;$J1680+7)+SUMIFS('Hours Log'!$D:$D,'Hours Log'!$A:$A,"&gt;="&amp;$J1680,'Hours Log'!$A:$A,"&lt;"&amp;$J1680+7))</f>
        <v/>
      </c>
      <c r="D1680">
        <f>IF($J1680="","",SUMIFS('Hours Log'!$D:$D,'Hours Log'!$A:$A,"&gt;="&amp;$J1680,'Hours Log'!$A:$A,"&lt;"&amp;$J1680+7))</f>
        <v/>
      </c>
      <c r="E1680">
        <f>IF($J1680="","",IFERROR(C1680/(B1680*40),0))</f>
        <v/>
      </c>
      <c r="F1680">
        <f>IF($J1680="","",0)</f>
        <v/>
      </c>
      <c r="G1680">
        <f>IF($J1680="","",SUMIFS('Hours Log'!$E:$E,'Hours Log'!$A:$A,"&gt;="&amp;$J1680,'Hours Log'!$A:$A,"&lt;"&amp;$J1680+7))</f>
        <v/>
      </c>
      <c r="J1680">
        <f>IF(COUNT('Hours Log'!$A$4:$A$5000)=0,"",IF(MIN('Hours Log'!$A$4:$A$5000)+7*(ROW()-10)&gt;MAX('Hours Log'!$A$4:$A$5000),"",MIN('Hours Log'!$A$4:$A$5000)+7*(ROW()-10)))</f>
        <v/>
      </c>
    </row>
    <row r="1681">
      <c r="A1681">
        <f>IF($J1681="","",YEAR($J1681-WEEKDAY($J1681,2)+4)&amp;"-W"&amp;TEXT(WEEKNUM($J1681,21),"00"))</f>
        <v/>
      </c>
      <c r="B1681" s="41">
        <f>IF($J1681="","",COUNTIFS(Roster!$D$4:$D$500,"Active",Roster!$C$4:$C$500,"&lt;="&amp;$J1681))</f>
        <v/>
      </c>
      <c r="C1681">
        <f>IF($J1681="","",SUMIFS('Hours Log'!$C:$C,'Hours Log'!$A:$A,"&gt;="&amp;$J1681,'Hours Log'!$A:$A,"&lt;"&amp;$J1681+7)+SUMIFS('Hours Log'!$D:$D,'Hours Log'!$A:$A,"&gt;="&amp;$J1681,'Hours Log'!$A:$A,"&lt;"&amp;$J1681+7))</f>
        <v/>
      </c>
      <c r="D1681">
        <f>IF($J1681="","",SUMIFS('Hours Log'!$D:$D,'Hours Log'!$A:$A,"&gt;="&amp;$J1681,'Hours Log'!$A:$A,"&lt;"&amp;$J1681+7))</f>
        <v/>
      </c>
      <c r="E1681">
        <f>IF($J1681="","",IFERROR(C1681/(B1681*40),0))</f>
        <v/>
      </c>
      <c r="F1681">
        <f>IF($J1681="","",0)</f>
        <v/>
      </c>
      <c r="G1681">
        <f>IF($J1681="","",SUMIFS('Hours Log'!$E:$E,'Hours Log'!$A:$A,"&gt;="&amp;$J1681,'Hours Log'!$A:$A,"&lt;"&amp;$J1681+7))</f>
        <v/>
      </c>
      <c r="J1681">
        <f>IF(COUNT('Hours Log'!$A$4:$A$5000)=0,"",IF(MIN('Hours Log'!$A$4:$A$5000)+7*(ROW()-10)&gt;MAX('Hours Log'!$A$4:$A$5000),"",MIN('Hours Log'!$A$4:$A$5000)+7*(ROW()-10)))</f>
        <v/>
      </c>
    </row>
    <row r="1682">
      <c r="A1682">
        <f>IF($J1682="","",YEAR($J1682-WEEKDAY($J1682,2)+4)&amp;"-W"&amp;TEXT(WEEKNUM($J1682,21),"00"))</f>
        <v/>
      </c>
      <c r="B1682" s="41">
        <f>IF($J1682="","",COUNTIFS(Roster!$D$4:$D$500,"Active",Roster!$C$4:$C$500,"&lt;="&amp;$J1682))</f>
        <v/>
      </c>
      <c r="C1682">
        <f>IF($J1682="","",SUMIFS('Hours Log'!$C:$C,'Hours Log'!$A:$A,"&gt;="&amp;$J1682,'Hours Log'!$A:$A,"&lt;"&amp;$J1682+7)+SUMIFS('Hours Log'!$D:$D,'Hours Log'!$A:$A,"&gt;="&amp;$J1682,'Hours Log'!$A:$A,"&lt;"&amp;$J1682+7))</f>
        <v/>
      </c>
      <c r="D1682">
        <f>IF($J1682="","",SUMIFS('Hours Log'!$D:$D,'Hours Log'!$A:$A,"&gt;="&amp;$J1682,'Hours Log'!$A:$A,"&lt;"&amp;$J1682+7))</f>
        <v/>
      </c>
      <c r="E1682">
        <f>IF($J1682="","",IFERROR(C1682/(B1682*40),0))</f>
        <v/>
      </c>
      <c r="F1682">
        <f>IF($J1682="","",0)</f>
        <v/>
      </c>
      <c r="G1682">
        <f>IF($J1682="","",SUMIFS('Hours Log'!$E:$E,'Hours Log'!$A:$A,"&gt;="&amp;$J1682,'Hours Log'!$A:$A,"&lt;"&amp;$J1682+7))</f>
        <v/>
      </c>
      <c r="J1682">
        <f>IF(COUNT('Hours Log'!$A$4:$A$5000)=0,"",IF(MIN('Hours Log'!$A$4:$A$5000)+7*(ROW()-10)&gt;MAX('Hours Log'!$A$4:$A$5000),"",MIN('Hours Log'!$A$4:$A$5000)+7*(ROW()-10)))</f>
        <v/>
      </c>
    </row>
    <row r="1683">
      <c r="A1683">
        <f>IF($J1683="","",YEAR($J1683-WEEKDAY($J1683,2)+4)&amp;"-W"&amp;TEXT(WEEKNUM($J1683,21),"00"))</f>
        <v/>
      </c>
      <c r="B1683" s="41">
        <f>IF($J1683="","",COUNTIFS(Roster!$D$4:$D$500,"Active",Roster!$C$4:$C$500,"&lt;="&amp;$J1683))</f>
        <v/>
      </c>
      <c r="C1683">
        <f>IF($J1683="","",SUMIFS('Hours Log'!$C:$C,'Hours Log'!$A:$A,"&gt;="&amp;$J1683,'Hours Log'!$A:$A,"&lt;"&amp;$J1683+7)+SUMIFS('Hours Log'!$D:$D,'Hours Log'!$A:$A,"&gt;="&amp;$J1683,'Hours Log'!$A:$A,"&lt;"&amp;$J1683+7))</f>
        <v/>
      </c>
      <c r="D1683">
        <f>IF($J1683="","",SUMIFS('Hours Log'!$D:$D,'Hours Log'!$A:$A,"&gt;="&amp;$J1683,'Hours Log'!$A:$A,"&lt;"&amp;$J1683+7))</f>
        <v/>
      </c>
      <c r="E1683">
        <f>IF($J1683="","",IFERROR(C1683/(B1683*40),0))</f>
        <v/>
      </c>
      <c r="F1683">
        <f>IF($J1683="","",0)</f>
        <v/>
      </c>
      <c r="G1683">
        <f>IF($J1683="","",SUMIFS('Hours Log'!$E:$E,'Hours Log'!$A:$A,"&gt;="&amp;$J1683,'Hours Log'!$A:$A,"&lt;"&amp;$J1683+7))</f>
        <v/>
      </c>
      <c r="J1683">
        <f>IF(COUNT('Hours Log'!$A$4:$A$5000)=0,"",IF(MIN('Hours Log'!$A$4:$A$5000)+7*(ROW()-10)&gt;MAX('Hours Log'!$A$4:$A$5000),"",MIN('Hours Log'!$A$4:$A$5000)+7*(ROW()-10)))</f>
        <v/>
      </c>
    </row>
    <row r="1684">
      <c r="A1684">
        <f>IF($J1684="","",YEAR($J1684-WEEKDAY($J1684,2)+4)&amp;"-W"&amp;TEXT(WEEKNUM($J1684,21),"00"))</f>
        <v/>
      </c>
      <c r="B1684" s="41">
        <f>IF($J1684="","",COUNTIFS(Roster!$D$4:$D$500,"Active",Roster!$C$4:$C$500,"&lt;="&amp;$J1684))</f>
        <v/>
      </c>
      <c r="C1684">
        <f>IF($J1684="","",SUMIFS('Hours Log'!$C:$C,'Hours Log'!$A:$A,"&gt;="&amp;$J1684,'Hours Log'!$A:$A,"&lt;"&amp;$J1684+7)+SUMIFS('Hours Log'!$D:$D,'Hours Log'!$A:$A,"&gt;="&amp;$J1684,'Hours Log'!$A:$A,"&lt;"&amp;$J1684+7))</f>
        <v/>
      </c>
      <c r="D1684">
        <f>IF($J1684="","",SUMIFS('Hours Log'!$D:$D,'Hours Log'!$A:$A,"&gt;="&amp;$J1684,'Hours Log'!$A:$A,"&lt;"&amp;$J1684+7))</f>
        <v/>
      </c>
      <c r="E1684">
        <f>IF($J1684="","",IFERROR(C1684/(B1684*40),0))</f>
        <v/>
      </c>
      <c r="F1684">
        <f>IF($J1684="","",0)</f>
        <v/>
      </c>
      <c r="G1684">
        <f>IF($J1684="","",SUMIFS('Hours Log'!$E:$E,'Hours Log'!$A:$A,"&gt;="&amp;$J1684,'Hours Log'!$A:$A,"&lt;"&amp;$J1684+7))</f>
        <v/>
      </c>
      <c r="J1684">
        <f>IF(COUNT('Hours Log'!$A$4:$A$5000)=0,"",IF(MIN('Hours Log'!$A$4:$A$5000)+7*(ROW()-10)&gt;MAX('Hours Log'!$A$4:$A$5000),"",MIN('Hours Log'!$A$4:$A$5000)+7*(ROW()-10)))</f>
        <v/>
      </c>
    </row>
    <row r="1685">
      <c r="A1685">
        <f>IF($J1685="","",YEAR($J1685-WEEKDAY($J1685,2)+4)&amp;"-W"&amp;TEXT(WEEKNUM($J1685,21),"00"))</f>
        <v/>
      </c>
      <c r="B1685" s="41">
        <f>IF($J1685="","",COUNTIFS(Roster!$D$4:$D$500,"Active",Roster!$C$4:$C$500,"&lt;="&amp;$J1685))</f>
        <v/>
      </c>
      <c r="C1685">
        <f>IF($J1685="","",SUMIFS('Hours Log'!$C:$C,'Hours Log'!$A:$A,"&gt;="&amp;$J1685,'Hours Log'!$A:$A,"&lt;"&amp;$J1685+7)+SUMIFS('Hours Log'!$D:$D,'Hours Log'!$A:$A,"&gt;="&amp;$J1685,'Hours Log'!$A:$A,"&lt;"&amp;$J1685+7))</f>
        <v/>
      </c>
      <c r="D1685">
        <f>IF($J1685="","",SUMIFS('Hours Log'!$D:$D,'Hours Log'!$A:$A,"&gt;="&amp;$J1685,'Hours Log'!$A:$A,"&lt;"&amp;$J1685+7))</f>
        <v/>
      </c>
      <c r="E1685">
        <f>IF($J1685="","",IFERROR(C1685/(B1685*40),0))</f>
        <v/>
      </c>
      <c r="F1685">
        <f>IF($J1685="","",0)</f>
        <v/>
      </c>
      <c r="G1685">
        <f>IF($J1685="","",SUMIFS('Hours Log'!$E:$E,'Hours Log'!$A:$A,"&gt;="&amp;$J1685,'Hours Log'!$A:$A,"&lt;"&amp;$J1685+7))</f>
        <v/>
      </c>
      <c r="J1685">
        <f>IF(COUNT('Hours Log'!$A$4:$A$5000)=0,"",IF(MIN('Hours Log'!$A$4:$A$5000)+7*(ROW()-10)&gt;MAX('Hours Log'!$A$4:$A$5000),"",MIN('Hours Log'!$A$4:$A$5000)+7*(ROW()-10)))</f>
        <v/>
      </c>
    </row>
    <row r="1686">
      <c r="A1686">
        <f>IF($J1686="","",YEAR($J1686-WEEKDAY($J1686,2)+4)&amp;"-W"&amp;TEXT(WEEKNUM($J1686,21),"00"))</f>
        <v/>
      </c>
      <c r="B1686" s="41">
        <f>IF($J1686="","",COUNTIFS(Roster!$D$4:$D$500,"Active",Roster!$C$4:$C$500,"&lt;="&amp;$J1686))</f>
        <v/>
      </c>
      <c r="C1686">
        <f>IF($J1686="","",SUMIFS('Hours Log'!$C:$C,'Hours Log'!$A:$A,"&gt;="&amp;$J1686,'Hours Log'!$A:$A,"&lt;"&amp;$J1686+7)+SUMIFS('Hours Log'!$D:$D,'Hours Log'!$A:$A,"&gt;="&amp;$J1686,'Hours Log'!$A:$A,"&lt;"&amp;$J1686+7))</f>
        <v/>
      </c>
      <c r="D1686">
        <f>IF($J1686="","",SUMIFS('Hours Log'!$D:$D,'Hours Log'!$A:$A,"&gt;="&amp;$J1686,'Hours Log'!$A:$A,"&lt;"&amp;$J1686+7))</f>
        <v/>
      </c>
      <c r="E1686">
        <f>IF($J1686="","",IFERROR(C1686/(B1686*40),0))</f>
        <v/>
      </c>
      <c r="F1686">
        <f>IF($J1686="","",0)</f>
        <v/>
      </c>
      <c r="G1686">
        <f>IF($J1686="","",SUMIFS('Hours Log'!$E:$E,'Hours Log'!$A:$A,"&gt;="&amp;$J1686,'Hours Log'!$A:$A,"&lt;"&amp;$J1686+7))</f>
        <v/>
      </c>
      <c r="J1686">
        <f>IF(COUNT('Hours Log'!$A$4:$A$5000)=0,"",IF(MIN('Hours Log'!$A$4:$A$5000)+7*(ROW()-10)&gt;MAX('Hours Log'!$A$4:$A$5000),"",MIN('Hours Log'!$A$4:$A$5000)+7*(ROW()-10)))</f>
        <v/>
      </c>
    </row>
    <row r="1687">
      <c r="A1687">
        <f>IF($J1687="","",YEAR($J1687-WEEKDAY($J1687,2)+4)&amp;"-W"&amp;TEXT(WEEKNUM($J1687,21),"00"))</f>
        <v/>
      </c>
      <c r="B1687" s="41">
        <f>IF($J1687="","",COUNTIFS(Roster!$D$4:$D$500,"Active",Roster!$C$4:$C$500,"&lt;="&amp;$J1687))</f>
        <v/>
      </c>
      <c r="C1687">
        <f>IF($J1687="","",SUMIFS('Hours Log'!$C:$C,'Hours Log'!$A:$A,"&gt;="&amp;$J1687,'Hours Log'!$A:$A,"&lt;"&amp;$J1687+7)+SUMIFS('Hours Log'!$D:$D,'Hours Log'!$A:$A,"&gt;="&amp;$J1687,'Hours Log'!$A:$A,"&lt;"&amp;$J1687+7))</f>
        <v/>
      </c>
      <c r="D1687">
        <f>IF($J1687="","",SUMIFS('Hours Log'!$D:$D,'Hours Log'!$A:$A,"&gt;="&amp;$J1687,'Hours Log'!$A:$A,"&lt;"&amp;$J1687+7))</f>
        <v/>
      </c>
      <c r="E1687">
        <f>IF($J1687="","",IFERROR(C1687/(B1687*40),0))</f>
        <v/>
      </c>
      <c r="F1687">
        <f>IF($J1687="","",0)</f>
        <v/>
      </c>
      <c r="G1687">
        <f>IF($J1687="","",SUMIFS('Hours Log'!$E:$E,'Hours Log'!$A:$A,"&gt;="&amp;$J1687,'Hours Log'!$A:$A,"&lt;"&amp;$J1687+7))</f>
        <v/>
      </c>
      <c r="J1687">
        <f>IF(COUNT('Hours Log'!$A$4:$A$5000)=0,"",IF(MIN('Hours Log'!$A$4:$A$5000)+7*(ROW()-10)&gt;MAX('Hours Log'!$A$4:$A$5000),"",MIN('Hours Log'!$A$4:$A$5000)+7*(ROW()-10)))</f>
        <v/>
      </c>
    </row>
    <row r="1688">
      <c r="A1688">
        <f>IF($J1688="","",YEAR($J1688-WEEKDAY($J1688,2)+4)&amp;"-W"&amp;TEXT(WEEKNUM($J1688,21),"00"))</f>
        <v/>
      </c>
      <c r="B1688" s="41">
        <f>IF($J1688="","",COUNTIFS(Roster!$D$4:$D$500,"Active",Roster!$C$4:$C$500,"&lt;="&amp;$J1688))</f>
        <v/>
      </c>
      <c r="C1688">
        <f>IF($J1688="","",SUMIFS('Hours Log'!$C:$C,'Hours Log'!$A:$A,"&gt;="&amp;$J1688,'Hours Log'!$A:$A,"&lt;"&amp;$J1688+7)+SUMIFS('Hours Log'!$D:$D,'Hours Log'!$A:$A,"&gt;="&amp;$J1688,'Hours Log'!$A:$A,"&lt;"&amp;$J1688+7))</f>
        <v/>
      </c>
      <c r="D1688">
        <f>IF($J1688="","",SUMIFS('Hours Log'!$D:$D,'Hours Log'!$A:$A,"&gt;="&amp;$J1688,'Hours Log'!$A:$A,"&lt;"&amp;$J1688+7))</f>
        <v/>
      </c>
      <c r="E1688">
        <f>IF($J1688="","",IFERROR(C1688/(B1688*40),0))</f>
        <v/>
      </c>
      <c r="F1688">
        <f>IF($J1688="","",0)</f>
        <v/>
      </c>
      <c r="G1688">
        <f>IF($J1688="","",SUMIFS('Hours Log'!$E:$E,'Hours Log'!$A:$A,"&gt;="&amp;$J1688,'Hours Log'!$A:$A,"&lt;"&amp;$J1688+7))</f>
        <v/>
      </c>
      <c r="J1688">
        <f>IF(COUNT('Hours Log'!$A$4:$A$5000)=0,"",IF(MIN('Hours Log'!$A$4:$A$5000)+7*(ROW()-10)&gt;MAX('Hours Log'!$A$4:$A$5000),"",MIN('Hours Log'!$A$4:$A$5000)+7*(ROW()-10)))</f>
        <v/>
      </c>
    </row>
    <row r="1689">
      <c r="A1689">
        <f>IF($J1689="","",YEAR($J1689-WEEKDAY($J1689,2)+4)&amp;"-W"&amp;TEXT(WEEKNUM($J1689,21),"00"))</f>
        <v/>
      </c>
      <c r="B1689" s="41">
        <f>IF($J1689="","",COUNTIFS(Roster!$D$4:$D$500,"Active",Roster!$C$4:$C$500,"&lt;="&amp;$J1689))</f>
        <v/>
      </c>
      <c r="C1689">
        <f>IF($J1689="","",SUMIFS('Hours Log'!$C:$C,'Hours Log'!$A:$A,"&gt;="&amp;$J1689,'Hours Log'!$A:$A,"&lt;"&amp;$J1689+7)+SUMIFS('Hours Log'!$D:$D,'Hours Log'!$A:$A,"&gt;="&amp;$J1689,'Hours Log'!$A:$A,"&lt;"&amp;$J1689+7))</f>
        <v/>
      </c>
      <c r="D1689">
        <f>IF($J1689="","",SUMIFS('Hours Log'!$D:$D,'Hours Log'!$A:$A,"&gt;="&amp;$J1689,'Hours Log'!$A:$A,"&lt;"&amp;$J1689+7))</f>
        <v/>
      </c>
      <c r="E1689">
        <f>IF($J1689="","",IFERROR(C1689/(B1689*40),0))</f>
        <v/>
      </c>
      <c r="F1689">
        <f>IF($J1689="","",0)</f>
        <v/>
      </c>
      <c r="G1689">
        <f>IF($J1689="","",SUMIFS('Hours Log'!$E:$E,'Hours Log'!$A:$A,"&gt;="&amp;$J1689,'Hours Log'!$A:$A,"&lt;"&amp;$J1689+7))</f>
        <v/>
      </c>
      <c r="J1689">
        <f>IF(COUNT('Hours Log'!$A$4:$A$5000)=0,"",IF(MIN('Hours Log'!$A$4:$A$5000)+7*(ROW()-10)&gt;MAX('Hours Log'!$A$4:$A$5000),"",MIN('Hours Log'!$A$4:$A$5000)+7*(ROW()-10)))</f>
        <v/>
      </c>
    </row>
    <row r="1690">
      <c r="A1690">
        <f>IF($J1690="","",YEAR($J1690-WEEKDAY($J1690,2)+4)&amp;"-W"&amp;TEXT(WEEKNUM($J1690,21),"00"))</f>
        <v/>
      </c>
      <c r="B1690" s="41">
        <f>IF($J1690="","",COUNTIFS(Roster!$D$4:$D$500,"Active",Roster!$C$4:$C$500,"&lt;="&amp;$J1690))</f>
        <v/>
      </c>
      <c r="C1690">
        <f>IF($J1690="","",SUMIFS('Hours Log'!$C:$C,'Hours Log'!$A:$A,"&gt;="&amp;$J1690,'Hours Log'!$A:$A,"&lt;"&amp;$J1690+7)+SUMIFS('Hours Log'!$D:$D,'Hours Log'!$A:$A,"&gt;="&amp;$J1690,'Hours Log'!$A:$A,"&lt;"&amp;$J1690+7))</f>
        <v/>
      </c>
      <c r="D1690">
        <f>IF($J1690="","",SUMIFS('Hours Log'!$D:$D,'Hours Log'!$A:$A,"&gt;="&amp;$J1690,'Hours Log'!$A:$A,"&lt;"&amp;$J1690+7))</f>
        <v/>
      </c>
      <c r="E1690">
        <f>IF($J1690="","",IFERROR(C1690/(B1690*40),0))</f>
        <v/>
      </c>
      <c r="F1690">
        <f>IF($J1690="","",0)</f>
        <v/>
      </c>
      <c r="G1690">
        <f>IF($J1690="","",SUMIFS('Hours Log'!$E:$E,'Hours Log'!$A:$A,"&gt;="&amp;$J1690,'Hours Log'!$A:$A,"&lt;"&amp;$J1690+7))</f>
        <v/>
      </c>
      <c r="J1690">
        <f>IF(COUNT('Hours Log'!$A$4:$A$5000)=0,"",IF(MIN('Hours Log'!$A$4:$A$5000)+7*(ROW()-10)&gt;MAX('Hours Log'!$A$4:$A$5000),"",MIN('Hours Log'!$A$4:$A$5000)+7*(ROW()-10)))</f>
        <v/>
      </c>
    </row>
    <row r="1691">
      <c r="A1691">
        <f>IF($J1691="","",YEAR($J1691-WEEKDAY($J1691,2)+4)&amp;"-W"&amp;TEXT(WEEKNUM($J1691,21),"00"))</f>
        <v/>
      </c>
      <c r="B1691" s="41">
        <f>IF($J1691="","",COUNTIFS(Roster!$D$4:$D$500,"Active",Roster!$C$4:$C$500,"&lt;="&amp;$J1691))</f>
        <v/>
      </c>
      <c r="C1691">
        <f>IF($J1691="","",SUMIFS('Hours Log'!$C:$C,'Hours Log'!$A:$A,"&gt;="&amp;$J1691,'Hours Log'!$A:$A,"&lt;"&amp;$J1691+7)+SUMIFS('Hours Log'!$D:$D,'Hours Log'!$A:$A,"&gt;="&amp;$J1691,'Hours Log'!$A:$A,"&lt;"&amp;$J1691+7))</f>
        <v/>
      </c>
      <c r="D1691">
        <f>IF($J1691="","",SUMIFS('Hours Log'!$D:$D,'Hours Log'!$A:$A,"&gt;="&amp;$J1691,'Hours Log'!$A:$A,"&lt;"&amp;$J1691+7))</f>
        <v/>
      </c>
      <c r="E1691">
        <f>IF($J1691="","",IFERROR(C1691/(B1691*40),0))</f>
        <v/>
      </c>
      <c r="F1691">
        <f>IF($J1691="","",0)</f>
        <v/>
      </c>
      <c r="G1691">
        <f>IF($J1691="","",SUMIFS('Hours Log'!$E:$E,'Hours Log'!$A:$A,"&gt;="&amp;$J1691,'Hours Log'!$A:$A,"&lt;"&amp;$J1691+7))</f>
        <v/>
      </c>
      <c r="J1691">
        <f>IF(COUNT('Hours Log'!$A$4:$A$5000)=0,"",IF(MIN('Hours Log'!$A$4:$A$5000)+7*(ROW()-10)&gt;MAX('Hours Log'!$A$4:$A$5000),"",MIN('Hours Log'!$A$4:$A$5000)+7*(ROW()-10)))</f>
        <v/>
      </c>
    </row>
    <row r="1692">
      <c r="A1692">
        <f>IF($J1692="","",YEAR($J1692-WEEKDAY($J1692,2)+4)&amp;"-W"&amp;TEXT(WEEKNUM($J1692,21),"00"))</f>
        <v/>
      </c>
      <c r="B1692" s="41">
        <f>IF($J1692="","",COUNTIFS(Roster!$D$4:$D$500,"Active",Roster!$C$4:$C$500,"&lt;="&amp;$J1692))</f>
        <v/>
      </c>
      <c r="C1692">
        <f>IF($J1692="","",SUMIFS('Hours Log'!$C:$C,'Hours Log'!$A:$A,"&gt;="&amp;$J1692,'Hours Log'!$A:$A,"&lt;"&amp;$J1692+7)+SUMIFS('Hours Log'!$D:$D,'Hours Log'!$A:$A,"&gt;="&amp;$J1692,'Hours Log'!$A:$A,"&lt;"&amp;$J1692+7))</f>
        <v/>
      </c>
      <c r="D1692">
        <f>IF($J1692="","",SUMIFS('Hours Log'!$D:$D,'Hours Log'!$A:$A,"&gt;="&amp;$J1692,'Hours Log'!$A:$A,"&lt;"&amp;$J1692+7))</f>
        <v/>
      </c>
      <c r="E1692">
        <f>IF($J1692="","",IFERROR(C1692/(B1692*40),0))</f>
        <v/>
      </c>
      <c r="F1692">
        <f>IF($J1692="","",0)</f>
        <v/>
      </c>
      <c r="G1692">
        <f>IF($J1692="","",SUMIFS('Hours Log'!$E:$E,'Hours Log'!$A:$A,"&gt;="&amp;$J1692,'Hours Log'!$A:$A,"&lt;"&amp;$J1692+7))</f>
        <v/>
      </c>
      <c r="J1692">
        <f>IF(COUNT('Hours Log'!$A$4:$A$5000)=0,"",IF(MIN('Hours Log'!$A$4:$A$5000)+7*(ROW()-10)&gt;MAX('Hours Log'!$A$4:$A$5000),"",MIN('Hours Log'!$A$4:$A$5000)+7*(ROW()-10)))</f>
        <v/>
      </c>
    </row>
    <row r="1693">
      <c r="A1693">
        <f>IF($J1693="","",YEAR($J1693-WEEKDAY($J1693,2)+4)&amp;"-W"&amp;TEXT(WEEKNUM($J1693,21),"00"))</f>
        <v/>
      </c>
      <c r="B1693" s="41">
        <f>IF($J1693="","",COUNTIFS(Roster!$D$4:$D$500,"Active",Roster!$C$4:$C$500,"&lt;="&amp;$J1693))</f>
        <v/>
      </c>
      <c r="C1693">
        <f>IF($J1693="","",SUMIFS('Hours Log'!$C:$C,'Hours Log'!$A:$A,"&gt;="&amp;$J1693,'Hours Log'!$A:$A,"&lt;"&amp;$J1693+7)+SUMIFS('Hours Log'!$D:$D,'Hours Log'!$A:$A,"&gt;="&amp;$J1693,'Hours Log'!$A:$A,"&lt;"&amp;$J1693+7))</f>
        <v/>
      </c>
      <c r="D1693">
        <f>IF($J1693="","",SUMIFS('Hours Log'!$D:$D,'Hours Log'!$A:$A,"&gt;="&amp;$J1693,'Hours Log'!$A:$A,"&lt;"&amp;$J1693+7))</f>
        <v/>
      </c>
      <c r="E1693">
        <f>IF($J1693="","",IFERROR(C1693/(B1693*40),0))</f>
        <v/>
      </c>
      <c r="F1693">
        <f>IF($J1693="","",0)</f>
        <v/>
      </c>
      <c r="G1693">
        <f>IF($J1693="","",SUMIFS('Hours Log'!$E:$E,'Hours Log'!$A:$A,"&gt;="&amp;$J1693,'Hours Log'!$A:$A,"&lt;"&amp;$J1693+7))</f>
        <v/>
      </c>
      <c r="J1693">
        <f>IF(COUNT('Hours Log'!$A$4:$A$5000)=0,"",IF(MIN('Hours Log'!$A$4:$A$5000)+7*(ROW()-10)&gt;MAX('Hours Log'!$A$4:$A$5000),"",MIN('Hours Log'!$A$4:$A$5000)+7*(ROW()-10)))</f>
        <v/>
      </c>
    </row>
    <row r="1694">
      <c r="A1694">
        <f>IF($J1694="","",YEAR($J1694-WEEKDAY($J1694,2)+4)&amp;"-W"&amp;TEXT(WEEKNUM($J1694,21),"00"))</f>
        <v/>
      </c>
      <c r="B1694" s="41">
        <f>IF($J1694="","",COUNTIFS(Roster!$D$4:$D$500,"Active",Roster!$C$4:$C$500,"&lt;="&amp;$J1694))</f>
        <v/>
      </c>
      <c r="C1694">
        <f>IF($J1694="","",SUMIFS('Hours Log'!$C:$C,'Hours Log'!$A:$A,"&gt;="&amp;$J1694,'Hours Log'!$A:$A,"&lt;"&amp;$J1694+7)+SUMIFS('Hours Log'!$D:$D,'Hours Log'!$A:$A,"&gt;="&amp;$J1694,'Hours Log'!$A:$A,"&lt;"&amp;$J1694+7))</f>
        <v/>
      </c>
      <c r="D1694">
        <f>IF($J1694="","",SUMIFS('Hours Log'!$D:$D,'Hours Log'!$A:$A,"&gt;="&amp;$J1694,'Hours Log'!$A:$A,"&lt;"&amp;$J1694+7))</f>
        <v/>
      </c>
      <c r="E1694">
        <f>IF($J1694="","",IFERROR(C1694/(B1694*40),0))</f>
        <v/>
      </c>
      <c r="F1694">
        <f>IF($J1694="","",0)</f>
        <v/>
      </c>
      <c r="G1694">
        <f>IF($J1694="","",SUMIFS('Hours Log'!$E:$E,'Hours Log'!$A:$A,"&gt;="&amp;$J1694,'Hours Log'!$A:$A,"&lt;"&amp;$J1694+7))</f>
        <v/>
      </c>
      <c r="J1694">
        <f>IF(COUNT('Hours Log'!$A$4:$A$5000)=0,"",IF(MIN('Hours Log'!$A$4:$A$5000)+7*(ROW()-10)&gt;MAX('Hours Log'!$A$4:$A$5000),"",MIN('Hours Log'!$A$4:$A$5000)+7*(ROW()-10)))</f>
        <v/>
      </c>
    </row>
    <row r="1695">
      <c r="A1695">
        <f>IF($J1695="","",YEAR($J1695-WEEKDAY($J1695,2)+4)&amp;"-W"&amp;TEXT(WEEKNUM($J1695,21),"00"))</f>
        <v/>
      </c>
      <c r="B1695" s="41">
        <f>IF($J1695="","",COUNTIFS(Roster!$D$4:$D$500,"Active",Roster!$C$4:$C$500,"&lt;="&amp;$J1695))</f>
        <v/>
      </c>
      <c r="C1695">
        <f>IF($J1695="","",SUMIFS('Hours Log'!$C:$C,'Hours Log'!$A:$A,"&gt;="&amp;$J1695,'Hours Log'!$A:$A,"&lt;"&amp;$J1695+7)+SUMIFS('Hours Log'!$D:$D,'Hours Log'!$A:$A,"&gt;="&amp;$J1695,'Hours Log'!$A:$A,"&lt;"&amp;$J1695+7))</f>
        <v/>
      </c>
      <c r="D1695">
        <f>IF($J1695="","",SUMIFS('Hours Log'!$D:$D,'Hours Log'!$A:$A,"&gt;="&amp;$J1695,'Hours Log'!$A:$A,"&lt;"&amp;$J1695+7))</f>
        <v/>
      </c>
      <c r="E1695">
        <f>IF($J1695="","",IFERROR(C1695/(B1695*40),0))</f>
        <v/>
      </c>
      <c r="F1695">
        <f>IF($J1695="","",0)</f>
        <v/>
      </c>
      <c r="G1695">
        <f>IF($J1695="","",SUMIFS('Hours Log'!$E:$E,'Hours Log'!$A:$A,"&gt;="&amp;$J1695,'Hours Log'!$A:$A,"&lt;"&amp;$J1695+7))</f>
        <v/>
      </c>
      <c r="J1695">
        <f>IF(COUNT('Hours Log'!$A$4:$A$5000)=0,"",IF(MIN('Hours Log'!$A$4:$A$5000)+7*(ROW()-10)&gt;MAX('Hours Log'!$A$4:$A$5000),"",MIN('Hours Log'!$A$4:$A$5000)+7*(ROW()-10)))</f>
        <v/>
      </c>
    </row>
    <row r="1696">
      <c r="A1696">
        <f>IF($J1696="","",YEAR($J1696-WEEKDAY($J1696,2)+4)&amp;"-W"&amp;TEXT(WEEKNUM($J1696,21),"00"))</f>
        <v/>
      </c>
      <c r="B1696" s="41">
        <f>IF($J1696="","",COUNTIFS(Roster!$D$4:$D$500,"Active",Roster!$C$4:$C$500,"&lt;="&amp;$J1696))</f>
        <v/>
      </c>
      <c r="C1696">
        <f>IF($J1696="","",SUMIFS('Hours Log'!$C:$C,'Hours Log'!$A:$A,"&gt;="&amp;$J1696,'Hours Log'!$A:$A,"&lt;"&amp;$J1696+7)+SUMIFS('Hours Log'!$D:$D,'Hours Log'!$A:$A,"&gt;="&amp;$J1696,'Hours Log'!$A:$A,"&lt;"&amp;$J1696+7))</f>
        <v/>
      </c>
      <c r="D1696">
        <f>IF($J1696="","",SUMIFS('Hours Log'!$D:$D,'Hours Log'!$A:$A,"&gt;="&amp;$J1696,'Hours Log'!$A:$A,"&lt;"&amp;$J1696+7))</f>
        <v/>
      </c>
      <c r="E1696">
        <f>IF($J1696="","",IFERROR(C1696/(B1696*40),0))</f>
        <v/>
      </c>
      <c r="F1696">
        <f>IF($J1696="","",0)</f>
        <v/>
      </c>
      <c r="G1696">
        <f>IF($J1696="","",SUMIFS('Hours Log'!$E:$E,'Hours Log'!$A:$A,"&gt;="&amp;$J1696,'Hours Log'!$A:$A,"&lt;"&amp;$J1696+7))</f>
        <v/>
      </c>
      <c r="J1696">
        <f>IF(COUNT('Hours Log'!$A$4:$A$5000)=0,"",IF(MIN('Hours Log'!$A$4:$A$5000)+7*(ROW()-10)&gt;MAX('Hours Log'!$A$4:$A$5000),"",MIN('Hours Log'!$A$4:$A$5000)+7*(ROW()-10)))</f>
        <v/>
      </c>
    </row>
    <row r="1697">
      <c r="A1697">
        <f>IF($J1697="","",YEAR($J1697-WEEKDAY($J1697,2)+4)&amp;"-W"&amp;TEXT(WEEKNUM($J1697,21),"00"))</f>
        <v/>
      </c>
      <c r="B1697" s="41">
        <f>IF($J1697="","",COUNTIFS(Roster!$D$4:$D$500,"Active",Roster!$C$4:$C$500,"&lt;="&amp;$J1697))</f>
        <v/>
      </c>
      <c r="C1697">
        <f>IF($J1697="","",SUMIFS('Hours Log'!$C:$C,'Hours Log'!$A:$A,"&gt;="&amp;$J1697,'Hours Log'!$A:$A,"&lt;"&amp;$J1697+7)+SUMIFS('Hours Log'!$D:$D,'Hours Log'!$A:$A,"&gt;="&amp;$J1697,'Hours Log'!$A:$A,"&lt;"&amp;$J1697+7))</f>
        <v/>
      </c>
      <c r="D1697">
        <f>IF($J1697="","",SUMIFS('Hours Log'!$D:$D,'Hours Log'!$A:$A,"&gt;="&amp;$J1697,'Hours Log'!$A:$A,"&lt;"&amp;$J1697+7))</f>
        <v/>
      </c>
      <c r="E1697">
        <f>IF($J1697="","",IFERROR(C1697/(B1697*40),0))</f>
        <v/>
      </c>
      <c r="F1697">
        <f>IF($J1697="","",0)</f>
        <v/>
      </c>
      <c r="G1697">
        <f>IF($J1697="","",SUMIFS('Hours Log'!$E:$E,'Hours Log'!$A:$A,"&gt;="&amp;$J1697,'Hours Log'!$A:$A,"&lt;"&amp;$J1697+7))</f>
        <v/>
      </c>
      <c r="J1697">
        <f>IF(COUNT('Hours Log'!$A$4:$A$5000)=0,"",IF(MIN('Hours Log'!$A$4:$A$5000)+7*(ROW()-10)&gt;MAX('Hours Log'!$A$4:$A$5000),"",MIN('Hours Log'!$A$4:$A$5000)+7*(ROW()-10)))</f>
        <v/>
      </c>
    </row>
    <row r="1698">
      <c r="A1698">
        <f>IF($J1698="","",YEAR($J1698-WEEKDAY($J1698,2)+4)&amp;"-W"&amp;TEXT(WEEKNUM($J1698,21),"00"))</f>
        <v/>
      </c>
      <c r="B1698" s="41">
        <f>IF($J1698="","",COUNTIFS(Roster!$D$4:$D$500,"Active",Roster!$C$4:$C$500,"&lt;="&amp;$J1698))</f>
        <v/>
      </c>
      <c r="C1698">
        <f>IF($J1698="","",SUMIFS('Hours Log'!$C:$C,'Hours Log'!$A:$A,"&gt;="&amp;$J1698,'Hours Log'!$A:$A,"&lt;"&amp;$J1698+7)+SUMIFS('Hours Log'!$D:$D,'Hours Log'!$A:$A,"&gt;="&amp;$J1698,'Hours Log'!$A:$A,"&lt;"&amp;$J1698+7))</f>
        <v/>
      </c>
      <c r="D1698">
        <f>IF($J1698="","",SUMIFS('Hours Log'!$D:$D,'Hours Log'!$A:$A,"&gt;="&amp;$J1698,'Hours Log'!$A:$A,"&lt;"&amp;$J1698+7))</f>
        <v/>
      </c>
      <c r="E1698">
        <f>IF($J1698="","",IFERROR(C1698/(B1698*40),0))</f>
        <v/>
      </c>
      <c r="F1698">
        <f>IF($J1698="","",0)</f>
        <v/>
      </c>
      <c r="G1698">
        <f>IF($J1698="","",SUMIFS('Hours Log'!$E:$E,'Hours Log'!$A:$A,"&gt;="&amp;$J1698,'Hours Log'!$A:$A,"&lt;"&amp;$J1698+7))</f>
        <v/>
      </c>
      <c r="J1698">
        <f>IF(COUNT('Hours Log'!$A$4:$A$5000)=0,"",IF(MIN('Hours Log'!$A$4:$A$5000)+7*(ROW()-10)&gt;MAX('Hours Log'!$A$4:$A$5000),"",MIN('Hours Log'!$A$4:$A$5000)+7*(ROW()-10)))</f>
        <v/>
      </c>
    </row>
    <row r="1699">
      <c r="A1699">
        <f>IF($J1699="","",YEAR($J1699-WEEKDAY($J1699,2)+4)&amp;"-W"&amp;TEXT(WEEKNUM($J1699,21),"00"))</f>
        <v/>
      </c>
      <c r="B1699" s="41">
        <f>IF($J1699="","",COUNTIFS(Roster!$D$4:$D$500,"Active",Roster!$C$4:$C$500,"&lt;="&amp;$J1699))</f>
        <v/>
      </c>
      <c r="C1699">
        <f>IF($J1699="","",SUMIFS('Hours Log'!$C:$C,'Hours Log'!$A:$A,"&gt;="&amp;$J1699,'Hours Log'!$A:$A,"&lt;"&amp;$J1699+7)+SUMIFS('Hours Log'!$D:$D,'Hours Log'!$A:$A,"&gt;="&amp;$J1699,'Hours Log'!$A:$A,"&lt;"&amp;$J1699+7))</f>
        <v/>
      </c>
      <c r="D1699">
        <f>IF($J1699="","",SUMIFS('Hours Log'!$D:$D,'Hours Log'!$A:$A,"&gt;="&amp;$J1699,'Hours Log'!$A:$A,"&lt;"&amp;$J1699+7))</f>
        <v/>
      </c>
      <c r="E1699">
        <f>IF($J1699="","",IFERROR(C1699/(B1699*40),0))</f>
        <v/>
      </c>
      <c r="F1699">
        <f>IF($J1699="","",0)</f>
        <v/>
      </c>
      <c r="G1699">
        <f>IF($J1699="","",SUMIFS('Hours Log'!$E:$E,'Hours Log'!$A:$A,"&gt;="&amp;$J1699,'Hours Log'!$A:$A,"&lt;"&amp;$J1699+7))</f>
        <v/>
      </c>
      <c r="J1699">
        <f>IF(COUNT('Hours Log'!$A$4:$A$5000)=0,"",IF(MIN('Hours Log'!$A$4:$A$5000)+7*(ROW()-10)&gt;MAX('Hours Log'!$A$4:$A$5000),"",MIN('Hours Log'!$A$4:$A$5000)+7*(ROW()-10)))</f>
        <v/>
      </c>
    </row>
    <row r="1700">
      <c r="A1700">
        <f>IF($J1700="","",YEAR($J1700-WEEKDAY($J1700,2)+4)&amp;"-W"&amp;TEXT(WEEKNUM($J1700,21),"00"))</f>
        <v/>
      </c>
      <c r="B1700" s="41">
        <f>IF($J1700="","",COUNTIFS(Roster!$D$4:$D$500,"Active",Roster!$C$4:$C$500,"&lt;="&amp;$J1700))</f>
        <v/>
      </c>
      <c r="C1700">
        <f>IF($J1700="","",SUMIFS('Hours Log'!$C:$C,'Hours Log'!$A:$A,"&gt;="&amp;$J1700,'Hours Log'!$A:$A,"&lt;"&amp;$J1700+7)+SUMIFS('Hours Log'!$D:$D,'Hours Log'!$A:$A,"&gt;="&amp;$J1700,'Hours Log'!$A:$A,"&lt;"&amp;$J1700+7))</f>
        <v/>
      </c>
      <c r="D1700">
        <f>IF($J1700="","",SUMIFS('Hours Log'!$D:$D,'Hours Log'!$A:$A,"&gt;="&amp;$J1700,'Hours Log'!$A:$A,"&lt;"&amp;$J1700+7))</f>
        <v/>
      </c>
      <c r="E1700">
        <f>IF($J1700="","",IFERROR(C1700/(B1700*40),0))</f>
        <v/>
      </c>
      <c r="F1700">
        <f>IF($J1700="","",0)</f>
        <v/>
      </c>
      <c r="G1700">
        <f>IF($J1700="","",SUMIFS('Hours Log'!$E:$E,'Hours Log'!$A:$A,"&gt;="&amp;$J1700,'Hours Log'!$A:$A,"&lt;"&amp;$J1700+7))</f>
        <v/>
      </c>
      <c r="J1700">
        <f>IF(COUNT('Hours Log'!$A$4:$A$5000)=0,"",IF(MIN('Hours Log'!$A$4:$A$5000)+7*(ROW()-10)&gt;MAX('Hours Log'!$A$4:$A$5000),"",MIN('Hours Log'!$A$4:$A$5000)+7*(ROW()-10)))</f>
        <v/>
      </c>
    </row>
    <row r="1701">
      <c r="A1701">
        <f>IF($J1701="","",YEAR($J1701-WEEKDAY($J1701,2)+4)&amp;"-W"&amp;TEXT(WEEKNUM($J1701,21),"00"))</f>
        <v/>
      </c>
      <c r="B1701" s="41">
        <f>IF($J1701="","",COUNTIFS(Roster!$D$4:$D$500,"Active",Roster!$C$4:$C$500,"&lt;="&amp;$J1701))</f>
        <v/>
      </c>
      <c r="C1701">
        <f>IF($J1701="","",SUMIFS('Hours Log'!$C:$C,'Hours Log'!$A:$A,"&gt;="&amp;$J1701,'Hours Log'!$A:$A,"&lt;"&amp;$J1701+7)+SUMIFS('Hours Log'!$D:$D,'Hours Log'!$A:$A,"&gt;="&amp;$J1701,'Hours Log'!$A:$A,"&lt;"&amp;$J1701+7))</f>
        <v/>
      </c>
      <c r="D1701">
        <f>IF($J1701="","",SUMIFS('Hours Log'!$D:$D,'Hours Log'!$A:$A,"&gt;="&amp;$J1701,'Hours Log'!$A:$A,"&lt;"&amp;$J1701+7))</f>
        <v/>
      </c>
      <c r="E1701">
        <f>IF($J1701="","",IFERROR(C1701/(B1701*40),0))</f>
        <v/>
      </c>
      <c r="F1701">
        <f>IF($J1701="","",0)</f>
        <v/>
      </c>
      <c r="G1701">
        <f>IF($J1701="","",SUMIFS('Hours Log'!$E:$E,'Hours Log'!$A:$A,"&gt;="&amp;$J1701,'Hours Log'!$A:$A,"&lt;"&amp;$J1701+7))</f>
        <v/>
      </c>
      <c r="J1701">
        <f>IF(COUNT('Hours Log'!$A$4:$A$5000)=0,"",IF(MIN('Hours Log'!$A$4:$A$5000)+7*(ROW()-10)&gt;MAX('Hours Log'!$A$4:$A$5000),"",MIN('Hours Log'!$A$4:$A$5000)+7*(ROW()-10)))</f>
        <v/>
      </c>
    </row>
    <row r="1702">
      <c r="A1702">
        <f>IF($J1702="","",YEAR($J1702-WEEKDAY($J1702,2)+4)&amp;"-W"&amp;TEXT(WEEKNUM($J1702,21),"00"))</f>
        <v/>
      </c>
      <c r="B1702" s="41">
        <f>IF($J1702="","",COUNTIFS(Roster!$D$4:$D$500,"Active",Roster!$C$4:$C$500,"&lt;="&amp;$J1702))</f>
        <v/>
      </c>
      <c r="C1702">
        <f>IF($J1702="","",SUMIFS('Hours Log'!$C:$C,'Hours Log'!$A:$A,"&gt;="&amp;$J1702,'Hours Log'!$A:$A,"&lt;"&amp;$J1702+7)+SUMIFS('Hours Log'!$D:$D,'Hours Log'!$A:$A,"&gt;="&amp;$J1702,'Hours Log'!$A:$A,"&lt;"&amp;$J1702+7))</f>
        <v/>
      </c>
      <c r="D1702">
        <f>IF($J1702="","",SUMIFS('Hours Log'!$D:$D,'Hours Log'!$A:$A,"&gt;="&amp;$J1702,'Hours Log'!$A:$A,"&lt;"&amp;$J1702+7))</f>
        <v/>
      </c>
      <c r="E1702">
        <f>IF($J1702="","",IFERROR(C1702/(B1702*40),0))</f>
        <v/>
      </c>
      <c r="F1702">
        <f>IF($J1702="","",0)</f>
        <v/>
      </c>
      <c r="G1702">
        <f>IF($J1702="","",SUMIFS('Hours Log'!$E:$E,'Hours Log'!$A:$A,"&gt;="&amp;$J1702,'Hours Log'!$A:$A,"&lt;"&amp;$J1702+7))</f>
        <v/>
      </c>
      <c r="J1702">
        <f>IF(COUNT('Hours Log'!$A$4:$A$5000)=0,"",IF(MIN('Hours Log'!$A$4:$A$5000)+7*(ROW()-10)&gt;MAX('Hours Log'!$A$4:$A$5000),"",MIN('Hours Log'!$A$4:$A$5000)+7*(ROW()-10)))</f>
        <v/>
      </c>
    </row>
    <row r="1703">
      <c r="A1703">
        <f>IF($J1703="","",YEAR($J1703-WEEKDAY($J1703,2)+4)&amp;"-W"&amp;TEXT(WEEKNUM($J1703,21),"00"))</f>
        <v/>
      </c>
      <c r="B1703" s="41">
        <f>IF($J1703="","",COUNTIFS(Roster!$D$4:$D$500,"Active",Roster!$C$4:$C$500,"&lt;="&amp;$J1703))</f>
        <v/>
      </c>
      <c r="C1703">
        <f>IF($J1703="","",SUMIFS('Hours Log'!$C:$C,'Hours Log'!$A:$A,"&gt;="&amp;$J1703,'Hours Log'!$A:$A,"&lt;"&amp;$J1703+7)+SUMIFS('Hours Log'!$D:$D,'Hours Log'!$A:$A,"&gt;="&amp;$J1703,'Hours Log'!$A:$A,"&lt;"&amp;$J1703+7))</f>
        <v/>
      </c>
      <c r="D1703">
        <f>IF($J1703="","",SUMIFS('Hours Log'!$D:$D,'Hours Log'!$A:$A,"&gt;="&amp;$J1703,'Hours Log'!$A:$A,"&lt;"&amp;$J1703+7))</f>
        <v/>
      </c>
      <c r="E1703">
        <f>IF($J1703="","",IFERROR(C1703/(B1703*40),0))</f>
        <v/>
      </c>
      <c r="F1703">
        <f>IF($J1703="","",0)</f>
        <v/>
      </c>
      <c r="G1703">
        <f>IF($J1703="","",SUMIFS('Hours Log'!$E:$E,'Hours Log'!$A:$A,"&gt;="&amp;$J1703,'Hours Log'!$A:$A,"&lt;"&amp;$J1703+7))</f>
        <v/>
      </c>
      <c r="J1703">
        <f>IF(COUNT('Hours Log'!$A$4:$A$5000)=0,"",IF(MIN('Hours Log'!$A$4:$A$5000)+7*(ROW()-10)&gt;MAX('Hours Log'!$A$4:$A$5000),"",MIN('Hours Log'!$A$4:$A$5000)+7*(ROW()-10)))</f>
        <v/>
      </c>
    </row>
    <row r="1704">
      <c r="A1704">
        <f>IF($J1704="","",YEAR($J1704-WEEKDAY($J1704,2)+4)&amp;"-W"&amp;TEXT(WEEKNUM($J1704,21),"00"))</f>
        <v/>
      </c>
      <c r="B1704" s="41">
        <f>IF($J1704="","",COUNTIFS(Roster!$D$4:$D$500,"Active",Roster!$C$4:$C$500,"&lt;="&amp;$J1704))</f>
        <v/>
      </c>
      <c r="C1704">
        <f>IF($J1704="","",SUMIFS('Hours Log'!$C:$C,'Hours Log'!$A:$A,"&gt;="&amp;$J1704,'Hours Log'!$A:$A,"&lt;"&amp;$J1704+7)+SUMIFS('Hours Log'!$D:$D,'Hours Log'!$A:$A,"&gt;="&amp;$J1704,'Hours Log'!$A:$A,"&lt;"&amp;$J1704+7))</f>
        <v/>
      </c>
      <c r="D1704">
        <f>IF($J1704="","",SUMIFS('Hours Log'!$D:$D,'Hours Log'!$A:$A,"&gt;="&amp;$J1704,'Hours Log'!$A:$A,"&lt;"&amp;$J1704+7))</f>
        <v/>
      </c>
      <c r="E1704">
        <f>IF($J1704="","",IFERROR(C1704/(B1704*40),0))</f>
        <v/>
      </c>
      <c r="F1704">
        <f>IF($J1704="","",0)</f>
        <v/>
      </c>
      <c r="G1704">
        <f>IF($J1704="","",SUMIFS('Hours Log'!$E:$E,'Hours Log'!$A:$A,"&gt;="&amp;$J1704,'Hours Log'!$A:$A,"&lt;"&amp;$J1704+7))</f>
        <v/>
      </c>
      <c r="J1704">
        <f>IF(COUNT('Hours Log'!$A$4:$A$5000)=0,"",IF(MIN('Hours Log'!$A$4:$A$5000)+7*(ROW()-10)&gt;MAX('Hours Log'!$A$4:$A$5000),"",MIN('Hours Log'!$A$4:$A$5000)+7*(ROW()-10)))</f>
        <v/>
      </c>
    </row>
    <row r="1705">
      <c r="A1705">
        <f>IF($J1705="","",YEAR($J1705-WEEKDAY($J1705,2)+4)&amp;"-W"&amp;TEXT(WEEKNUM($J1705,21),"00"))</f>
        <v/>
      </c>
      <c r="B1705" s="41">
        <f>IF($J1705="","",COUNTIFS(Roster!$D$4:$D$500,"Active",Roster!$C$4:$C$500,"&lt;="&amp;$J1705))</f>
        <v/>
      </c>
      <c r="C1705">
        <f>IF($J1705="","",SUMIFS('Hours Log'!$C:$C,'Hours Log'!$A:$A,"&gt;="&amp;$J1705,'Hours Log'!$A:$A,"&lt;"&amp;$J1705+7)+SUMIFS('Hours Log'!$D:$D,'Hours Log'!$A:$A,"&gt;="&amp;$J1705,'Hours Log'!$A:$A,"&lt;"&amp;$J1705+7))</f>
        <v/>
      </c>
      <c r="D1705">
        <f>IF($J1705="","",SUMIFS('Hours Log'!$D:$D,'Hours Log'!$A:$A,"&gt;="&amp;$J1705,'Hours Log'!$A:$A,"&lt;"&amp;$J1705+7))</f>
        <v/>
      </c>
      <c r="E1705">
        <f>IF($J1705="","",IFERROR(C1705/(B1705*40),0))</f>
        <v/>
      </c>
      <c r="F1705">
        <f>IF($J1705="","",0)</f>
        <v/>
      </c>
      <c r="G1705">
        <f>IF($J1705="","",SUMIFS('Hours Log'!$E:$E,'Hours Log'!$A:$A,"&gt;="&amp;$J1705,'Hours Log'!$A:$A,"&lt;"&amp;$J1705+7))</f>
        <v/>
      </c>
      <c r="J1705">
        <f>IF(COUNT('Hours Log'!$A$4:$A$5000)=0,"",IF(MIN('Hours Log'!$A$4:$A$5000)+7*(ROW()-10)&gt;MAX('Hours Log'!$A$4:$A$5000),"",MIN('Hours Log'!$A$4:$A$5000)+7*(ROW()-10)))</f>
        <v/>
      </c>
    </row>
    <row r="1706">
      <c r="A1706">
        <f>IF($J1706="","",YEAR($J1706-WEEKDAY($J1706,2)+4)&amp;"-W"&amp;TEXT(WEEKNUM($J1706,21),"00"))</f>
        <v/>
      </c>
      <c r="B1706" s="41">
        <f>IF($J1706="","",COUNTIFS(Roster!$D$4:$D$500,"Active",Roster!$C$4:$C$500,"&lt;="&amp;$J1706))</f>
        <v/>
      </c>
      <c r="C1706">
        <f>IF($J1706="","",SUMIFS('Hours Log'!$C:$C,'Hours Log'!$A:$A,"&gt;="&amp;$J1706,'Hours Log'!$A:$A,"&lt;"&amp;$J1706+7)+SUMIFS('Hours Log'!$D:$D,'Hours Log'!$A:$A,"&gt;="&amp;$J1706,'Hours Log'!$A:$A,"&lt;"&amp;$J1706+7))</f>
        <v/>
      </c>
      <c r="D1706">
        <f>IF($J1706="","",SUMIFS('Hours Log'!$D:$D,'Hours Log'!$A:$A,"&gt;="&amp;$J1706,'Hours Log'!$A:$A,"&lt;"&amp;$J1706+7))</f>
        <v/>
      </c>
      <c r="E1706">
        <f>IF($J1706="","",IFERROR(C1706/(B1706*40),0))</f>
        <v/>
      </c>
      <c r="F1706">
        <f>IF($J1706="","",0)</f>
        <v/>
      </c>
      <c r="G1706">
        <f>IF($J1706="","",SUMIFS('Hours Log'!$E:$E,'Hours Log'!$A:$A,"&gt;="&amp;$J1706,'Hours Log'!$A:$A,"&lt;"&amp;$J1706+7))</f>
        <v/>
      </c>
      <c r="J1706">
        <f>IF(COUNT('Hours Log'!$A$4:$A$5000)=0,"",IF(MIN('Hours Log'!$A$4:$A$5000)+7*(ROW()-10)&gt;MAX('Hours Log'!$A$4:$A$5000),"",MIN('Hours Log'!$A$4:$A$5000)+7*(ROW()-10)))</f>
        <v/>
      </c>
    </row>
    <row r="1707">
      <c r="A1707">
        <f>IF($J1707="","",YEAR($J1707-WEEKDAY($J1707,2)+4)&amp;"-W"&amp;TEXT(WEEKNUM($J1707,21),"00"))</f>
        <v/>
      </c>
      <c r="B1707" s="41">
        <f>IF($J1707="","",COUNTIFS(Roster!$D$4:$D$500,"Active",Roster!$C$4:$C$500,"&lt;="&amp;$J1707))</f>
        <v/>
      </c>
      <c r="C1707">
        <f>IF($J1707="","",SUMIFS('Hours Log'!$C:$C,'Hours Log'!$A:$A,"&gt;="&amp;$J1707,'Hours Log'!$A:$A,"&lt;"&amp;$J1707+7)+SUMIFS('Hours Log'!$D:$D,'Hours Log'!$A:$A,"&gt;="&amp;$J1707,'Hours Log'!$A:$A,"&lt;"&amp;$J1707+7))</f>
        <v/>
      </c>
      <c r="D1707">
        <f>IF($J1707="","",SUMIFS('Hours Log'!$D:$D,'Hours Log'!$A:$A,"&gt;="&amp;$J1707,'Hours Log'!$A:$A,"&lt;"&amp;$J1707+7))</f>
        <v/>
      </c>
      <c r="E1707">
        <f>IF($J1707="","",IFERROR(C1707/(B1707*40),0))</f>
        <v/>
      </c>
      <c r="F1707">
        <f>IF($J1707="","",0)</f>
        <v/>
      </c>
      <c r="G1707">
        <f>IF($J1707="","",SUMIFS('Hours Log'!$E:$E,'Hours Log'!$A:$A,"&gt;="&amp;$J1707,'Hours Log'!$A:$A,"&lt;"&amp;$J1707+7))</f>
        <v/>
      </c>
      <c r="J1707">
        <f>IF(COUNT('Hours Log'!$A$4:$A$5000)=0,"",IF(MIN('Hours Log'!$A$4:$A$5000)+7*(ROW()-10)&gt;MAX('Hours Log'!$A$4:$A$5000),"",MIN('Hours Log'!$A$4:$A$5000)+7*(ROW()-10)))</f>
        <v/>
      </c>
    </row>
    <row r="1708">
      <c r="A1708">
        <f>IF($J1708="","",YEAR($J1708-WEEKDAY($J1708,2)+4)&amp;"-W"&amp;TEXT(WEEKNUM($J1708,21),"00"))</f>
        <v/>
      </c>
      <c r="B1708" s="41">
        <f>IF($J1708="","",COUNTIFS(Roster!$D$4:$D$500,"Active",Roster!$C$4:$C$500,"&lt;="&amp;$J1708))</f>
        <v/>
      </c>
      <c r="C1708">
        <f>IF($J1708="","",SUMIFS('Hours Log'!$C:$C,'Hours Log'!$A:$A,"&gt;="&amp;$J1708,'Hours Log'!$A:$A,"&lt;"&amp;$J1708+7)+SUMIFS('Hours Log'!$D:$D,'Hours Log'!$A:$A,"&gt;="&amp;$J1708,'Hours Log'!$A:$A,"&lt;"&amp;$J1708+7))</f>
        <v/>
      </c>
      <c r="D1708">
        <f>IF($J1708="","",SUMIFS('Hours Log'!$D:$D,'Hours Log'!$A:$A,"&gt;="&amp;$J1708,'Hours Log'!$A:$A,"&lt;"&amp;$J1708+7))</f>
        <v/>
      </c>
      <c r="E1708">
        <f>IF($J1708="","",IFERROR(C1708/(B1708*40),0))</f>
        <v/>
      </c>
      <c r="F1708">
        <f>IF($J1708="","",0)</f>
        <v/>
      </c>
      <c r="G1708">
        <f>IF($J1708="","",SUMIFS('Hours Log'!$E:$E,'Hours Log'!$A:$A,"&gt;="&amp;$J1708,'Hours Log'!$A:$A,"&lt;"&amp;$J1708+7))</f>
        <v/>
      </c>
      <c r="J1708">
        <f>IF(COUNT('Hours Log'!$A$4:$A$5000)=0,"",IF(MIN('Hours Log'!$A$4:$A$5000)+7*(ROW()-10)&gt;MAX('Hours Log'!$A$4:$A$5000),"",MIN('Hours Log'!$A$4:$A$5000)+7*(ROW()-10)))</f>
        <v/>
      </c>
    </row>
    <row r="1709">
      <c r="A1709">
        <f>IF($J1709="","",YEAR($J1709-WEEKDAY($J1709,2)+4)&amp;"-W"&amp;TEXT(WEEKNUM($J1709,21),"00"))</f>
        <v/>
      </c>
      <c r="B1709" s="41">
        <f>IF($J1709="","",COUNTIFS(Roster!$D$4:$D$500,"Active",Roster!$C$4:$C$500,"&lt;="&amp;$J1709))</f>
        <v/>
      </c>
      <c r="C1709">
        <f>IF($J1709="","",SUMIFS('Hours Log'!$C:$C,'Hours Log'!$A:$A,"&gt;="&amp;$J1709,'Hours Log'!$A:$A,"&lt;"&amp;$J1709+7)+SUMIFS('Hours Log'!$D:$D,'Hours Log'!$A:$A,"&gt;="&amp;$J1709,'Hours Log'!$A:$A,"&lt;"&amp;$J1709+7))</f>
        <v/>
      </c>
      <c r="D1709">
        <f>IF($J1709="","",SUMIFS('Hours Log'!$D:$D,'Hours Log'!$A:$A,"&gt;="&amp;$J1709,'Hours Log'!$A:$A,"&lt;"&amp;$J1709+7))</f>
        <v/>
      </c>
      <c r="E1709">
        <f>IF($J1709="","",IFERROR(C1709/(B1709*40),0))</f>
        <v/>
      </c>
      <c r="F1709">
        <f>IF($J1709="","",0)</f>
        <v/>
      </c>
      <c r="G1709">
        <f>IF($J1709="","",SUMIFS('Hours Log'!$E:$E,'Hours Log'!$A:$A,"&gt;="&amp;$J1709,'Hours Log'!$A:$A,"&lt;"&amp;$J1709+7))</f>
        <v/>
      </c>
      <c r="J1709">
        <f>IF(COUNT('Hours Log'!$A$4:$A$5000)=0,"",IF(MIN('Hours Log'!$A$4:$A$5000)+7*(ROW()-10)&gt;MAX('Hours Log'!$A$4:$A$5000),"",MIN('Hours Log'!$A$4:$A$5000)+7*(ROW()-10)))</f>
        <v/>
      </c>
    </row>
    <row r="1710">
      <c r="A1710">
        <f>IF($J1710="","",YEAR($J1710-WEEKDAY($J1710,2)+4)&amp;"-W"&amp;TEXT(WEEKNUM($J1710,21),"00"))</f>
        <v/>
      </c>
      <c r="B1710" s="41">
        <f>IF($J1710="","",COUNTIFS(Roster!$D$4:$D$500,"Active",Roster!$C$4:$C$500,"&lt;="&amp;$J1710))</f>
        <v/>
      </c>
      <c r="C1710">
        <f>IF($J1710="","",SUMIFS('Hours Log'!$C:$C,'Hours Log'!$A:$A,"&gt;="&amp;$J1710,'Hours Log'!$A:$A,"&lt;"&amp;$J1710+7)+SUMIFS('Hours Log'!$D:$D,'Hours Log'!$A:$A,"&gt;="&amp;$J1710,'Hours Log'!$A:$A,"&lt;"&amp;$J1710+7))</f>
        <v/>
      </c>
      <c r="D1710">
        <f>IF($J1710="","",SUMIFS('Hours Log'!$D:$D,'Hours Log'!$A:$A,"&gt;="&amp;$J1710,'Hours Log'!$A:$A,"&lt;"&amp;$J1710+7))</f>
        <v/>
      </c>
      <c r="E1710">
        <f>IF($J1710="","",IFERROR(C1710/(B1710*40),0))</f>
        <v/>
      </c>
      <c r="F1710">
        <f>IF($J1710="","",0)</f>
        <v/>
      </c>
      <c r="G1710">
        <f>IF($J1710="","",SUMIFS('Hours Log'!$E:$E,'Hours Log'!$A:$A,"&gt;="&amp;$J1710,'Hours Log'!$A:$A,"&lt;"&amp;$J1710+7))</f>
        <v/>
      </c>
      <c r="J1710">
        <f>IF(COUNT('Hours Log'!$A$4:$A$5000)=0,"",IF(MIN('Hours Log'!$A$4:$A$5000)+7*(ROW()-10)&gt;MAX('Hours Log'!$A$4:$A$5000),"",MIN('Hours Log'!$A$4:$A$5000)+7*(ROW()-10)))</f>
        <v/>
      </c>
    </row>
    <row r="1711">
      <c r="A1711">
        <f>IF($J1711="","",YEAR($J1711-WEEKDAY($J1711,2)+4)&amp;"-W"&amp;TEXT(WEEKNUM($J1711,21),"00"))</f>
        <v/>
      </c>
      <c r="B1711" s="41">
        <f>IF($J1711="","",COUNTIFS(Roster!$D$4:$D$500,"Active",Roster!$C$4:$C$500,"&lt;="&amp;$J1711))</f>
        <v/>
      </c>
      <c r="C1711">
        <f>IF($J1711="","",SUMIFS('Hours Log'!$C:$C,'Hours Log'!$A:$A,"&gt;="&amp;$J1711,'Hours Log'!$A:$A,"&lt;"&amp;$J1711+7)+SUMIFS('Hours Log'!$D:$D,'Hours Log'!$A:$A,"&gt;="&amp;$J1711,'Hours Log'!$A:$A,"&lt;"&amp;$J1711+7))</f>
        <v/>
      </c>
      <c r="D1711">
        <f>IF($J1711="","",SUMIFS('Hours Log'!$D:$D,'Hours Log'!$A:$A,"&gt;="&amp;$J1711,'Hours Log'!$A:$A,"&lt;"&amp;$J1711+7))</f>
        <v/>
      </c>
      <c r="E1711">
        <f>IF($J1711="","",IFERROR(C1711/(B1711*40),0))</f>
        <v/>
      </c>
      <c r="F1711">
        <f>IF($J1711="","",0)</f>
        <v/>
      </c>
      <c r="G1711">
        <f>IF($J1711="","",SUMIFS('Hours Log'!$E:$E,'Hours Log'!$A:$A,"&gt;="&amp;$J1711,'Hours Log'!$A:$A,"&lt;"&amp;$J1711+7))</f>
        <v/>
      </c>
      <c r="J1711">
        <f>IF(COUNT('Hours Log'!$A$4:$A$5000)=0,"",IF(MIN('Hours Log'!$A$4:$A$5000)+7*(ROW()-10)&gt;MAX('Hours Log'!$A$4:$A$5000),"",MIN('Hours Log'!$A$4:$A$5000)+7*(ROW()-10)))</f>
        <v/>
      </c>
    </row>
    <row r="1712">
      <c r="A1712">
        <f>IF($J1712="","",YEAR($J1712-WEEKDAY($J1712,2)+4)&amp;"-W"&amp;TEXT(WEEKNUM($J1712,21),"00"))</f>
        <v/>
      </c>
      <c r="B1712" s="41">
        <f>IF($J1712="","",COUNTIFS(Roster!$D$4:$D$500,"Active",Roster!$C$4:$C$500,"&lt;="&amp;$J1712))</f>
        <v/>
      </c>
      <c r="C1712">
        <f>IF($J1712="","",SUMIFS('Hours Log'!$C:$C,'Hours Log'!$A:$A,"&gt;="&amp;$J1712,'Hours Log'!$A:$A,"&lt;"&amp;$J1712+7)+SUMIFS('Hours Log'!$D:$D,'Hours Log'!$A:$A,"&gt;="&amp;$J1712,'Hours Log'!$A:$A,"&lt;"&amp;$J1712+7))</f>
        <v/>
      </c>
      <c r="D1712">
        <f>IF($J1712="","",SUMIFS('Hours Log'!$D:$D,'Hours Log'!$A:$A,"&gt;="&amp;$J1712,'Hours Log'!$A:$A,"&lt;"&amp;$J1712+7))</f>
        <v/>
      </c>
      <c r="E1712">
        <f>IF($J1712="","",IFERROR(C1712/(B1712*40),0))</f>
        <v/>
      </c>
      <c r="F1712">
        <f>IF($J1712="","",0)</f>
        <v/>
      </c>
      <c r="G1712">
        <f>IF($J1712="","",SUMIFS('Hours Log'!$E:$E,'Hours Log'!$A:$A,"&gt;="&amp;$J1712,'Hours Log'!$A:$A,"&lt;"&amp;$J1712+7))</f>
        <v/>
      </c>
      <c r="J1712">
        <f>IF(COUNT('Hours Log'!$A$4:$A$5000)=0,"",IF(MIN('Hours Log'!$A$4:$A$5000)+7*(ROW()-10)&gt;MAX('Hours Log'!$A$4:$A$5000),"",MIN('Hours Log'!$A$4:$A$5000)+7*(ROW()-10)))</f>
        <v/>
      </c>
    </row>
    <row r="1713">
      <c r="A1713">
        <f>IF($J1713="","",YEAR($J1713-WEEKDAY($J1713,2)+4)&amp;"-W"&amp;TEXT(WEEKNUM($J1713,21),"00"))</f>
        <v/>
      </c>
      <c r="B1713" s="41">
        <f>IF($J1713="","",COUNTIFS(Roster!$D$4:$D$500,"Active",Roster!$C$4:$C$500,"&lt;="&amp;$J1713))</f>
        <v/>
      </c>
      <c r="C1713">
        <f>IF($J1713="","",SUMIFS('Hours Log'!$C:$C,'Hours Log'!$A:$A,"&gt;="&amp;$J1713,'Hours Log'!$A:$A,"&lt;"&amp;$J1713+7)+SUMIFS('Hours Log'!$D:$D,'Hours Log'!$A:$A,"&gt;="&amp;$J1713,'Hours Log'!$A:$A,"&lt;"&amp;$J1713+7))</f>
        <v/>
      </c>
      <c r="D1713">
        <f>IF($J1713="","",SUMIFS('Hours Log'!$D:$D,'Hours Log'!$A:$A,"&gt;="&amp;$J1713,'Hours Log'!$A:$A,"&lt;"&amp;$J1713+7))</f>
        <v/>
      </c>
      <c r="E1713">
        <f>IF($J1713="","",IFERROR(C1713/(B1713*40),0))</f>
        <v/>
      </c>
      <c r="F1713">
        <f>IF($J1713="","",0)</f>
        <v/>
      </c>
      <c r="G1713">
        <f>IF($J1713="","",SUMIFS('Hours Log'!$E:$E,'Hours Log'!$A:$A,"&gt;="&amp;$J1713,'Hours Log'!$A:$A,"&lt;"&amp;$J1713+7))</f>
        <v/>
      </c>
      <c r="J1713">
        <f>IF(COUNT('Hours Log'!$A$4:$A$5000)=0,"",IF(MIN('Hours Log'!$A$4:$A$5000)+7*(ROW()-10)&gt;MAX('Hours Log'!$A$4:$A$5000),"",MIN('Hours Log'!$A$4:$A$5000)+7*(ROW()-10)))</f>
        <v/>
      </c>
    </row>
    <row r="1714">
      <c r="A1714">
        <f>IF($J1714="","",YEAR($J1714-WEEKDAY($J1714,2)+4)&amp;"-W"&amp;TEXT(WEEKNUM($J1714,21),"00"))</f>
        <v/>
      </c>
      <c r="B1714" s="41">
        <f>IF($J1714="","",COUNTIFS(Roster!$D$4:$D$500,"Active",Roster!$C$4:$C$500,"&lt;="&amp;$J1714))</f>
        <v/>
      </c>
      <c r="C1714">
        <f>IF($J1714="","",SUMIFS('Hours Log'!$C:$C,'Hours Log'!$A:$A,"&gt;="&amp;$J1714,'Hours Log'!$A:$A,"&lt;"&amp;$J1714+7)+SUMIFS('Hours Log'!$D:$D,'Hours Log'!$A:$A,"&gt;="&amp;$J1714,'Hours Log'!$A:$A,"&lt;"&amp;$J1714+7))</f>
        <v/>
      </c>
      <c r="D1714">
        <f>IF($J1714="","",SUMIFS('Hours Log'!$D:$D,'Hours Log'!$A:$A,"&gt;="&amp;$J1714,'Hours Log'!$A:$A,"&lt;"&amp;$J1714+7))</f>
        <v/>
      </c>
      <c r="E1714">
        <f>IF($J1714="","",IFERROR(C1714/(B1714*40),0))</f>
        <v/>
      </c>
      <c r="F1714">
        <f>IF($J1714="","",0)</f>
        <v/>
      </c>
      <c r="G1714">
        <f>IF($J1714="","",SUMIFS('Hours Log'!$E:$E,'Hours Log'!$A:$A,"&gt;="&amp;$J1714,'Hours Log'!$A:$A,"&lt;"&amp;$J1714+7))</f>
        <v/>
      </c>
      <c r="J1714">
        <f>IF(COUNT('Hours Log'!$A$4:$A$5000)=0,"",IF(MIN('Hours Log'!$A$4:$A$5000)+7*(ROW()-10)&gt;MAX('Hours Log'!$A$4:$A$5000),"",MIN('Hours Log'!$A$4:$A$5000)+7*(ROW()-10)))</f>
        <v/>
      </c>
    </row>
    <row r="1715">
      <c r="A1715">
        <f>IF($J1715="","",YEAR($J1715-WEEKDAY($J1715,2)+4)&amp;"-W"&amp;TEXT(WEEKNUM($J1715,21),"00"))</f>
        <v/>
      </c>
      <c r="B1715" s="41">
        <f>IF($J1715="","",COUNTIFS(Roster!$D$4:$D$500,"Active",Roster!$C$4:$C$500,"&lt;="&amp;$J1715))</f>
        <v/>
      </c>
      <c r="C1715">
        <f>IF($J1715="","",SUMIFS('Hours Log'!$C:$C,'Hours Log'!$A:$A,"&gt;="&amp;$J1715,'Hours Log'!$A:$A,"&lt;"&amp;$J1715+7)+SUMIFS('Hours Log'!$D:$D,'Hours Log'!$A:$A,"&gt;="&amp;$J1715,'Hours Log'!$A:$A,"&lt;"&amp;$J1715+7))</f>
        <v/>
      </c>
      <c r="D1715">
        <f>IF($J1715="","",SUMIFS('Hours Log'!$D:$D,'Hours Log'!$A:$A,"&gt;="&amp;$J1715,'Hours Log'!$A:$A,"&lt;"&amp;$J1715+7))</f>
        <v/>
      </c>
      <c r="E1715">
        <f>IF($J1715="","",IFERROR(C1715/(B1715*40),0))</f>
        <v/>
      </c>
      <c r="F1715">
        <f>IF($J1715="","",0)</f>
        <v/>
      </c>
      <c r="G1715">
        <f>IF($J1715="","",SUMIFS('Hours Log'!$E:$E,'Hours Log'!$A:$A,"&gt;="&amp;$J1715,'Hours Log'!$A:$A,"&lt;"&amp;$J1715+7))</f>
        <v/>
      </c>
      <c r="J1715">
        <f>IF(COUNT('Hours Log'!$A$4:$A$5000)=0,"",IF(MIN('Hours Log'!$A$4:$A$5000)+7*(ROW()-10)&gt;MAX('Hours Log'!$A$4:$A$5000),"",MIN('Hours Log'!$A$4:$A$5000)+7*(ROW()-10)))</f>
        <v/>
      </c>
    </row>
    <row r="1716">
      <c r="A1716">
        <f>IF($J1716="","",YEAR($J1716-WEEKDAY($J1716,2)+4)&amp;"-W"&amp;TEXT(WEEKNUM($J1716,21),"00"))</f>
        <v/>
      </c>
      <c r="B1716" s="41">
        <f>IF($J1716="","",COUNTIFS(Roster!$D$4:$D$500,"Active",Roster!$C$4:$C$500,"&lt;="&amp;$J1716))</f>
        <v/>
      </c>
      <c r="C1716">
        <f>IF($J1716="","",SUMIFS('Hours Log'!$C:$C,'Hours Log'!$A:$A,"&gt;="&amp;$J1716,'Hours Log'!$A:$A,"&lt;"&amp;$J1716+7)+SUMIFS('Hours Log'!$D:$D,'Hours Log'!$A:$A,"&gt;="&amp;$J1716,'Hours Log'!$A:$A,"&lt;"&amp;$J1716+7))</f>
        <v/>
      </c>
      <c r="D1716">
        <f>IF($J1716="","",SUMIFS('Hours Log'!$D:$D,'Hours Log'!$A:$A,"&gt;="&amp;$J1716,'Hours Log'!$A:$A,"&lt;"&amp;$J1716+7))</f>
        <v/>
      </c>
      <c r="E1716">
        <f>IF($J1716="","",IFERROR(C1716/(B1716*40),0))</f>
        <v/>
      </c>
      <c r="F1716">
        <f>IF($J1716="","",0)</f>
        <v/>
      </c>
      <c r="G1716">
        <f>IF($J1716="","",SUMIFS('Hours Log'!$E:$E,'Hours Log'!$A:$A,"&gt;="&amp;$J1716,'Hours Log'!$A:$A,"&lt;"&amp;$J1716+7))</f>
        <v/>
      </c>
      <c r="J1716">
        <f>IF(COUNT('Hours Log'!$A$4:$A$5000)=0,"",IF(MIN('Hours Log'!$A$4:$A$5000)+7*(ROW()-10)&gt;MAX('Hours Log'!$A$4:$A$5000),"",MIN('Hours Log'!$A$4:$A$5000)+7*(ROW()-10)))</f>
        <v/>
      </c>
    </row>
    <row r="1717">
      <c r="A1717">
        <f>IF($J1717="","",YEAR($J1717-WEEKDAY($J1717,2)+4)&amp;"-W"&amp;TEXT(WEEKNUM($J1717,21),"00"))</f>
        <v/>
      </c>
      <c r="B1717" s="41">
        <f>IF($J1717="","",COUNTIFS(Roster!$D$4:$D$500,"Active",Roster!$C$4:$C$500,"&lt;="&amp;$J1717))</f>
        <v/>
      </c>
      <c r="C1717">
        <f>IF($J1717="","",SUMIFS('Hours Log'!$C:$C,'Hours Log'!$A:$A,"&gt;="&amp;$J1717,'Hours Log'!$A:$A,"&lt;"&amp;$J1717+7)+SUMIFS('Hours Log'!$D:$D,'Hours Log'!$A:$A,"&gt;="&amp;$J1717,'Hours Log'!$A:$A,"&lt;"&amp;$J1717+7))</f>
        <v/>
      </c>
      <c r="D1717">
        <f>IF($J1717="","",SUMIFS('Hours Log'!$D:$D,'Hours Log'!$A:$A,"&gt;="&amp;$J1717,'Hours Log'!$A:$A,"&lt;"&amp;$J1717+7))</f>
        <v/>
      </c>
      <c r="E1717">
        <f>IF($J1717="","",IFERROR(C1717/(B1717*40),0))</f>
        <v/>
      </c>
      <c r="F1717">
        <f>IF($J1717="","",0)</f>
        <v/>
      </c>
      <c r="G1717">
        <f>IF($J1717="","",SUMIFS('Hours Log'!$E:$E,'Hours Log'!$A:$A,"&gt;="&amp;$J1717,'Hours Log'!$A:$A,"&lt;"&amp;$J1717+7))</f>
        <v/>
      </c>
      <c r="J1717">
        <f>IF(COUNT('Hours Log'!$A$4:$A$5000)=0,"",IF(MIN('Hours Log'!$A$4:$A$5000)+7*(ROW()-10)&gt;MAX('Hours Log'!$A$4:$A$5000),"",MIN('Hours Log'!$A$4:$A$5000)+7*(ROW()-10)))</f>
        <v/>
      </c>
    </row>
    <row r="1718">
      <c r="A1718">
        <f>IF($J1718="","",YEAR($J1718-WEEKDAY($J1718,2)+4)&amp;"-W"&amp;TEXT(WEEKNUM($J1718,21),"00"))</f>
        <v/>
      </c>
      <c r="B1718" s="41">
        <f>IF($J1718="","",COUNTIFS(Roster!$D$4:$D$500,"Active",Roster!$C$4:$C$500,"&lt;="&amp;$J1718))</f>
        <v/>
      </c>
      <c r="C1718">
        <f>IF($J1718="","",SUMIFS('Hours Log'!$C:$C,'Hours Log'!$A:$A,"&gt;="&amp;$J1718,'Hours Log'!$A:$A,"&lt;"&amp;$J1718+7)+SUMIFS('Hours Log'!$D:$D,'Hours Log'!$A:$A,"&gt;="&amp;$J1718,'Hours Log'!$A:$A,"&lt;"&amp;$J1718+7))</f>
        <v/>
      </c>
      <c r="D1718">
        <f>IF($J1718="","",SUMIFS('Hours Log'!$D:$D,'Hours Log'!$A:$A,"&gt;="&amp;$J1718,'Hours Log'!$A:$A,"&lt;"&amp;$J1718+7))</f>
        <v/>
      </c>
      <c r="E1718">
        <f>IF($J1718="","",IFERROR(C1718/(B1718*40),0))</f>
        <v/>
      </c>
      <c r="F1718">
        <f>IF($J1718="","",0)</f>
        <v/>
      </c>
      <c r="G1718">
        <f>IF($J1718="","",SUMIFS('Hours Log'!$E:$E,'Hours Log'!$A:$A,"&gt;="&amp;$J1718,'Hours Log'!$A:$A,"&lt;"&amp;$J1718+7))</f>
        <v/>
      </c>
      <c r="J1718">
        <f>IF(COUNT('Hours Log'!$A$4:$A$5000)=0,"",IF(MIN('Hours Log'!$A$4:$A$5000)+7*(ROW()-10)&gt;MAX('Hours Log'!$A$4:$A$5000),"",MIN('Hours Log'!$A$4:$A$5000)+7*(ROW()-10)))</f>
        <v/>
      </c>
    </row>
    <row r="1719">
      <c r="A1719">
        <f>IF($J1719="","",YEAR($J1719-WEEKDAY($J1719,2)+4)&amp;"-W"&amp;TEXT(WEEKNUM($J1719,21),"00"))</f>
        <v/>
      </c>
      <c r="B1719" s="41">
        <f>IF($J1719="","",COUNTIFS(Roster!$D$4:$D$500,"Active",Roster!$C$4:$C$500,"&lt;="&amp;$J1719))</f>
        <v/>
      </c>
      <c r="C1719">
        <f>IF($J1719="","",SUMIFS('Hours Log'!$C:$C,'Hours Log'!$A:$A,"&gt;="&amp;$J1719,'Hours Log'!$A:$A,"&lt;"&amp;$J1719+7)+SUMIFS('Hours Log'!$D:$D,'Hours Log'!$A:$A,"&gt;="&amp;$J1719,'Hours Log'!$A:$A,"&lt;"&amp;$J1719+7))</f>
        <v/>
      </c>
      <c r="D1719">
        <f>IF($J1719="","",SUMIFS('Hours Log'!$D:$D,'Hours Log'!$A:$A,"&gt;="&amp;$J1719,'Hours Log'!$A:$A,"&lt;"&amp;$J1719+7))</f>
        <v/>
      </c>
      <c r="E1719">
        <f>IF($J1719="","",IFERROR(C1719/(B1719*40),0))</f>
        <v/>
      </c>
      <c r="F1719">
        <f>IF($J1719="","",0)</f>
        <v/>
      </c>
      <c r="G1719">
        <f>IF($J1719="","",SUMIFS('Hours Log'!$E:$E,'Hours Log'!$A:$A,"&gt;="&amp;$J1719,'Hours Log'!$A:$A,"&lt;"&amp;$J1719+7))</f>
        <v/>
      </c>
      <c r="J1719">
        <f>IF(COUNT('Hours Log'!$A$4:$A$5000)=0,"",IF(MIN('Hours Log'!$A$4:$A$5000)+7*(ROW()-10)&gt;MAX('Hours Log'!$A$4:$A$5000),"",MIN('Hours Log'!$A$4:$A$5000)+7*(ROW()-10)))</f>
        <v/>
      </c>
    </row>
    <row r="1720">
      <c r="A1720">
        <f>IF($J1720="","",YEAR($J1720-WEEKDAY($J1720,2)+4)&amp;"-W"&amp;TEXT(WEEKNUM($J1720,21),"00"))</f>
        <v/>
      </c>
      <c r="B1720" s="41">
        <f>IF($J1720="","",COUNTIFS(Roster!$D$4:$D$500,"Active",Roster!$C$4:$C$500,"&lt;="&amp;$J1720))</f>
        <v/>
      </c>
      <c r="C1720">
        <f>IF($J1720="","",SUMIFS('Hours Log'!$C:$C,'Hours Log'!$A:$A,"&gt;="&amp;$J1720,'Hours Log'!$A:$A,"&lt;"&amp;$J1720+7)+SUMIFS('Hours Log'!$D:$D,'Hours Log'!$A:$A,"&gt;="&amp;$J1720,'Hours Log'!$A:$A,"&lt;"&amp;$J1720+7))</f>
        <v/>
      </c>
      <c r="D1720">
        <f>IF($J1720="","",SUMIFS('Hours Log'!$D:$D,'Hours Log'!$A:$A,"&gt;="&amp;$J1720,'Hours Log'!$A:$A,"&lt;"&amp;$J1720+7))</f>
        <v/>
      </c>
      <c r="E1720">
        <f>IF($J1720="","",IFERROR(C1720/(B1720*40),0))</f>
        <v/>
      </c>
      <c r="F1720">
        <f>IF($J1720="","",0)</f>
        <v/>
      </c>
      <c r="G1720">
        <f>IF($J1720="","",SUMIFS('Hours Log'!$E:$E,'Hours Log'!$A:$A,"&gt;="&amp;$J1720,'Hours Log'!$A:$A,"&lt;"&amp;$J1720+7))</f>
        <v/>
      </c>
      <c r="J1720">
        <f>IF(COUNT('Hours Log'!$A$4:$A$5000)=0,"",IF(MIN('Hours Log'!$A$4:$A$5000)+7*(ROW()-10)&gt;MAX('Hours Log'!$A$4:$A$5000),"",MIN('Hours Log'!$A$4:$A$5000)+7*(ROW()-10)))</f>
        <v/>
      </c>
    </row>
    <row r="1721">
      <c r="A1721">
        <f>IF($J1721="","",YEAR($J1721-WEEKDAY($J1721,2)+4)&amp;"-W"&amp;TEXT(WEEKNUM($J1721,21),"00"))</f>
        <v/>
      </c>
      <c r="B1721" s="41">
        <f>IF($J1721="","",COUNTIFS(Roster!$D$4:$D$500,"Active",Roster!$C$4:$C$500,"&lt;="&amp;$J1721))</f>
        <v/>
      </c>
      <c r="C1721">
        <f>IF($J1721="","",SUMIFS('Hours Log'!$C:$C,'Hours Log'!$A:$A,"&gt;="&amp;$J1721,'Hours Log'!$A:$A,"&lt;"&amp;$J1721+7)+SUMIFS('Hours Log'!$D:$D,'Hours Log'!$A:$A,"&gt;="&amp;$J1721,'Hours Log'!$A:$A,"&lt;"&amp;$J1721+7))</f>
        <v/>
      </c>
      <c r="D1721">
        <f>IF($J1721="","",SUMIFS('Hours Log'!$D:$D,'Hours Log'!$A:$A,"&gt;="&amp;$J1721,'Hours Log'!$A:$A,"&lt;"&amp;$J1721+7))</f>
        <v/>
      </c>
      <c r="E1721">
        <f>IF($J1721="","",IFERROR(C1721/(B1721*40),0))</f>
        <v/>
      </c>
      <c r="F1721">
        <f>IF($J1721="","",0)</f>
        <v/>
      </c>
      <c r="G1721">
        <f>IF($J1721="","",SUMIFS('Hours Log'!$E:$E,'Hours Log'!$A:$A,"&gt;="&amp;$J1721,'Hours Log'!$A:$A,"&lt;"&amp;$J1721+7))</f>
        <v/>
      </c>
      <c r="J1721">
        <f>IF(COUNT('Hours Log'!$A$4:$A$5000)=0,"",IF(MIN('Hours Log'!$A$4:$A$5000)+7*(ROW()-10)&gt;MAX('Hours Log'!$A$4:$A$5000),"",MIN('Hours Log'!$A$4:$A$5000)+7*(ROW()-10)))</f>
        <v/>
      </c>
    </row>
    <row r="1722">
      <c r="A1722">
        <f>IF($J1722="","",YEAR($J1722-WEEKDAY($J1722,2)+4)&amp;"-W"&amp;TEXT(WEEKNUM($J1722,21),"00"))</f>
        <v/>
      </c>
      <c r="B1722" s="41">
        <f>IF($J1722="","",COUNTIFS(Roster!$D$4:$D$500,"Active",Roster!$C$4:$C$500,"&lt;="&amp;$J1722))</f>
        <v/>
      </c>
      <c r="C1722">
        <f>IF($J1722="","",SUMIFS('Hours Log'!$C:$C,'Hours Log'!$A:$A,"&gt;="&amp;$J1722,'Hours Log'!$A:$A,"&lt;"&amp;$J1722+7)+SUMIFS('Hours Log'!$D:$D,'Hours Log'!$A:$A,"&gt;="&amp;$J1722,'Hours Log'!$A:$A,"&lt;"&amp;$J1722+7))</f>
        <v/>
      </c>
      <c r="D1722">
        <f>IF($J1722="","",SUMIFS('Hours Log'!$D:$D,'Hours Log'!$A:$A,"&gt;="&amp;$J1722,'Hours Log'!$A:$A,"&lt;"&amp;$J1722+7))</f>
        <v/>
      </c>
      <c r="E1722">
        <f>IF($J1722="","",IFERROR(C1722/(B1722*40),0))</f>
        <v/>
      </c>
      <c r="F1722">
        <f>IF($J1722="","",0)</f>
        <v/>
      </c>
      <c r="G1722">
        <f>IF($J1722="","",SUMIFS('Hours Log'!$E:$E,'Hours Log'!$A:$A,"&gt;="&amp;$J1722,'Hours Log'!$A:$A,"&lt;"&amp;$J1722+7))</f>
        <v/>
      </c>
      <c r="J1722">
        <f>IF(COUNT('Hours Log'!$A$4:$A$5000)=0,"",IF(MIN('Hours Log'!$A$4:$A$5000)+7*(ROW()-10)&gt;MAX('Hours Log'!$A$4:$A$5000),"",MIN('Hours Log'!$A$4:$A$5000)+7*(ROW()-10)))</f>
        <v/>
      </c>
    </row>
    <row r="1723">
      <c r="A1723">
        <f>IF($J1723="","",YEAR($J1723-WEEKDAY($J1723,2)+4)&amp;"-W"&amp;TEXT(WEEKNUM($J1723,21),"00"))</f>
        <v/>
      </c>
      <c r="B1723" s="41">
        <f>IF($J1723="","",COUNTIFS(Roster!$D$4:$D$500,"Active",Roster!$C$4:$C$500,"&lt;="&amp;$J1723))</f>
        <v/>
      </c>
      <c r="C1723">
        <f>IF($J1723="","",SUMIFS('Hours Log'!$C:$C,'Hours Log'!$A:$A,"&gt;="&amp;$J1723,'Hours Log'!$A:$A,"&lt;"&amp;$J1723+7)+SUMIFS('Hours Log'!$D:$D,'Hours Log'!$A:$A,"&gt;="&amp;$J1723,'Hours Log'!$A:$A,"&lt;"&amp;$J1723+7))</f>
        <v/>
      </c>
      <c r="D1723">
        <f>IF($J1723="","",SUMIFS('Hours Log'!$D:$D,'Hours Log'!$A:$A,"&gt;="&amp;$J1723,'Hours Log'!$A:$A,"&lt;"&amp;$J1723+7))</f>
        <v/>
      </c>
      <c r="E1723">
        <f>IF($J1723="","",IFERROR(C1723/(B1723*40),0))</f>
        <v/>
      </c>
      <c r="F1723">
        <f>IF($J1723="","",0)</f>
        <v/>
      </c>
      <c r="G1723">
        <f>IF($J1723="","",SUMIFS('Hours Log'!$E:$E,'Hours Log'!$A:$A,"&gt;="&amp;$J1723,'Hours Log'!$A:$A,"&lt;"&amp;$J1723+7))</f>
        <v/>
      </c>
      <c r="J1723">
        <f>IF(COUNT('Hours Log'!$A$4:$A$5000)=0,"",IF(MIN('Hours Log'!$A$4:$A$5000)+7*(ROW()-10)&gt;MAX('Hours Log'!$A$4:$A$5000),"",MIN('Hours Log'!$A$4:$A$5000)+7*(ROW()-10)))</f>
        <v/>
      </c>
    </row>
    <row r="1724">
      <c r="A1724">
        <f>IF($J1724="","",YEAR($J1724-WEEKDAY($J1724,2)+4)&amp;"-W"&amp;TEXT(WEEKNUM($J1724,21),"00"))</f>
        <v/>
      </c>
      <c r="B1724" s="41">
        <f>IF($J1724="","",COUNTIFS(Roster!$D$4:$D$500,"Active",Roster!$C$4:$C$500,"&lt;="&amp;$J1724))</f>
        <v/>
      </c>
      <c r="C1724">
        <f>IF($J1724="","",SUMIFS('Hours Log'!$C:$C,'Hours Log'!$A:$A,"&gt;="&amp;$J1724,'Hours Log'!$A:$A,"&lt;"&amp;$J1724+7)+SUMIFS('Hours Log'!$D:$D,'Hours Log'!$A:$A,"&gt;="&amp;$J1724,'Hours Log'!$A:$A,"&lt;"&amp;$J1724+7))</f>
        <v/>
      </c>
      <c r="D1724">
        <f>IF($J1724="","",SUMIFS('Hours Log'!$D:$D,'Hours Log'!$A:$A,"&gt;="&amp;$J1724,'Hours Log'!$A:$A,"&lt;"&amp;$J1724+7))</f>
        <v/>
      </c>
      <c r="E1724">
        <f>IF($J1724="","",IFERROR(C1724/(B1724*40),0))</f>
        <v/>
      </c>
      <c r="F1724">
        <f>IF($J1724="","",0)</f>
        <v/>
      </c>
      <c r="G1724">
        <f>IF($J1724="","",SUMIFS('Hours Log'!$E:$E,'Hours Log'!$A:$A,"&gt;="&amp;$J1724,'Hours Log'!$A:$A,"&lt;"&amp;$J1724+7))</f>
        <v/>
      </c>
      <c r="J1724">
        <f>IF(COUNT('Hours Log'!$A$4:$A$5000)=0,"",IF(MIN('Hours Log'!$A$4:$A$5000)+7*(ROW()-10)&gt;MAX('Hours Log'!$A$4:$A$5000),"",MIN('Hours Log'!$A$4:$A$5000)+7*(ROW()-10)))</f>
        <v/>
      </c>
    </row>
    <row r="1725">
      <c r="A1725">
        <f>IF($J1725="","",YEAR($J1725-WEEKDAY($J1725,2)+4)&amp;"-W"&amp;TEXT(WEEKNUM($J1725,21),"00"))</f>
        <v/>
      </c>
      <c r="B1725" s="41">
        <f>IF($J1725="","",COUNTIFS(Roster!$D$4:$D$500,"Active",Roster!$C$4:$C$500,"&lt;="&amp;$J1725))</f>
        <v/>
      </c>
      <c r="C1725">
        <f>IF($J1725="","",SUMIFS('Hours Log'!$C:$C,'Hours Log'!$A:$A,"&gt;="&amp;$J1725,'Hours Log'!$A:$A,"&lt;"&amp;$J1725+7)+SUMIFS('Hours Log'!$D:$D,'Hours Log'!$A:$A,"&gt;="&amp;$J1725,'Hours Log'!$A:$A,"&lt;"&amp;$J1725+7))</f>
        <v/>
      </c>
      <c r="D1725">
        <f>IF($J1725="","",SUMIFS('Hours Log'!$D:$D,'Hours Log'!$A:$A,"&gt;="&amp;$J1725,'Hours Log'!$A:$A,"&lt;"&amp;$J1725+7))</f>
        <v/>
      </c>
      <c r="E1725">
        <f>IF($J1725="","",IFERROR(C1725/(B1725*40),0))</f>
        <v/>
      </c>
      <c r="F1725">
        <f>IF($J1725="","",0)</f>
        <v/>
      </c>
      <c r="G1725">
        <f>IF($J1725="","",SUMIFS('Hours Log'!$E:$E,'Hours Log'!$A:$A,"&gt;="&amp;$J1725,'Hours Log'!$A:$A,"&lt;"&amp;$J1725+7))</f>
        <v/>
      </c>
      <c r="J1725">
        <f>IF(COUNT('Hours Log'!$A$4:$A$5000)=0,"",IF(MIN('Hours Log'!$A$4:$A$5000)+7*(ROW()-10)&gt;MAX('Hours Log'!$A$4:$A$5000),"",MIN('Hours Log'!$A$4:$A$5000)+7*(ROW()-10)))</f>
        <v/>
      </c>
    </row>
    <row r="1726">
      <c r="A1726">
        <f>IF($J1726="","",YEAR($J1726-WEEKDAY($J1726,2)+4)&amp;"-W"&amp;TEXT(WEEKNUM($J1726,21),"00"))</f>
        <v/>
      </c>
      <c r="B1726" s="41">
        <f>IF($J1726="","",COUNTIFS(Roster!$D$4:$D$500,"Active",Roster!$C$4:$C$500,"&lt;="&amp;$J1726))</f>
        <v/>
      </c>
      <c r="C1726">
        <f>IF($J1726="","",SUMIFS('Hours Log'!$C:$C,'Hours Log'!$A:$A,"&gt;="&amp;$J1726,'Hours Log'!$A:$A,"&lt;"&amp;$J1726+7)+SUMIFS('Hours Log'!$D:$D,'Hours Log'!$A:$A,"&gt;="&amp;$J1726,'Hours Log'!$A:$A,"&lt;"&amp;$J1726+7))</f>
        <v/>
      </c>
      <c r="D1726">
        <f>IF($J1726="","",SUMIFS('Hours Log'!$D:$D,'Hours Log'!$A:$A,"&gt;="&amp;$J1726,'Hours Log'!$A:$A,"&lt;"&amp;$J1726+7))</f>
        <v/>
      </c>
      <c r="E1726">
        <f>IF($J1726="","",IFERROR(C1726/(B1726*40),0))</f>
        <v/>
      </c>
      <c r="F1726">
        <f>IF($J1726="","",0)</f>
        <v/>
      </c>
      <c r="G1726">
        <f>IF($J1726="","",SUMIFS('Hours Log'!$E:$E,'Hours Log'!$A:$A,"&gt;="&amp;$J1726,'Hours Log'!$A:$A,"&lt;"&amp;$J1726+7))</f>
        <v/>
      </c>
      <c r="J1726">
        <f>IF(COUNT('Hours Log'!$A$4:$A$5000)=0,"",IF(MIN('Hours Log'!$A$4:$A$5000)+7*(ROW()-10)&gt;MAX('Hours Log'!$A$4:$A$5000),"",MIN('Hours Log'!$A$4:$A$5000)+7*(ROW()-10)))</f>
        <v/>
      </c>
    </row>
    <row r="1727">
      <c r="A1727">
        <f>IF($J1727="","",YEAR($J1727-WEEKDAY($J1727,2)+4)&amp;"-W"&amp;TEXT(WEEKNUM($J1727,21),"00"))</f>
        <v/>
      </c>
      <c r="B1727" s="41">
        <f>IF($J1727="","",COUNTIFS(Roster!$D$4:$D$500,"Active",Roster!$C$4:$C$500,"&lt;="&amp;$J1727))</f>
        <v/>
      </c>
      <c r="C1727">
        <f>IF($J1727="","",SUMIFS('Hours Log'!$C:$C,'Hours Log'!$A:$A,"&gt;="&amp;$J1727,'Hours Log'!$A:$A,"&lt;"&amp;$J1727+7)+SUMIFS('Hours Log'!$D:$D,'Hours Log'!$A:$A,"&gt;="&amp;$J1727,'Hours Log'!$A:$A,"&lt;"&amp;$J1727+7))</f>
        <v/>
      </c>
      <c r="D1727">
        <f>IF($J1727="","",SUMIFS('Hours Log'!$D:$D,'Hours Log'!$A:$A,"&gt;="&amp;$J1727,'Hours Log'!$A:$A,"&lt;"&amp;$J1727+7))</f>
        <v/>
      </c>
      <c r="E1727">
        <f>IF($J1727="","",IFERROR(C1727/(B1727*40),0))</f>
        <v/>
      </c>
      <c r="F1727">
        <f>IF($J1727="","",0)</f>
        <v/>
      </c>
      <c r="G1727">
        <f>IF($J1727="","",SUMIFS('Hours Log'!$E:$E,'Hours Log'!$A:$A,"&gt;="&amp;$J1727,'Hours Log'!$A:$A,"&lt;"&amp;$J1727+7))</f>
        <v/>
      </c>
      <c r="J1727">
        <f>IF(COUNT('Hours Log'!$A$4:$A$5000)=0,"",IF(MIN('Hours Log'!$A$4:$A$5000)+7*(ROW()-10)&gt;MAX('Hours Log'!$A$4:$A$5000),"",MIN('Hours Log'!$A$4:$A$5000)+7*(ROW()-10)))</f>
        <v/>
      </c>
    </row>
    <row r="1728">
      <c r="A1728">
        <f>IF($J1728="","",YEAR($J1728-WEEKDAY($J1728,2)+4)&amp;"-W"&amp;TEXT(WEEKNUM($J1728,21),"00"))</f>
        <v/>
      </c>
      <c r="B1728" s="41">
        <f>IF($J1728="","",COUNTIFS(Roster!$D$4:$D$500,"Active",Roster!$C$4:$C$500,"&lt;="&amp;$J1728))</f>
        <v/>
      </c>
      <c r="C1728">
        <f>IF($J1728="","",SUMIFS('Hours Log'!$C:$C,'Hours Log'!$A:$A,"&gt;="&amp;$J1728,'Hours Log'!$A:$A,"&lt;"&amp;$J1728+7)+SUMIFS('Hours Log'!$D:$D,'Hours Log'!$A:$A,"&gt;="&amp;$J1728,'Hours Log'!$A:$A,"&lt;"&amp;$J1728+7))</f>
        <v/>
      </c>
      <c r="D1728">
        <f>IF($J1728="","",SUMIFS('Hours Log'!$D:$D,'Hours Log'!$A:$A,"&gt;="&amp;$J1728,'Hours Log'!$A:$A,"&lt;"&amp;$J1728+7))</f>
        <v/>
      </c>
      <c r="E1728">
        <f>IF($J1728="","",IFERROR(C1728/(B1728*40),0))</f>
        <v/>
      </c>
      <c r="F1728">
        <f>IF($J1728="","",0)</f>
        <v/>
      </c>
      <c r="G1728">
        <f>IF($J1728="","",SUMIFS('Hours Log'!$E:$E,'Hours Log'!$A:$A,"&gt;="&amp;$J1728,'Hours Log'!$A:$A,"&lt;"&amp;$J1728+7))</f>
        <v/>
      </c>
      <c r="J1728">
        <f>IF(COUNT('Hours Log'!$A$4:$A$5000)=0,"",IF(MIN('Hours Log'!$A$4:$A$5000)+7*(ROW()-10)&gt;MAX('Hours Log'!$A$4:$A$5000),"",MIN('Hours Log'!$A$4:$A$5000)+7*(ROW()-10)))</f>
        <v/>
      </c>
    </row>
    <row r="1729">
      <c r="A1729">
        <f>IF($J1729="","",YEAR($J1729-WEEKDAY($J1729,2)+4)&amp;"-W"&amp;TEXT(WEEKNUM($J1729,21),"00"))</f>
        <v/>
      </c>
      <c r="B1729" s="41">
        <f>IF($J1729="","",COUNTIFS(Roster!$D$4:$D$500,"Active",Roster!$C$4:$C$500,"&lt;="&amp;$J1729))</f>
        <v/>
      </c>
      <c r="C1729">
        <f>IF($J1729="","",SUMIFS('Hours Log'!$C:$C,'Hours Log'!$A:$A,"&gt;="&amp;$J1729,'Hours Log'!$A:$A,"&lt;"&amp;$J1729+7)+SUMIFS('Hours Log'!$D:$D,'Hours Log'!$A:$A,"&gt;="&amp;$J1729,'Hours Log'!$A:$A,"&lt;"&amp;$J1729+7))</f>
        <v/>
      </c>
      <c r="D1729">
        <f>IF($J1729="","",SUMIFS('Hours Log'!$D:$D,'Hours Log'!$A:$A,"&gt;="&amp;$J1729,'Hours Log'!$A:$A,"&lt;"&amp;$J1729+7))</f>
        <v/>
      </c>
      <c r="E1729">
        <f>IF($J1729="","",IFERROR(C1729/(B1729*40),0))</f>
        <v/>
      </c>
      <c r="F1729">
        <f>IF($J1729="","",0)</f>
        <v/>
      </c>
      <c r="G1729">
        <f>IF($J1729="","",SUMIFS('Hours Log'!$E:$E,'Hours Log'!$A:$A,"&gt;="&amp;$J1729,'Hours Log'!$A:$A,"&lt;"&amp;$J1729+7))</f>
        <v/>
      </c>
      <c r="J1729">
        <f>IF(COUNT('Hours Log'!$A$4:$A$5000)=0,"",IF(MIN('Hours Log'!$A$4:$A$5000)+7*(ROW()-10)&gt;MAX('Hours Log'!$A$4:$A$5000),"",MIN('Hours Log'!$A$4:$A$5000)+7*(ROW()-10)))</f>
        <v/>
      </c>
    </row>
    <row r="1730">
      <c r="A1730">
        <f>IF($J1730="","",YEAR($J1730-WEEKDAY($J1730,2)+4)&amp;"-W"&amp;TEXT(WEEKNUM($J1730,21),"00"))</f>
        <v/>
      </c>
      <c r="B1730" s="41">
        <f>IF($J1730="","",COUNTIFS(Roster!$D$4:$D$500,"Active",Roster!$C$4:$C$500,"&lt;="&amp;$J1730))</f>
        <v/>
      </c>
      <c r="C1730">
        <f>IF($J1730="","",SUMIFS('Hours Log'!$C:$C,'Hours Log'!$A:$A,"&gt;="&amp;$J1730,'Hours Log'!$A:$A,"&lt;"&amp;$J1730+7)+SUMIFS('Hours Log'!$D:$D,'Hours Log'!$A:$A,"&gt;="&amp;$J1730,'Hours Log'!$A:$A,"&lt;"&amp;$J1730+7))</f>
        <v/>
      </c>
      <c r="D1730">
        <f>IF($J1730="","",SUMIFS('Hours Log'!$D:$D,'Hours Log'!$A:$A,"&gt;="&amp;$J1730,'Hours Log'!$A:$A,"&lt;"&amp;$J1730+7))</f>
        <v/>
      </c>
      <c r="E1730">
        <f>IF($J1730="","",IFERROR(C1730/(B1730*40),0))</f>
        <v/>
      </c>
      <c r="F1730">
        <f>IF($J1730="","",0)</f>
        <v/>
      </c>
      <c r="G1730">
        <f>IF($J1730="","",SUMIFS('Hours Log'!$E:$E,'Hours Log'!$A:$A,"&gt;="&amp;$J1730,'Hours Log'!$A:$A,"&lt;"&amp;$J1730+7))</f>
        <v/>
      </c>
      <c r="J1730">
        <f>IF(COUNT('Hours Log'!$A$4:$A$5000)=0,"",IF(MIN('Hours Log'!$A$4:$A$5000)+7*(ROW()-10)&gt;MAX('Hours Log'!$A$4:$A$5000),"",MIN('Hours Log'!$A$4:$A$5000)+7*(ROW()-10)))</f>
        <v/>
      </c>
    </row>
    <row r="1731">
      <c r="A1731">
        <f>IF($J1731="","",YEAR($J1731-WEEKDAY($J1731,2)+4)&amp;"-W"&amp;TEXT(WEEKNUM($J1731,21),"00"))</f>
        <v/>
      </c>
      <c r="B1731" s="41">
        <f>IF($J1731="","",COUNTIFS(Roster!$D$4:$D$500,"Active",Roster!$C$4:$C$500,"&lt;="&amp;$J1731))</f>
        <v/>
      </c>
      <c r="C1731">
        <f>IF($J1731="","",SUMIFS('Hours Log'!$C:$C,'Hours Log'!$A:$A,"&gt;="&amp;$J1731,'Hours Log'!$A:$A,"&lt;"&amp;$J1731+7)+SUMIFS('Hours Log'!$D:$D,'Hours Log'!$A:$A,"&gt;="&amp;$J1731,'Hours Log'!$A:$A,"&lt;"&amp;$J1731+7))</f>
        <v/>
      </c>
      <c r="D1731">
        <f>IF($J1731="","",SUMIFS('Hours Log'!$D:$D,'Hours Log'!$A:$A,"&gt;="&amp;$J1731,'Hours Log'!$A:$A,"&lt;"&amp;$J1731+7))</f>
        <v/>
      </c>
      <c r="E1731">
        <f>IF($J1731="","",IFERROR(C1731/(B1731*40),0))</f>
        <v/>
      </c>
      <c r="F1731">
        <f>IF($J1731="","",0)</f>
        <v/>
      </c>
      <c r="G1731">
        <f>IF($J1731="","",SUMIFS('Hours Log'!$E:$E,'Hours Log'!$A:$A,"&gt;="&amp;$J1731,'Hours Log'!$A:$A,"&lt;"&amp;$J1731+7))</f>
        <v/>
      </c>
      <c r="J1731">
        <f>IF(COUNT('Hours Log'!$A$4:$A$5000)=0,"",IF(MIN('Hours Log'!$A$4:$A$5000)+7*(ROW()-10)&gt;MAX('Hours Log'!$A$4:$A$5000),"",MIN('Hours Log'!$A$4:$A$5000)+7*(ROW()-10)))</f>
        <v/>
      </c>
    </row>
    <row r="1732">
      <c r="A1732">
        <f>IF($J1732="","",YEAR($J1732-WEEKDAY($J1732,2)+4)&amp;"-W"&amp;TEXT(WEEKNUM($J1732,21),"00"))</f>
        <v/>
      </c>
      <c r="B1732" s="41">
        <f>IF($J1732="","",COUNTIFS(Roster!$D$4:$D$500,"Active",Roster!$C$4:$C$500,"&lt;="&amp;$J1732))</f>
        <v/>
      </c>
      <c r="C1732">
        <f>IF($J1732="","",SUMIFS('Hours Log'!$C:$C,'Hours Log'!$A:$A,"&gt;="&amp;$J1732,'Hours Log'!$A:$A,"&lt;"&amp;$J1732+7)+SUMIFS('Hours Log'!$D:$D,'Hours Log'!$A:$A,"&gt;="&amp;$J1732,'Hours Log'!$A:$A,"&lt;"&amp;$J1732+7))</f>
        <v/>
      </c>
      <c r="D1732">
        <f>IF($J1732="","",SUMIFS('Hours Log'!$D:$D,'Hours Log'!$A:$A,"&gt;="&amp;$J1732,'Hours Log'!$A:$A,"&lt;"&amp;$J1732+7))</f>
        <v/>
      </c>
      <c r="E1732">
        <f>IF($J1732="","",IFERROR(C1732/(B1732*40),0))</f>
        <v/>
      </c>
      <c r="F1732">
        <f>IF($J1732="","",0)</f>
        <v/>
      </c>
      <c r="G1732">
        <f>IF($J1732="","",SUMIFS('Hours Log'!$E:$E,'Hours Log'!$A:$A,"&gt;="&amp;$J1732,'Hours Log'!$A:$A,"&lt;"&amp;$J1732+7))</f>
        <v/>
      </c>
      <c r="J1732">
        <f>IF(COUNT('Hours Log'!$A$4:$A$5000)=0,"",IF(MIN('Hours Log'!$A$4:$A$5000)+7*(ROW()-10)&gt;MAX('Hours Log'!$A$4:$A$5000),"",MIN('Hours Log'!$A$4:$A$5000)+7*(ROW()-10)))</f>
        <v/>
      </c>
    </row>
    <row r="1733">
      <c r="A1733">
        <f>IF($J1733="","",YEAR($J1733-WEEKDAY($J1733,2)+4)&amp;"-W"&amp;TEXT(WEEKNUM($J1733,21),"00"))</f>
        <v/>
      </c>
      <c r="B1733" s="41">
        <f>IF($J1733="","",COUNTIFS(Roster!$D$4:$D$500,"Active",Roster!$C$4:$C$500,"&lt;="&amp;$J1733))</f>
        <v/>
      </c>
      <c r="C1733">
        <f>IF($J1733="","",SUMIFS('Hours Log'!$C:$C,'Hours Log'!$A:$A,"&gt;="&amp;$J1733,'Hours Log'!$A:$A,"&lt;"&amp;$J1733+7)+SUMIFS('Hours Log'!$D:$D,'Hours Log'!$A:$A,"&gt;="&amp;$J1733,'Hours Log'!$A:$A,"&lt;"&amp;$J1733+7))</f>
        <v/>
      </c>
      <c r="D1733">
        <f>IF($J1733="","",SUMIFS('Hours Log'!$D:$D,'Hours Log'!$A:$A,"&gt;="&amp;$J1733,'Hours Log'!$A:$A,"&lt;"&amp;$J1733+7))</f>
        <v/>
      </c>
      <c r="E1733">
        <f>IF($J1733="","",IFERROR(C1733/(B1733*40),0))</f>
        <v/>
      </c>
      <c r="F1733">
        <f>IF($J1733="","",0)</f>
        <v/>
      </c>
      <c r="G1733">
        <f>IF($J1733="","",SUMIFS('Hours Log'!$E:$E,'Hours Log'!$A:$A,"&gt;="&amp;$J1733,'Hours Log'!$A:$A,"&lt;"&amp;$J1733+7))</f>
        <v/>
      </c>
      <c r="J1733">
        <f>IF(COUNT('Hours Log'!$A$4:$A$5000)=0,"",IF(MIN('Hours Log'!$A$4:$A$5000)+7*(ROW()-10)&gt;MAX('Hours Log'!$A$4:$A$5000),"",MIN('Hours Log'!$A$4:$A$5000)+7*(ROW()-10)))</f>
        <v/>
      </c>
    </row>
    <row r="1734">
      <c r="A1734">
        <f>IF($J1734="","",YEAR($J1734-WEEKDAY($J1734,2)+4)&amp;"-W"&amp;TEXT(WEEKNUM($J1734,21),"00"))</f>
        <v/>
      </c>
      <c r="B1734" s="41">
        <f>IF($J1734="","",COUNTIFS(Roster!$D$4:$D$500,"Active",Roster!$C$4:$C$500,"&lt;="&amp;$J1734))</f>
        <v/>
      </c>
      <c r="C1734">
        <f>IF($J1734="","",SUMIFS('Hours Log'!$C:$C,'Hours Log'!$A:$A,"&gt;="&amp;$J1734,'Hours Log'!$A:$A,"&lt;"&amp;$J1734+7)+SUMIFS('Hours Log'!$D:$D,'Hours Log'!$A:$A,"&gt;="&amp;$J1734,'Hours Log'!$A:$A,"&lt;"&amp;$J1734+7))</f>
        <v/>
      </c>
      <c r="D1734">
        <f>IF($J1734="","",SUMIFS('Hours Log'!$D:$D,'Hours Log'!$A:$A,"&gt;="&amp;$J1734,'Hours Log'!$A:$A,"&lt;"&amp;$J1734+7))</f>
        <v/>
      </c>
      <c r="E1734">
        <f>IF($J1734="","",IFERROR(C1734/(B1734*40),0))</f>
        <v/>
      </c>
      <c r="F1734">
        <f>IF($J1734="","",0)</f>
        <v/>
      </c>
      <c r="G1734">
        <f>IF($J1734="","",SUMIFS('Hours Log'!$E:$E,'Hours Log'!$A:$A,"&gt;="&amp;$J1734,'Hours Log'!$A:$A,"&lt;"&amp;$J1734+7))</f>
        <v/>
      </c>
      <c r="J1734">
        <f>IF(COUNT('Hours Log'!$A$4:$A$5000)=0,"",IF(MIN('Hours Log'!$A$4:$A$5000)+7*(ROW()-10)&gt;MAX('Hours Log'!$A$4:$A$5000),"",MIN('Hours Log'!$A$4:$A$5000)+7*(ROW()-10)))</f>
        <v/>
      </c>
    </row>
    <row r="1735">
      <c r="A1735">
        <f>IF($J1735="","",YEAR($J1735-WEEKDAY($J1735,2)+4)&amp;"-W"&amp;TEXT(WEEKNUM($J1735,21),"00"))</f>
        <v/>
      </c>
      <c r="B1735" s="41">
        <f>IF($J1735="","",COUNTIFS(Roster!$D$4:$D$500,"Active",Roster!$C$4:$C$500,"&lt;="&amp;$J1735))</f>
        <v/>
      </c>
      <c r="C1735">
        <f>IF($J1735="","",SUMIFS('Hours Log'!$C:$C,'Hours Log'!$A:$A,"&gt;="&amp;$J1735,'Hours Log'!$A:$A,"&lt;"&amp;$J1735+7)+SUMIFS('Hours Log'!$D:$D,'Hours Log'!$A:$A,"&gt;="&amp;$J1735,'Hours Log'!$A:$A,"&lt;"&amp;$J1735+7))</f>
        <v/>
      </c>
      <c r="D1735">
        <f>IF($J1735="","",SUMIFS('Hours Log'!$D:$D,'Hours Log'!$A:$A,"&gt;="&amp;$J1735,'Hours Log'!$A:$A,"&lt;"&amp;$J1735+7))</f>
        <v/>
      </c>
      <c r="E1735">
        <f>IF($J1735="","",IFERROR(C1735/(B1735*40),0))</f>
        <v/>
      </c>
      <c r="F1735">
        <f>IF($J1735="","",0)</f>
        <v/>
      </c>
      <c r="G1735">
        <f>IF($J1735="","",SUMIFS('Hours Log'!$E:$E,'Hours Log'!$A:$A,"&gt;="&amp;$J1735,'Hours Log'!$A:$A,"&lt;"&amp;$J1735+7))</f>
        <v/>
      </c>
      <c r="J1735">
        <f>IF(COUNT('Hours Log'!$A$4:$A$5000)=0,"",IF(MIN('Hours Log'!$A$4:$A$5000)+7*(ROW()-10)&gt;MAX('Hours Log'!$A$4:$A$5000),"",MIN('Hours Log'!$A$4:$A$5000)+7*(ROW()-10)))</f>
        <v/>
      </c>
    </row>
    <row r="1736">
      <c r="A1736">
        <f>IF($J1736="","",YEAR($J1736-WEEKDAY($J1736,2)+4)&amp;"-W"&amp;TEXT(WEEKNUM($J1736,21),"00"))</f>
        <v/>
      </c>
      <c r="B1736" s="41">
        <f>IF($J1736="","",COUNTIFS(Roster!$D$4:$D$500,"Active",Roster!$C$4:$C$500,"&lt;="&amp;$J1736))</f>
        <v/>
      </c>
      <c r="C1736">
        <f>IF($J1736="","",SUMIFS('Hours Log'!$C:$C,'Hours Log'!$A:$A,"&gt;="&amp;$J1736,'Hours Log'!$A:$A,"&lt;"&amp;$J1736+7)+SUMIFS('Hours Log'!$D:$D,'Hours Log'!$A:$A,"&gt;="&amp;$J1736,'Hours Log'!$A:$A,"&lt;"&amp;$J1736+7))</f>
        <v/>
      </c>
      <c r="D1736">
        <f>IF($J1736="","",SUMIFS('Hours Log'!$D:$D,'Hours Log'!$A:$A,"&gt;="&amp;$J1736,'Hours Log'!$A:$A,"&lt;"&amp;$J1736+7))</f>
        <v/>
      </c>
      <c r="E1736">
        <f>IF($J1736="","",IFERROR(C1736/(B1736*40),0))</f>
        <v/>
      </c>
      <c r="F1736">
        <f>IF($J1736="","",0)</f>
        <v/>
      </c>
      <c r="G1736">
        <f>IF($J1736="","",SUMIFS('Hours Log'!$E:$E,'Hours Log'!$A:$A,"&gt;="&amp;$J1736,'Hours Log'!$A:$A,"&lt;"&amp;$J1736+7))</f>
        <v/>
      </c>
      <c r="J1736">
        <f>IF(COUNT('Hours Log'!$A$4:$A$5000)=0,"",IF(MIN('Hours Log'!$A$4:$A$5000)+7*(ROW()-10)&gt;MAX('Hours Log'!$A$4:$A$5000),"",MIN('Hours Log'!$A$4:$A$5000)+7*(ROW()-10)))</f>
        <v/>
      </c>
    </row>
    <row r="1737">
      <c r="A1737">
        <f>IF($J1737="","",YEAR($J1737-WEEKDAY($J1737,2)+4)&amp;"-W"&amp;TEXT(WEEKNUM($J1737,21),"00"))</f>
        <v/>
      </c>
      <c r="B1737" s="41">
        <f>IF($J1737="","",COUNTIFS(Roster!$D$4:$D$500,"Active",Roster!$C$4:$C$500,"&lt;="&amp;$J1737))</f>
        <v/>
      </c>
      <c r="C1737">
        <f>IF($J1737="","",SUMIFS('Hours Log'!$C:$C,'Hours Log'!$A:$A,"&gt;="&amp;$J1737,'Hours Log'!$A:$A,"&lt;"&amp;$J1737+7)+SUMIFS('Hours Log'!$D:$D,'Hours Log'!$A:$A,"&gt;="&amp;$J1737,'Hours Log'!$A:$A,"&lt;"&amp;$J1737+7))</f>
        <v/>
      </c>
      <c r="D1737">
        <f>IF($J1737="","",SUMIFS('Hours Log'!$D:$D,'Hours Log'!$A:$A,"&gt;="&amp;$J1737,'Hours Log'!$A:$A,"&lt;"&amp;$J1737+7))</f>
        <v/>
      </c>
      <c r="E1737">
        <f>IF($J1737="","",IFERROR(C1737/(B1737*40),0))</f>
        <v/>
      </c>
      <c r="F1737">
        <f>IF($J1737="","",0)</f>
        <v/>
      </c>
      <c r="G1737">
        <f>IF($J1737="","",SUMIFS('Hours Log'!$E:$E,'Hours Log'!$A:$A,"&gt;="&amp;$J1737,'Hours Log'!$A:$A,"&lt;"&amp;$J1737+7))</f>
        <v/>
      </c>
      <c r="J1737">
        <f>IF(COUNT('Hours Log'!$A$4:$A$5000)=0,"",IF(MIN('Hours Log'!$A$4:$A$5000)+7*(ROW()-10)&gt;MAX('Hours Log'!$A$4:$A$5000),"",MIN('Hours Log'!$A$4:$A$5000)+7*(ROW()-10)))</f>
        <v/>
      </c>
    </row>
    <row r="1738">
      <c r="A1738">
        <f>IF($J1738="","",YEAR($J1738-WEEKDAY($J1738,2)+4)&amp;"-W"&amp;TEXT(WEEKNUM($J1738,21),"00"))</f>
        <v/>
      </c>
      <c r="B1738" s="41">
        <f>IF($J1738="","",COUNTIFS(Roster!$D$4:$D$500,"Active",Roster!$C$4:$C$500,"&lt;="&amp;$J1738))</f>
        <v/>
      </c>
      <c r="C1738">
        <f>IF($J1738="","",SUMIFS('Hours Log'!$C:$C,'Hours Log'!$A:$A,"&gt;="&amp;$J1738,'Hours Log'!$A:$A,"&lt;"&amp;$J1738+7)+SUMIFS('Hours Log'!$D:$D,'Hours Log'!$A:$A,"&gt;="&amp;$J1738,'Hours Log'!$A:$A,"&lt;"&amp;$J1738+7))</f>
        <v/>
      </c>
      <c r="D1738">
        <f>IF($J1738="","",SUMIFS('Hours Log'!$D:$D,'Hours Log'!$A:$A,"&gt;="&amp;$J1738,'Hours Log'!$A:$A,"&lt;"&amp;$J1738+7))</f>
        <v/>
      </c>
      <c r="E1738">
        <f>IF($J1738="","",IFERROR(C1738/(B1738*40),0))</f>
        <v/>
      </c>
      <c r="F1738">
        <f>IF($J1738="","",0)</f>
        <v/>
      </c>
      <c r="G1738">
        <f>IF($J1738="","",SUMIFS('Hours Log'!$E:$E,'Hours Log'!$A:$A,"&gt;="&amp;$J1738,'Hours Log'!$A:$A,"&lt;"&amp;$J1738+7))</f>
        <v/>
      </c>
      <c r="J1738">
        <f>IF(COUNT('Hours Log'!$A$4:$A$5000)=0,"",IF(MIN('Hours Log'!$A$4:$A$5000)+7*(ROW()-10)&gt;MAX('Hours Log'!$A$4:$A$5000),"",MIN('Hours Log'!$A$4:$A$5000)+7*(ROW()-10)))</f>
        <v/>
      </c>
    </row>
    <row r="1739">
      <c r="A1739">
        <f>IF($J1739="","",YEAR($J1739-WEEKDAY($J1739,2)+4)&amp;"-W"&amp;TEXT(WEEKNUM($J1739,21),"00"))</f>
        <v/>
      </c>
      <c r="B1739" s="41">
        <f>IF($J1739="","",COUNTIFS(Roster!$D$4:$D$500,"Active",Roster!$C$4:$C$500,"&lt;="&amp;$J1739))</f>
        <v/>
      </c>
      <c r="C1739">
        <f>IF($J1739="","",SUMIFS('Hours Log'!$C:$C,'Hours Log'!$A:$A,"&gt;="&amp;$J1739,'Hours Log'!$A:$A,"&lt;"&amp;$J1739+7)+SUMIFS('Hours Log'!$D:$D,'Hours Log'!$A:$A,"&gt;="&amp;$J1739,'Hours Log'!$A:$A,"&lt;"&amp;$J1739+7))</f>
        <v/>
      </c>
      <c r="D1739">
        <f>IF($J1739="","",SUMIFS('Hours Log'!$D:$D,'Hours Log'!$A:$A,"&gt;="&amp;$J1739,'Hours Log'!$A:$A,"&lt;"&amp;$J1739+7))</f>
        <v/>
      </c>
      <c r="E1739">
        <f>IF($J1739="","",IFERROR(C1739/(B1739*40),0))</f>
        <v/>
      </c>
      <c r="F1739">
        <f>IF($J1739="","",0)</f>
        <v/>
      </c>
      <c r="G1739">
        <f>IF($J1739="","",SUMIFS('Hours Log'!$E:$E,'Hours Log'!$A:$A,"&gt;="&amp;$J1739,'Hours Log'!$A:$A,"&lt;"&amp;$J1739+7))</f>
        <v/>
      </c>
      <c r="J1739">
        <f>IF(COUNT('Hours Log'!$A$4:$A$5000)=0,"",IF(MIN('Hours Log'!$A$4:$A$5000)+7*(ROW()-10)&gt;MAX('Hours Log'!$A$4:$A$5000),"",MIN('Hours Log'!$A$4:$A$5000)+7*(ROW()-10)))</f>
        <v/>
      </c>
    </row>
    <row r="1740">
      <c r="A1740">
        <f>IF($J1740="","",YEAR($J1740-WEEKDAY($J1740,2)+4)&amp;"-W"&amp;TEXT(WEEKNUM($J1740,21),"00"))</f>
        <v/>
      </c>
      <c r="B1740" s="41">
        <f>IF($J1740="","",COUNTIFS(Roster!$D$4:$D$500,"Active",Roster!$C$4:$C$500,"&lt;="&amp;$J1740))</f>
        <v/>
      </c>
      <c r="C1740">
        <f>IF($J1740="","",SUMIFS('Hours Log'!$C:$C,'Hours Log'!$A:$A,"&gt;="&amp;$J1740,'Hours Log'!$A:$A,"&lt;"&amp;$J1740+7)+SUMIFS('Hours Log'!$D:$D,'Hours Log'!$A:$A,"&gt;="&amp;$J1740,'Hours Log'!$A:$A,"&lt;"&amp;$J1740+7))</f>
        <v/>
      </c>
      <c r="D1740">
        <f>IF($J1740="","",SUMIFS('Hours Log'!$D:$D,'Hours Log'!$A:$A,"&gt;="&amp;$J1740,'Hours Log'!$A:$A,"&lt;"&amp;$J1740+7))</f>
        <v/>
      </c>
      <c r="E1740">
        <f>IF($J1740="","",IFERROR(C1740/(B1740*40),0))</f>
        <v/>
      </c>
      <c r="F1740">
        <f>IF($J1740="","",0)</f>
        <v/>
      </c>
      <c r="G1740">
        <f>IF($J1740="","",SUMIFS('Hours Log'!$E:$E,'Hours Log'!$A:$A,"&gt;="&amp;$J1740,'Hours Log'!$A:$A,"&lt;"&amp;$J1740+7))</f>
        <v/>
      </c>
      <c r="J1740">
        <f>IF(COUNT('Hours Log'!$A$4:$A$5000)=0,"",IF(MIN('Hours Log'!$A$4:$A$5000)+7*(ROW()-10)&gt;MAX('Hours Log'!$A$4:$A$5000),"",MIN('Hours Log'!$A$4:$A$5000)+7*(ROW()-10)))</f>
        <v/>
      </c>
    </row>
    <row r="1741">
      <c r="A1741">
        <f>IF($J1741="","",YEAR($J1741-WEEKDAY($J1741,2)+4)&amp;"-W"&amp;TEXT(WEEKNUM($J1741,21),"00"))</f>
        <v/>
      </c>
      <c r="B1741" s="41">
        <f>IF($J1741="","",COUNTIFS(Roster!$D$4:$D$500,"Active",Roster!$C$4:$C$500,"&lt;="&amp;$J1741))</f>
        <v/>
      </c>
      <c r="C1741">
        <f>IF($J1741="","",SUMIFS('Hours Log'!$C:$C,'Hours Log'!$A:$A,"&gt;="&amp;$J1741,'Hours Log'!$A:$A,"&lt;"&amp;$J1741+7)+SUMIFS('Hours Log'!$D:$D,'Hours Log'!$A:$A,"&gt;="&amp;$J1741,'Hours Log'!$A:$A,"&lt;"&amp;$J1741+7))</f>
        <v/>
      </c>
      <c r="D1741">
        <f>IF($J1741="","",SUMIFS('Hours Log'!$D:$D,'Hours Log'!$A:$A,"&gt;="&amp;$J1741,'Hours Log'!$A:$A,"&lt;"&amp;$J1741+7))</f>
        <v/>
      </c>
      <c r="E1741">
        <f>IF($J1741="","",IFERROR(C1741/(B1741*40),0))</f>
        <v/>
      </c>
      <c r="F1741">
        <f>IF($J1741="","",0)</f>
        <v/>
      </c>
      <c r="G1741">
        <f>IF($J1741="","",SUMIFS('Hours Log'!$E:$E,'Hours Log'!$A:$A,"&gt;="&amp;$J1741,'Hours Log'!$A:$A,"&lt;"&amp;$J1741+7))</f>
        <v/>
      </c>
      <c r="J1741">
        <f>IF(COUNT('Hours Log'!$A$4:$A$5000)=0,"",IF(MIN('Hours Log'!$A$4:$A$5000)+7*(ROW()-10)&gt;MAX('Hours Log'!$A$4:$A$5000),"",MIN('Hours Log'!$A$4:$A$5000)+7*(ROW()-10)))</f>
        <v/>
      </c>
    </row>
    <row r="1742">
      <c r="A1742">
        <f>IF($J1742="","",YEAR($J1742-WEEKDAY($J1742,2)+4)&amp;"-W"&amp;TEXT(WEEKNUM($J1742,21),"00"))</f>
        <v/>
      </c>
      <c r="B1742" s="41">
        <f>IF($J1742="","",COUNTIFS(Roster!$D$4:$D$500,"Active",Roster!$C$4:$C$500,"&lt;="&amp;$J1742))</f>
        <v/>
      </c>
      <c r="C1742">
        <f>IF($J1742="","",SUMIFS('Hours Log'!$C:$C,'Hours Log'!$A:$A,"&gt;="&amp;$J1742,'Hours Log'!$A:$A,"&lt;"&amp;$J1742+7)+SUMIFS('Hours Log'!$D:$D,'Hours Log'!$A:$A,"&gt;="&amp;$J1742,'Hours Log'!$A:$A,"&lt;"&amp;$J1742+7))</f>
        <v/>
      </c>
      <c r="D1742">
        <f>IF($J1742="","",SUMIFS('Hours Log'!$D:$D,'Hours Log'!$A:$A,"&gt;="&amp;$J1742,'Hours Log'!$A:$A,"&lt;"&amp;$J1742+7))</f>
        <v/>
      </c>
      <c r="E1742">
        <f>IF($J1742="","",IFERROR(C1742/(B1742*40),0))</f>
        <v/>
      </c>
      <c r="F1742">
        <f>IF($J1742="","",0)</f>
        <v/>
      </c>
      <c r="G1742">
        <f>IF($J1742="","",SUMIFS('Hours Log'!$E:$E,'Hours Log'!$A:$A,"&gt;="&amp;$J1742,'Hours Log'!$A:$A,"&lt;"&amp;$J1742+7))</f>
        <v/>
      </c>
      <c r="J1742">
        <f>IF(COUNT('Hours Log'!$A$4:$A$5000)=0,"",IF(MIN('Hours Log'!$A$4:$A$5000)+7*(ROW()-10)&gt;MAX('Hours Log'!$A$4:$A$5000),"",MIN('Hours Log'!$A$4:$A$5000)+7*(ROW()-10)))</f>
        <v/>
      </c>
    </row>
    <row r="1743">
      <c r="A1743">
        <f>IF($J1743="","",YEAR($J1743-WEEKDAY($J1743,2)+4)&amp;"-W"&amp;TEXT(WEEKNUM($J1743,21),"00"))</f>
        <v/>
      </c>
      <c r="B1743" s="41">
        <f>IF($J1743="","",COUNTIFS(Roster!$D$4:$D$500,"Active",Roster!$C$4:$C$500,"&lt;="&amp;$J1743))</f>
        <v/>
      </c>
      <c r="C1743">
        <f>IF($J1743="","",SUMIFS('Hours Log'!$C:$C,'Hours Log'!$A:$A,"&gt;="&amp;$J1743,'Hours Log'!$A:$A,"&lt;"&amp;$J1743+7)+SUMIFS('Hours Log'!$D:$D,'Hours Log'!$A:$A,"&gt;="&amp;$J1743,'Hours Log'!$A:$A,"&lt;"&amp;$J1743+7))</f>
        <v/>
      </c>
      <c r="D1743">
        <f>IF($J1743="","",SUMIFS('Hours Log'!$D:$D,'Hours Log'!$A:$A,"&gt;="&amp;$J1743,'Hours Log'!$A:$A,"&lt;"&amp;$J1743+7))</f>
        <v/>
      </c>
      <c r="E1743">
        <f>IF($J1743="","",IFERROR(C1743/(B1743*40),0))</f>
        <v/>
      </c>
      <c r="F1743">
        <f>IF($J1743="","",0)</f>
        <v/>
      </c>
      <c r="G1743">
        <f>IF($J1743="","",SUMIFS('Hours Log'!$E:$E,'Hours Log'!$A:$A,"&gt;="&amp;$J1743,'Hours Log'!$A:$A,"&lt;"&amp;$J1743+7))</f>
        <v/>
      </c>
      <c r="J1743">
        <f>IF(COUNT('Hours Log'!$A$4:$A$5000)=0,"",IF(MIN('Hours Log'!$A$4:$A$5000)+7*(ROW()-10)&gt;MAX('Hours Log'!$A$4:$A$5000),"",MIN('Hours Log'!$A$4:$A$5000)+7*(ROW()-10)))</f>
        <v/>
      </c>
    </row>
    <row r="1744">
      <c r="A1744">
        <f>IF($J1744="","",YEAR($J1744-WEEKDAY($J1744,2)+4)&amp;"-W"&amp;TEXT(WEEKNUM($J1744,21),"00"))</f>
        <v/>
      </c>
      <c r="B1744" s="41">
        <f>IF($J1744="","",COUNTIFS(Roster!$D$4:$D$500,"Active",Roster!$C$4:$C$500,"&lt;="&amp;$J1744))</f>
        <v/>
      </c>
      <c r="C1744">
        <f>IF($J1744="","",SUMIFS('Hours Log'!$C:$C,'Hours Log'!$A:$A,"&gt;="&amp;$J1744,'Hours Log'!$A:$A,"&lt;"&amp;$J1744+7)+SUMIFS('Hours Log'!$D:$D,'Hours Log'!$A:$A,"&gt;="&amp;$J1744,'Hours Log'!$A:$A,"&lt;"&amp;$J1744+7))</f>
        <v/>
      </c>
      <c r="D1744">
        <f>IF($J1744="","",SUMIFS('Hours Log'!$D:$D,'Hours Log'!$A:$A,"&gt;="&amp;$J1744,'Hours Log'!$A:$A,"&lt;"&amp;$J1744+7))</f>
        <v/>
      </c>
      <c r="E1744">
        <f>IF($J1744="","",IFERROR(C1744/(B1744*40),0))</f>
        <v/>
      </c>
      <c r="F1744">
        <f>IF($J1744="","",0)</f>
        <v/>
      </c>
      <c r="G1744">
        <f>IF($J1744="","",SUMIFS('Hours Log'!$E:$E,'Hours Log'!$A:$A,"&gt;="&amp;$J1744,'Hours Log'!$A:$A,"&lt;"&amp;$J1744+7))</f>
        <v/>
      </c>
      <c r="J1744">
        <f>IF(COUNT('Hours Log'!$A$4:$A$5000)=0,"",IF(MIN('Hours Log'!$A$4:$A$5000)+7*(ROW()-10)&gt;MAX('Hours Log'!$A$4:$A$5000),"",MIN('Hours Log'!$A$4:$A$5000)+7*(ROW()-10)))</f>
        <v/>
      </c>
    </row>
    <row r="1745">
      <c r="A1745">
        <f>IF($J1745="","",YEAR($J1745-WEEKDAY($J1745,2)+4)&amp;"-W"&amp;TEXT(WEEKNUM($J1745,21),"00"))</f>
        <v/>
      </c>
      <c r="B1745" s="41">
        <f>IF($J1745="","",COUNTIFS(Roster!$D$4:$D$500,"Active",Roster!$C$4:$C$500,"&lt;="&amp;$J1745))</f>
        <v/>
      </c>
      <c r="C1745">
        <f>IF($J1745="","",SUMIFS('Hours Log'!$C:$C,'Hours Log'!$A:$A,"&gt;="&amp;$J1745,'Hours Log'!$A:$A,"&lt;"&amp;$J1745+7)+SUMIFS('Hours Log'!$D:$D,'Hours Log'!$A:$A,"&gt;="&amp;$J1745,'Hours Log'!$A:$A,"&lt;"&amp;$J1745+7))</f>
        <v/>
      </c>
      <c r="D1745">
        <f>IF($J1745="","",SUMIFS('Hours Log'!$D:$D,'Hours Log'!$A:$A,"&gt;="&amp;$J1745,'Hours Log'!$A:$A,"&lt;"&amp;$J1745+7))</f>
        <v/>
      </c>
      <c r="E1745">
        <f>IF($J1745="","",IFERROR(C1745/(B1745*40),0))</f>
        <v/>
      </c>
      <c r="F1745">
        <f>IF($J1745="","",0)</f>
        <v/>
      </c>
      <c r="G1745">
        <f>IF($J1745="","",SUMIFS('Hours Log'!$E:$E,'Hours Log'!$A:$A,"&gt;="&amp;$J1745,'Hours Log'!$A:$A,"&lt;"&amp;$J1745+7))</f>
        <v/>
      </c>
      <c r="J1745">
        <f>IF(COUNT('Hours Log'!$A$4:$A$5000)=0,"",IF(MIN('Hours Log'!$A$4:$A$5000)+7*(ROW()-10)&gt;MAX('Hours Log'!$A$4:$A$5000),"",MIN('Hours Log'!$A$4:$A$5000)+7*(ROW()-10)))</f>
        <v/>
      </c>
    </row>
    <row r="1746">
      <c r="A1746">
        <f>IF($J1746="","",YEAR($J1746-WEEKDAY($J1746,2)+4)&amp;"-W"&amp;TEXT(WEEKNUM($J1746,21),"00"))</f>
        <v/>
      </c>
      <c r="B1746" s="41">
        <f>IF($J1746="","",COUNTIFS(Roster!$D$4:$D$500,"Active",Roster!$C$4:$C$500,"&lt;="&amp;$J1746))</f>
        <v/>
      </c>
      <c r="C1746">
        <f>IF($J1746="","",SUMIFS('Hours Log'!$C:$C,'Hours Log'!$A:$A,"&gt;="&amp;$J1746,'Hours Log'!$A:$A,"&lt;"&amp;$J1746+7)+SUMIFS('Hours Log'!$D:$D,'Hours Log'!$A:$A,"&gt;="&amp;$J1746,'Hours Log'!$A:$A,"&lt;"&amp;$J1746+7))</f>
        <v/>
      </c>
      <c r="D1746">
        <f>IF($J1746="","",SUMIFS('Hours Log'!$D:$D,'Hours Log'!$A:$A,"&gt;="&amp;$J1746,'Hours Log'!$A:$A,"&lt;"&amp;$J1746+7))</f>
        <v/>
      </c>
      <c r="E1746">
        <f>IF($J1746="","",IFERROR(C1746/(B1746*40),0))</f>
        <v/>
      </c>
      <c r="F1746">
        <f>IF($J1746="","",0)</f>
        <v/>
      </c>
      <c r="G1746">
        <f>IF($J1746="","",SUMIFS('Hours Log'!$E:$E,'Hours Log'!$A:$A,"&gt;="&amp;$J1746,'Hours Log'!$A:$A,"&lt;"&amp;$J1746+7))</f>
        <v/>
      </c>
      <c r="J1746">
        <f>IF(COUNT('Hours Log'!$A$4:$A$5000)=0,"",IF(MIN('Hours Log'!$A$4:$A$5000)+7*(ROW()-10)&gt;MAX('Hours Log'!$A$4:$A$5000),"",MIN('Hours Log'!$A$4:$A$5000)+7*(ROW()-10)))</f>
        <v/>
      </c>
    </row>
    <row r="1747">
      <c r="A1747">
        <f>IF($J1747="","",YEAR($J1747-WEEKDAY($J1747,2)+4)&amp;"-W"&amp;TEXT(WEEKNUM($J1747,21),"00"))</f>
        <v/>
      </c>
      <c r="B1747" s="41">
        <f>IF($J1747="","",COUNTIFS(Roster!$D$4:$D$500,"Active",Roster!$C$4:$C$500,"&lt;="&amp;$J1747))</f>
        <v/>
      </c>
      <c r="C1747">
        <f>IF($J1747="","",SUMIFS('Hours Log'!$C:$C,'Hours Log'!$A:$A,"&gt;="&amp;$J1747,'Hours Log'!$A:$A,"&lt;"&amp;$J1747+7)+SUMIFS('Hours Log'!$D:$D,'Hours Log'!$A:$A,"&gt;="&amp;$J1747,'Hours Log'!$A:$A,"&lt;"&amp;$J1747+7))</f>
        <v/>
      </c>
      <c r="D1747">
        <f>IF($J1747="","",SUMIFS('Hours Log'!$D:$D,'Hours Log'!$A:$A,"&gt;="&amp;$J1747,'Hours Log'!$A:$A,"&lt;"&amp;$J1747+7))</f>
        <v/>
      </c>
      <c r="E1747">
        <f>IF($J1747="","",IFERROR(C1747/(B1747*40),0))</f>
        <v/>
      </c>
      <c r="F1747">
        <f>IF($J1747="","",0)</f>
        <v/>
      </c>
      <c r="G1747">
        <f>IF($J1747="","",SUMIFS('Hours Log'!$E:$E,'Hours Log'!$A:$A,"&gt;="&amp;$J1747,'Hours Log'!$A:$A,"&lt;"&amp;$J1747+7))</f>
        <v/>
      </c>
      <c r="J1747">
        <f>IF(COUNT('Hours Log'!$A$4:$A$5000)=0,"",IF(MIN('Hours Log'!$A$4:$A$5000)+7*(ROW()-10)&gt;MAX('Hours Log'!$A$4:$A$5000),"",MIN('Hours Log'!$A$4:$A$5000)+7*(ROW()-10)))</f>
        <v/>
      </c>
    </row>
    <row r="1748">
      <c r="A1748">
        <f>IF($J1748="","",YEAR($J1748-WEEKDAY($J1748,2)+4)&amp;"-W"&amp;TEXT(WEEKNUM($J1748,21),"00"))</f>
        <v/>
      </c>
      <c r="B1748" s="41">
        <f>IF($J1748="","",COUNTIFS(Roster!$D$4:$D$500,"Active",Roster!$C$4:$C$500,"&lt;="&amp;$J1748))</f>
        <v/>
      </c>
      <c r="C1748">
        <f>IF($J1748="","",SUMIFS('Hours Log'!$C:$C,'Hours Log'!$A:$A,"&gt;="&amp;$J1748,'Hours Log'!$A:$A,"&lt;"&amp;$J1748+7)+SUMIFS('Hours Log'!$D:$D,'Hours Log'!$A:$A,"&gt;="&amp;$J1748,'Hours Log'!$A:$A,"&lt;"&amp;$J1748+7))</f>
        <v/>
      </c>
      <c r="D1748">
        <f>IF($J1748="","",SUMIFS('Hours Log'!$D:$D,'Hours Log'!$A:$A,"&gt;="&amp;$J1748,'Hours Log'!$A:$A,"&lt;"&amp;$J1748+7))</f>
        <v/>
      </c>
      <c r="E1748">
        <f>IF($J1748="","",IFERROR(C1748/(B1748*40),0))</f>
        <v/>
      </c>
      <c r="F1748">
        <f>IF($J1748="","",0)</f>
        <v/>
      </c>
      <c r="G1748">
        <f>IF($J1748="","",SUMIFS('Hours Log'!$E:$E,'Hours Log'!$A:$A,"&gt;="&amp;$J1748,'Hours Log'!$A:$A,"&lt;"&amp;$J1748+7))</f>
        <v/>
      </c>
      <c r="J1748">
        <f>IF(COUNT('Hours Log'!$A$4:$A$5000)=0,"",IF(MIN('Hours Log'!$A$4:$A$5000)+7*(ROW()-10)&gt;MAX('Hours Log'!$A$4:$A$5000),"",MIN('Hours Log'!$A$4:$A$5000)+7*(ROW()-10)))</f>
        <v/>
      </c>
    </row>
    <row r="1749">
      <c r="A1749">
        <f>IF($J1749="","",YEAR($J1749-WEEKDAY($J1749,2)+4)&amp;"-W"&amp;TEXT(WEEKNUM($J1749,21),"00"))</f>
        <v/>
      </c>
      <c r="B1749" s="41">
        <f>IF($J1749="","",COUNTIFS(Roster!$D$4:$D$500,"Active",Roster!$C$4:$C$500,"&lt;="&amp;$J1749))</f>
        <v/>
      </c>
      <c r="C1749">
        <f>IF($J1749="","",SUMIFS('Hours Log'!$C:$C,'Hours Log'!$A:$A,"&gt;="&amp;$J1749,'Hours Log'!$A:$A,"&lt;"&amp;$J1749+7)+SUMIFS('Hours Log'!$D:$D,'Hours Log'!$A:$A,"&gt;="&amp;$J1749,'Hours Log'!$A:$A,"&lt;"&amp;$J1749+7))</f>
        <v/>
      </c>
      <c r="D1749">
        <f>IF($J1749="","",SUMIFS('Hours Log'!$D:$D,'Hours Log'!$A:$A,"&gt;="&amp;$J1749,'Hours Log'!$A:$A,"&lt;"&amp;$J1749+7))</f>
        <v/>
      </c>
      <c r="E1749">
        <f>IF($J1749="","",IFERROR(C1749/(B1749*40),0))</f>
        <v/>
      </c>
      <c r="F1749">
        <f>IF($J1749="","",0)</f>
        <v/>
      </c>
      <c r="G1749">
        <f>IF($J1749="","",SUMIFS('Hours Log'!$E:$E,'Hours Log'!$A:$A,"&gt;="&amp;$J1749,'Hours Log'!$A:$A,"&lt;"&amp;$J1749+7))</f>
        <v/>
      </c>
      <c r="J1749">
        <f>IF(COUNT('Hours Log'!$A$4:$A$5000)=0,"",IF(MIN('Hours Log'!$A$4:$A$5000)+7*(ROW()-10)&gt;MAX('Hours Log'!$A$4:$A$5000),"",MIN('Hours Log'!$A$4:$A$5000)+7*(ROW()-10)))</f>
        <v/>
      </c>
    </row>
    <row r="1750">
      <c r="A1750">
        <f>IF($J1750="","",YEAR($J1750-WEEKDAY($J1750,2)+4)&amp;"-W"&amp;TEXT(WEEKNUM($J1750,21),"00"))</f>
        <v/>
      </c>
      <c r="B1750" s="41">
        <f>IF($J1750="","",COUNTIFS(Roster!$D$4:$D$500,"Active",Roster!$C$4:$C$500,"&lt;="&amp;$J1750))</f>
        <v/>
      </c>
      <c r="C1750">
        <f>IF($J1750="","",SUMIFS('Hours Log'!$C:$C,'Hours Log'!$A:$A,"&gt;="&amp;$J1750,'Hours Log'!$A:$A,"&lt;"&amp;$J1750+7)+SUMIFS('Hours Log'!$D:$D,'Hours Log'!$A:$A,"&gt;="&amp;$J1750,'Hours Log'!$A:$A,"&lt;"&amp;$J1750+7))</f>
        <v/>
      </c>
      <c r="D1750">
        <f>IF($J1750="","",SUMIFS('Hours Log'!$D:$D,'Hours Log'!$A:$A,"&gt;="&amp;$J1750,'Hours Log'!$A:$A,"&lt;"&amp;$J1750+7))</f>
        <v/>
      </c>
      <c r="E1750">
        <f>IF($J1750="","",IFERROR(C1750/(B1750*40),0))</f>
        <v/>
      </c>
      <c r="F1750">
        <f>IF($J1750="","",0)</f>
        <v/>
      </c>
      <c r="G1750">
        <f>IF($J1750="","",SUMIFS('Hours Log'!$E:$E,'Hours Log'!$A:$A,"&gt;="&amp;$J1750,'Hours Log'!$A:$A,"&lt;"&amp;$J1750+7))</f>
        <v/>
      </c>
      <c r="J1750">
        <f>IF(COUNT('Hours Log'!$A$4:$A$5000)=0,"",IF(MIN('Hours Log'!$A$4:$A$5000)+7*(ROW()-10)&gt;MAX('Hours Log'!$A$4:$A$5000),"",MIN('Hours Log'!$A$4:$A$5000)+7*(ROW()-10)))</f>
        <v/>
      </c>
    </row>
    <row r="1751">
      <c r="A1751">
        <f>IF($J1751="","",YEAR($J1751-WEEKDAY($J1751,2)+4)&amp;"-W"&amp;TEXT(WEEKNUM($J1751,21),"00"))</f>
        <v/>
      </c>
      <c r="B1751" s="41">
        <f>IF($J1751="","",COUNTIFS(Roster!$D$4:$D$500,"Active",Roster!$C$4:$C$500,"&lt;="&amp;$J1751))</f>
        <v/>
      </c>
      <c r="C1751">
        <f>IF($J1751="","",SUMIFS('Hours Log'!$C:$C,'Hours Log'!$A:$A,"&gt;="&amp;$J1751,'Hours Log'!$A:$A,"&lt;"&amp;$J1751+7)+SUMIFS('Hours Log'!$D:$D,'Hours Log'!$A:$A,"&gt;="&amp;$J1751,'Hours Log'!$A:$A,"&lt;"&amp;$J1751+7))</f>
        <v/>
      </c>
      <c r="D1751">
        <f>IF($J1751="","",SUMIFS('Hours Log'!$D:$D,'Hours Log'!$A:$A,"&gt;="&amp;$J1751,'Hours Log'!$A:$A,"&lt;"&amp;$J1751+7))</f>
        <v/>
      </c>
      <c r="E1751">
        <f>IF($J1751="","",IFERROR(C1751/(B1751*40),0))</f>
        <v/>
      </c>
      <c r="F1751">
        <f>IF($J1751="","",0)</f>
        <v/>
      </c>
      <c r="G1751">
        <f>IF($J1751="","",SUMIFS('Hours Log'!$E:$E,'Hours Log'!$A:$A,"&gt;="&amp;$J1751,'Hours Log'!$A:$A,"&lt;"&amp;$J1751+7))</f>
        <v/>
      </c>
      <c r="J1751">
        <f>IF(COUNT('Hours Log'!$A$4:$A$5000)=0,"",IF(MIN('Hours Log'!$A$4:$A$5000)+7*(ROW()-10)&gt;MAX('Hours Log'!$A$4:$A$5000),"",MIN('Hours Log'!$A$4:$A$5000)+7*(ROW()-10)))</f>
        <v/>
      </c>
    </row>
    <row r="1752">
      <c r="A1752">
        <f>IF($J1752="","",YEAR($J1752-WEEKDAY($J1752,2)+4)&amp;"-W"&amp;TEXT(WEEKNUM($J1752,21),"00"))</f>
        <v/>
      </c>
      <c r="B1752" s="41">
        <f>IF($J1752="","",COUNTIFS(Roster!$D$4:$D$500,"Active",Roster!$C$4:$C$500,"&lt;="&amp;$J1752))</f>
        <v/>
      </c>
      <c r="C1752">
        <f>IF($J1752="","",SUMIFS('Hours Log'!$C:$C,'Hours Log'!$A:$A,"&gt;="&amp;$J1752,'Hours Log'!$A:$A,"&lt;"&amp;$J1752+7)+SUMIFS('Hours Log'!$D:$D,'Hours Log'!$A:$A,"&gt;="&amp;$J1752,'Hours Log'!$A:$A,"&lt;"&amp;$J1752+7))</f>
        <v/>
      </c>
      <c r="D1752">
        <f>IF($J1752="","",SUMIFS('Hours Log'!$D:$D,'Hours Log'!$A:$A,"&gt;="&amp;$J1752,'Hours Log'!$A:$A,"&lt;"&amp;$J1752+7))</f>
        <v/>
      </c>
      <c r="E1752">
        <f>IF($J1752="","",IFERROR(C1752/(B1752*40),0))</f>
        <v/>
      </c>
      <c r="F1752">
        <f>IF($J1752="","",0)</f>
        <v/>
      </c>
      <c r="G1752">
        <f>IF($J1752="","",SUMIFS('Hours Log'!$E:$E,'Hours Log'!$A:$A,"&gt;="&amp;$J1752,'Hours Log'!$A:$A,"&lt;"&amp;$J1752+7))</f>
        <v/>
      </c>
      <c r="J1752">
        <f>IF(COUNT('Hours Log'!$A$4:$A$5000)=0,"",IF(MIN('Hours Log'!$A$4:$A$5000)+7*(ROW()-10)&gt;MAX('Hours Log'!$A$4:$A$5000),"",MIN('Hours Log'!$A$4:$A$5000)+7*(ROW()-10)))</f>
        <v/>
      </c>
    </row>
    <row r="1753">
      <c r="A1753">
        <f>IF($J1753="","",YEAR($J1753-WEEKDAY($J1753,2)+4)&amp;"-W"&amp;TEXT(WEEKNUM($J1753,21),"00"))</f>
        <v/>
      </c>
      <c r="B1753" s="41">
        <f>IF($J1753="","",COUNTIFS(Roster!$D$4:$D$500,"Active",Roster!$C$4:$C$500,"&lt;="&amp;$J1753))</f>
        <v/>
      </c>
      <c r="C1753">
        <f>IF($J1753="","",SUMIFS('Hours Log'!$C:$C,'Hours Log'!$A:$A,"&gt;="&amp;$J1753,'Hours Log'!$A:$A,"&lt;"&amp;$J1753+7)+SUMIFS('Hours Log'!$D:$D,'Hours Log'!$A:$A,"&gt;="&amp;$J1753,'Hours Log'!$A:$A,"&lt;"&amp;$J1753+7))</f>
        <v/>
      </c>
      <c r="D1753">
        <f>IF($J1753="","",SUMIFS('Hours Log'!$D:$D,'Hours Log'!$A:$A,"&gt;="&amp;$J1753,'Hours Log'!$A:$A,"&lt;"&amp;$J1753+7))</f>
        <v/>
      </c>
      <c r="E1753">
        <f>IF($J1753="","",IFERROR(C1753/(B1753*40),0))</f>
        <v/>
      </c>
      <c r="F1753">
        <f>IF($J1753="","",0)</f>
        <v/>
      </c>
      <c r="G1753">
        <f>IF($J1753="","",SUMIFS('Hours Log'!$E:$E,'Hours Log'!$A:$A,"&gt;="&amp;$J1753,'Hours Log'!$A:$A,"&lt;"&amp;$J1753+7))</f>
        <v/>
      </c>
      <c r="J1753">
        <f>IF(COUNT('Hours Log'!$A$4:$A$5000)=0,"",IF(MIN('Hours Log'!$A$4:$A$5000)+7*(ROW()-10)&gt;MAX('Hours Log'!$A$4:$A$5000),"",MIN('Hours Log'!$A$4:$A$5000)+7*(ROW()-10)))</f>
        <v/>
      </c>
    </row>
    <row r="1754">
      <c r="A1754">
        <f>IF($J1754="","",YEAR($J1754-WEEKDAY($J1754,2)+4)&amp;"-W"&amp;TEXT(WEEKNUM($J1754,21),"00"))</f>
        <v/>
      </c>
      <c r="B1754" s="41">
        <f>IF($J1754="","",COUNTIFS(Roster!$D$4:$D$500,"Active",Roster!$C$4:$C$500,"&lt;="&amp;$J1754))</f>
        <v/>
      </c>
      <c r="C1754">
        <f>IF($J1754="","",SUMIFS('Hours Log'!$C:$C,'Hours Log'!$A:$A,"&gt;="&amp;$J1754,'Hours Log'!$A:$A,"&lt;"&amp;$J1754+7)+SUMIFS('Hours Log'!$D:$D,'Hours Log'!$A:$A,"&gt;="&amp;$J1754,'Hours Log'!$A:$A,"&lt;"&amp;$J1754+7))</f>
        <v/>
      </c>
      <c r="D1754">
        <f>IF($J1754="","",SUMIFS('Hours Log'!$D:$D,'Hours Log'!$A:$A,"&gt;="&amp;$J1754,'Hours Log'!$A:$A,"&lt;"&amp;$J1754+7))</f>
        <v/>
      </c>
      <c r="E1754">
        <f>IF($J1754="","",IFERROR(C1754/(B1754*40),0))</f>
        <v/>
      </c>
      <c r="F1754">
        <f>IF($J1754="","",0)</f>
        <v/>
      </c>
      <c r="G1754">
        <f>IF($J1754="","",SUMIFS('Hours Log'!$E:$E,'Hours Log'!$A:$A,"&gt;="&amp;$J1754,'Hours Log'!$A:$A,"&lt;"&amp;$J1754+7))</f>
        <v/>
      </c>
      <c r="J1754">
        <f>IF(COUNT('Hours Log'!$A$4:$A$5000)=0,"",IF(MIN('Hours Log'!$A$4:$A$5000)+7*(ROW()-10)&gt;MAX('Hours Log'!$A$4:$A$5000),"",MIN('Hours Log'!$A$4:$A$5000)+7*(ROW()-10)))</f>
        <v/>
      </c>
    </row>
    <row r="1755">
      <c r="A1755">
        <f>IF($J1755="","",YEAR($J1755-WEEKDAY($J1755,2)+4)&amp;"-W"&amp;TEXT(WEEKNUM($J1755,21),"00"))</f>
        <v/>
      </c>
      <c r="B1755" s="41">
        <f>IF($J1755="","",COUNTIFS(Roster!$D$4:$D$500,"Active",Roster!$C$4:$C$500,"&lt;="&amp;$J1755))</f>
        <v/>
      </c>
      <c r="C1755">
        <f>IF($J1755="","",SUMIFS('Hours Log'!$C:$C,'Hours Log'!$A:$A,"&gt;="&amp;$J1755,'Hours Log'!$A:$A,"&lt;"&amp;$J1755+7)+SUMIFS('Hours Log'!$D:$D,'Hours Log'!$A:$A,"&gt;="&amp;$J1755,'Hours Log'!$A:$A,"&lt;"&amp;$J1755+7))</f>
        <v/>
      </c>
      <c r="D1755">
        <f>IF($J1755="","",SUMIFS('Hours Log'!$D:$D,'Hours Log'!$A:$A,"&gt;="&amp;$J1755,'Hours Log'!$A:$A,"&lt;"&amp;$J1755+7))</f>
        <v/>
      </c>
      <c r="E1755">
        <f>IF($J1755="","",IFERROR(C1755/(B1755*40),0))</f>
        <v/>
      </c>
      <c r="F1755">
        <f>IF($J1755="","",0)</f>
        <v/>
      </c>
      <c r="G1755">
        <f>IF($J1755="","",SUMIFS('Hours Log'!$E:$E,'Hours Log'!$A:$A,"&gt;="&amp;$J1755,'Hours Log'!$A:$A,"&lt;"&amp;$J1755+7))</f>
        <v/>
      </c>
      <c r="J1755">
        <f>IF(COUNT('Hours Log'!$A$4:$A$5000)=0,"",IF(MIN('Hours Log'!$A$4:$A$5000)+7*(ROW()-10)&gt;MAX('Hours Log'!$A$4:$A$5000),"",MIN('Hours Log'!$A$4:$A$5000)+7*(ROW()-10)))</f>
        <v/>
      </c>
    </row>
    <row r="1756">
      <c r="A1756">
        <f>IF($J1756="","",YEAR($J1756-WEEKDAY($J1756,2)+4)&amp;"-W"&amp;TEXT(WEEKNUM($J1756,21),"00"))</f>
        <v/>
      </c>
      <c r="B1756" s="41">
        <f>IF($J1756="","",COUNTIFS(Roster!$D$4:$D$500,"Active",Roster!$C$4:$C$500,"&lt;="&amp;$J1756))</f>
        <v/>
      </c>
      <c r="C1756">
        <f>IF($J1756="","",SUMIFS('Hours Log'!$C:$C,'Hours Log'!$A:$A,"&gt;="&amp;$J1756,'Hours Log'!$A:$A,"&lt;"&amp;$J1756+7)+SUMIFS('Hours Log'!$D:$D,'Hours Log'!$A:$A,"&gt;="&amp;$J1756,'Hours Log'!$A:$A,"&lt;"&amp;$J1756+7))</f>
        <v/>
      </c>
      <c r="D1756">
        <f>IF($J1756="","",SUMIFS('Hours Log'!$D:$D,'Hours Log'!$A:$A,"&gt;="&amp;$J1756,'Hours Log'!$A:$A,"&lt;"&amp;$J1756+7))</f>
        <v/>
      </c>
      <c r="E1756">
        <f>IF($J1756="","",IFERROR(C1756/(B1756*40),0))</f>
        <v/>
      </c>
      <c r="F1756">
        <f>IF($J1756="","",0)</f>
        <v/>
      </c>
      <c r="G1756">
        <f>IF($J1756="","",SUMIFS('Hours Log'!$E:$E,'Hours Log'!$A:$A,"&gt;="&amp;$J1756,'Hours Log'!$A:$A,"&lt;"&amp;$J1756+7))</f>
        <v/>
      </c>
      <c r="J1756">
        <f>IF(COUNT('Hours Log'!$A$4:$A$5000)=0,"",IF(MIN('Hours Log'!$A$4:$A$5000)+7*(ROW()-10)&gt;MAX('Hours Log'!$A$4:$A$5000),"",MIN('Hours Log'!$A$4:$A$5000)+7*(ROW()-10)))</f>
        <v/>
      </c>
    </row>
    <row r="1757">
      <c r="A1757">
        <f>IF($J1757="","",YEAR($J1757-WEEKDAY($J1757,2)+4)&amp;"-W"&amp;TEXT(WEEKNUM($J1757,21),"00"))</f>
        <v/>
      </c>
      <c r="B1757" s="41">
        <f>IF($J1757="","",COUNTIFS(Roster!$D$4:$D$500,"Active",Roster!$C$4:$C$500,"&lt;="&amp;$J1757))</f>
        <v/>
      </c>
      <c r="C1757">
        <f>IF($J1757="","",SUMIFS('Hours Log'!$C:$C,'Hours Log'!$A:$A,"&gt;="&amp;$J1757,'Hours Log'!$A:$A,"&lt;"&amp;$J1757+7)+SUMIFS('Hours Log'!$D:$D,'Hours Log'!$A:$A,"&gt;="&amp;$J1757,'Hours Log'!$A:$A,"&lt;"&amp;$J1757+7))</f>
        <v/>
      </c>
      <c r="D1757">
        <f>IF($J1757="","",SUMIFS('Hours Log'!$D:$D,'Hours Log'!$A:$A,"&gt;="&amp;$J1757,'Hours Log'!$A:$A,"&lt;"&amp;$J1757+7))</f>
        <v/>
      </c>
      <c r="E1757">
        <f>IF($J1757="","",IFERROR(C1757/(B1757*40),0))</f>
        <v/>
      </c>
      <c r="F1757">
        <f>IF($J1757="","",0)</f>
        <v/>
      </c>
      <c r="G1757">
        <f>IF($J1757="","",SUMIFS('Hours Log'!$E:$E,'Hours Log'!$A:$A,"&gt;="&amp;$J1757,'Hours Log'!$A:$A,"&lt;"&amp;$J1757+7))</f>
        <v/>
      </c>
      <c r="J1757">
        <f>IF(COUNT('Hours Log'!$A$4:$A$5000)=0,"",IF(MIN('Hours Log'!$A$4:$A$5000)+7*(ROW()-10)&gt;MAX('Hours Log'!$A$4:$A$5000),"",MIN('Hours Log'!$A$4:$A$5000)+7*(ROW()-10)))</f>
        <v/>
      </c>
    </row>
    <row r="1758">
      <c r="A1758">
        <f>IF($J1758="","",YEAR($J1758-WEEKDAY($J1758,2)+4)&amp;"-W"&amp;TEXT(WEEKNUM($J1758,21),"00"))</f>
        <v/>
      </c>
      <c r="B1758" s="41">
        <f>IF($J1758="","",COUNTIFS(Roster!$D$4:$D$500,"Active",Roster!$C$4:$C$500,"&lt;="&amp;$J1758))</f>
        <v/>
      </c>
      <c r="C1758">
        <f>IF($J1758="","",SUMIFS('Hours Log'!$C:$C,'Hours Log'!$A:$A,"&gt;="&amp;$J1758,'Hours Log'!$A:$A,"&lt;"&amp;$J1758+7)+SUMIFS('Hours Log'!$D:$D,'Hours Log'!$A:$A,"&gt;="&amp;$J1758,'Hours Log'!$A:$A,"&lt;"&amp;$J1758+7))</f>
        <v/>
      </c>
      <c r="D1758">
        <f>IF($J1758="","",SUMIFS('Hours Log'!$D:$D,'Hours Log'!$A:$A,"&gt;="&amp;$J1758,'Hours Log'!$A:$A,"&lt;"&amp;$J1758+7))</f>
        <v/>
      </c>
      <c r="E1758">
        <f>IF($J1758="","",IFERROR(C1758/(B1758*40),0))</f>
        <v/>
      </c>
      <c r="F1758">
        <f>IF($J1758="","",0)</f>
        <v/>
      </c>
      <c r="G1758">
        <f>IF($J1758="","",SUMIFS('Hours Log'!$E:$E,'Hours Log'!$A:$A,"&gt;="&amp;$J1758,'Hours Log'!$A:$A,"&lt;"&amp;$J1758+7))</f>
        <v/>
      </c>
      <c r="J1758">
        <f>IF(COUNT('Hours Log'!$A$4:$A$5000)=0,"",IF(MIN('Hours Log'!$A$4:$A$5000)+7*(ROW()-10)&gt;MAX('Hours Log'!$A$4:$A$5000),"",MIN('Hours Log'!$A$4:$A$5000)+7*(ROW()-10)))</f>
        <v/>
      </c>
    </row>
    <row r="1759">
      <c r="A1759">
        <f>IF($J1759="","",YEAR($J1759-WEEKDAY($J1759,2)+4)&amp;"-W"&amp;TEXT(WEEKNUM($J1759,21),"00"))</f>
        <v/>
      </c>
      <c r="B1759" s="41">
        <f>IF($J1759="","",COUNTIFS(Roster!$D$4:$D$500,"Active",Roster!$C$4:$C$500,"&lt;="&amp;$J1759))</f>
        <v/>
      </c>
      <c r="C1759">
        <f>IF($J1759="","",SUMIFS('Hours Log'!$C:$C,'Hours Log'!$A:$A,"&gt;="&amp;$J1759,'Hours Log'!$A:$A,"&lt;"&amp;$J1759+7)+SUMIFS('Hours Log'!$D:$D,'Hours Log'!$A:$A,"&gt;="&amp;$J1759,'Hours Log'!$A:$A,"&lt;"&amp;$J1759+7))</f>
        <v/>
      </c>
      <c r="D1759">
        <f>IF($J1759="","",SUMIFS('Hours Log'!$D:$D,'Hours Log'!$A:$A,"&gt;="&amp;$J1759,'Hours Log'!$A:$A,"&lt;"&amp;$J1759+7))</f>
        <v/>
      </c>
      <c r="E1759">
        <f>IF($J1759="","",IFERROR(C1759/(B1759*40),0))</f>
        <v/>
      </c>
      <c r="F1759">
        <f>IF($J1759="","",0)</f>
        <v/>
      </c>
      <c r="G1759">
        <f>IF($J1759="","",SUMIFS('Hours Log'!$E:$E,'Hours Log'!$A:$A,"&gt;="&amp;$J1759,'Hours Log'!$A:$A,"&lt;"&amp;$J1759+7))</f>
        <v/>
      </c>
      <c r="J1759">
        <f>IF(COUNT('Hours Log'!$A$4:$A$5000)=0,"",IF(MIN('Hours Log'!$A$4:$A$5000)+7*(ROW()-10)&gt;MAX('Hours Log'!$A$4:$A$5000),"",MIN('Hours Log'!$A$4:$A$5000)+7*(ROW()-10)))</f>
        <v/>
      </c>
    </row>
    <row r="1760">
      <c r="A1760">
        <f>IF($J1760="","",YEAR($J1760-WEEKDAY($J1760,2)+4)&amp;"-W"&amp;TEXT(WEEKNUM($J1760,21),"00"))</f>
        <v/>
      </c>
      <c r="B1760" s="41">
        <f>IF($J1760="","",COUNTIFS(Roster!$D$4:$D$500,"Active",Roster!$C$4:$C$500,"&lt;="&amp;$J1760))</f>
        <v/>
      </c>
      <c r="C1760">
        <f>IF($J1760="","",SUMIFS('Hours Log'!$C:$C,'Hours Log'!$A:$A,"&gt;="&amp;$J1760,'Hours Log'!$A:$A,"&lt;"&amp;$J1760+7)+SUMIFS('Hours Log'!$D:$D,'Hours Log'!$A:$A,"&gt;="&amp;$J1760,'Hours Log'!$A:$A,"&lt;"&amp;$J1760+7))</f>
        <v/>
      </c>
      <c r="D1760">
        <f>IF($J1760="","",SUMIFS('Hours Log'!$D:$D,'Hours Log'!$A:$A,"&gt;="&amp;$J1760,'Hours Log'!$A:$A,"&lt;"&amp;$J1760+7))</f>
        <v/>
      </c>
      <c r="E1760">
        <f>IF($J1760="","",IFERROR(C1760/(B1760*40),0))</f>
        <v/>
      </c>
      <c r="F1760">
        <f>IF($J1760="","",0)</f>
        <v/>
      </c>
      <c r="G1760">
        <f>IF($J1760="","",SUMIFS('Hours Log'!$E:$E,'Hours Log'!$A:$A,"&gt;="&amp;$J1760,'Hours Log'!$A:$A,"&lt;"&amp;$J1760+7))</f>
        <v/>
      </c>
      <c r="J1760">
        <f>IF(COUNT('Hours Log'!$A$4:$A$5000)=0,"",IF(MIN('Hours Log'!$A$4:$A$5000)+7*(ROW()-10)&gt;MAX('Hours Log'!$A$4:$A$5000),"",MIN('Hours Log'!$A$4:$A$5000)+7*(ROW()-10)))</f>
        <v/>
      </c>
    </row>
    <row r="1761">
      <c r="A1761">
        <f>IF($J1761="","",YEAR($J1761-WEEKDAY($J1761,2)+4)&amp;"-W"&amp;TEXT(WEEKNUM($J1761,21),"00"))</f>
        <v/>
      </c>
      <c r="B1761" s="41">
        <f>IF($J1761="","",COUNTIFS(Roster!$D$4:$D$500,"Active",Roster!$C$4:$C$500,"&lt;="&amp;$J1761))</f>
        <v/>
      </c>
      <c r="C1761">
        <f>IF($J1761="","",SUMIFS('Hours Log'!$C:$C,'Hours Log'!$A:$A,"&gt;="&amp;$J1761,'Hours Log'!$A:$A,"&lt;"&amp;$J1761+7)+SUMIFS('Hours Log'!$D:$D,'Hours Log'!$A:$A,"&gt;="&amp;$J1761,'Hours Log'!$A:$A,"&lt;"&amp;$J1761+7))</f>
        <v/>
      </c>
      <c r="D1761">
        <f>IF($J1761="","",SUMIFS('Hours Log'!$D:$D,'Hours Log'!$A:$A,"&gt;="&amp;$J1761,'Hours Log'!$A:$A,"&lt;"&amp;$J1761+7))</f>
        <v/>
      </c>
      <c r="E1761">
        <f>IF($J1761="","",IFERROR(C1761/(B1761*40),0))</f>
        <v/>
      </c>
      <c r="F1761">
        <f>IF($J1761="","",0)</f>
        <v/>
      </c>
      <c r="G1761">
        <f>IF($J1761="","",SUMIFS('Hours Log'!$E:$E,'Hours Log'!$A:$A,"&gt;="&amp;$J1761,'Hours Log'!$A:$A,"&lt;"&amp;$J1761+7))</f>
        <v/>
      </c>
      <c r="J1761">
        <f>IF(COUNT('Hours Log'!$A$4:$A$5000)=0,"",IF(MIN('Hours Log'!$A$4:$A$5000)+7*(ROW()-10)&gt;MAX('Hours Log'!$A$4:$A$5000),"",MIN('Hours Log'!$A$4:$A$5000)+7*(ROW()-10)))</f>
        <v/>
      </c>
    </row>
    <row r="1762">
      <c r="A1762">
        <f>IF($J1762="","",YEAR($J1762-WEEKDAY($J1762,2)+4)&amp;"-W"&amp;TEXT(WEEKNUM($J1762,21),"00"))</f>
        <v/>
      </c>
      <c r="B1762" s="41">
        <f>IF($J1762="","",COUNTIFS(Roster!$D$4:$D$500,"Active",Roster!$C$4:$C$500,"&lt;="&amp;$J1762))</f>
        <v/>
      </c>
      <c r="C1762">
        <f>IF($J1762="","",SUMIFS('Hours Log'!$C:$C,'Hours Log'!$A:$A,"&gt;="&amp;$J1762,'Hours Log'!$A:$A,"&lt;"&amp;$J1762+7)+SUMIFS('Hours Log'!$D:$D,'Hours Log'!$A:$A,"&gt;="&amp;$J1762,'Hours Log'!$A:$A,"&lt;"&amp;$J1762+7))</f>
        <v/>
      </c>
      <c r="D1762">
        <f>IF($J1762="","",SUMIFS('Hours Log'!$D:$D,'Hours Log'!$A:$A,"&gt;="&amp;$J1762,'Hours Log'!$A:$A,"&lt;"&amp;$J1762+7))</f>
        <v/>
      </c>
      <c r="E1762">
        <f>IF($J1762="","",IFERROR(C1762/(B1762*40),0))</f>
        <v/>
      </c>
      <c r="F1762">
        <f>IF($J1762="","",0)</f>
        <v/>
      </c>
      <c r="G1762">
        <f>IF($J1762="","",SUMIFS('Hours Log'!$E:$E,'Hours Log'!$A:$A,"&gt;="&amp;$J1762,'Hours Log'!$A:$A,"&lt;"&amp;$J1762+7))</f>
        <v/>
      </c>
      <c r="J1762">
        <f>IF(COUNT('Hours Log'!$A$4:$A$5000)=0,"",IF(MIN('Hours Log'!$A$4:$A$5000)+7*(ROW()-10)&gt;MAX('Hours Log'!$A$4:$A$5000),"",MIN('Hours Log'!$A$4:$A$5000)+7*(ROW()-10)))</f>
        <v/>
      </c>
    </row>
    <row r="1763">
      <c r="A1763">
        <f>IF($J1763="","",YEAR($J1763-WEEKDAY($J1763,2)+4)&amp;"-W"&amp;TEXT(WEEKNUM($J1763,21),"00"))</f>
        <v/>
      </c>
      <c r="B1763" s="41">
        <f>IF($J1763="","",COUNTIFS(Roster!$D$4:$D$500,"Active",Roster!$C$4:$C$500,"&lt;="&amp;$J1763))</f>
        <v/>
      </c>
      <c r="C1763">
        <f>IF($J1763="","",SUMIFS('Hours Log'!$C:$C,'Hours Log'!$A:$A,"&gt;="&amp;$J1763,'Hours Log'!$A:$A,"&lt;"&amp;$J1763+7)+SUMIFS('Hours Log'!$D:$D,'Hours Log'!$A:$A,"&gt;="&amp;$J1763,'Hours Log'!$A:$A,"&lt;"&amp;$J1763+7))</f>
        <v/>
      </c>
      <c r="D1763">
        <f>IF($J1763="","",SUMIFS('Hours Log'!$D:$D,'Hours Log'!$A:$A,"&gt;="&amp;$J1763,'Hours Log'!$A:$A,"&lt;"&amp;$J1763+7))</f>
        <v/>
      </c>
      <c r="E1763">
        <f>IF($J1763="","",IFERROR(C1763/(B1763*40),0))</f>
        <v/>
      </c>
      <c r="F1763">
        <f>IF($J1763="","",0)</f>
        <v/>
      </c>
      <c r="G1763">
        <f>IF($J1763="","",SUMIFS('Hours Log'!$E:$E,'Hours Log'!$A:$A,"&gt;="&amp;$J1763,'Hours Log'!$A:$A,"&lt;"&amp;$J1763+7))</f>
        <v/>
      </c>
      <c r="J1763">
        <f>IF(COUNT('Hours Log'!$A$4:$A$5000)=0,"",IF(MIN('Hours Log'!$A$4:$A$5000)+7*(ROW()-10)&gt;MAX('Hours Log'!$A$4:$A$5000),"",MIN('Hours Log'!$A$4:$A$5000)+7*(ROW()-10)))</f>
        <v/>
      </c>
    </row>
    <row r="1764">
      <c r="A1764">
        <f>IF($J1764="","",YEAR($J1764-WEEKDAY($J1764,2)+4)&amp;"-W"&amp;TEXT(WEEKNUM($J1764,21),"00"))</f>
        <v/>
      </c>
      <c r="B1764" s="41">
        <f>IF($J1764="","",COUNTIFS(Roster!$D$4:$D$500,"Active",Roster!$C$4:$C$500,"&lt;="&amp;$J1764))</f>
        <v/>
      </c>
      <c r="C1764">
        <f>IF($J1764="","",SUMIFS('Hours Log'!$C:$C,'Hours Log'!$A:$A,"&gt;="&amp;$J1764,'Hours Log'!$A:$A,"&lt;"&amp;$J1764+7)+SUMIFS('Hours Log'!$D:$D,'Hours Log'!$A:$A,"&gt;="&amp;$J1764,'Hours Log'!$A:$A,"&lt;"&amp;$J1764+7))</f>
        <v/>
      </c>
      <c r="D1764">
        <f>IF($J1764="","",SUMIFS('Hours Log'!$D:$D,'Hours Log'!$A:$A,"&gt;="&amp;$J1764,'Hours Log'!$A:$A,"&lt;"&amp;$J1764+7))</f>
        <v/>
      </c>
      <c r="E1764">
        <f>IF($J1764="","",IFERROR(C1764/(B1764*40),0))</f>
        <v/>
      </c>
      <c r="F1764">
        <f>IF($J1764="","",0)</f>
        <v/>
      </c>
      <c r="G1764">
        <f>IF($J1764="","",SUMIFS('Hours Log'!$E:$E,'Hours Log'!$A:$A,"&gt;="&amp;$J1764,'Hours Log'!$A:$A,"&lt;"&amp;$J1764+7))</f>
        <v/>
      </c>
      <c r="J1764">
        <f>IF(COUNT('Hours Log'!$A$4:$A$5000)=0,"",IF(MIN('Hours Log'!$A$4:$A$5000)+7*(ROW()-10)&gt;MAX('Hours Log'!$A$4:$A$5000),"",MIN('Hours Log'!$A$4:$A$5000)+7*(ROW()-10)))</f>
        <v/>
      </c>
    </row>
    <row r="1765">
      <c r="A1765">
        <f>IF($J1765="","",YEAR($J1765-WEEKDAY($J1765,2)+4)&amp;"-W"&amp;TEXT(WEEKNUM($J1765,21),"00"))</f>
        <v/>
      </c>
      <c r="B1765" s="41">
        <f>IF($J1765="","",COUNTIFS(Roster!$D$4:$D$500,"Active",Roster!$C$4:$C$500,"&lt;="&amp;$J1765))</f>
        <v/>
      </c>
      <c r="C1765">
        <f>IF($J1765="","",SUMIFS('Hours Log'!$C:$C,'Hours Log'!$A:$A,"&gt;="&amp;$J1765,'Hours Log'!$A:$A,"&lt;"&amp;$J1765+7)+SUMIFS('Hours Log'!$D:$D,'Hours Log'!$A:$A,"&gt;="&amp;$J1765,'Hours Log'!$A:$A,"&lt;"&amp;$J1765+7))</f>
        <v/>
      </c>
      <c r="D1765">
        <f>IF($J1765="","",SUMIFS('Hours Log'!$D:$D,'Hours Log'!$A:$A,"&gt;="&amp;$J1765,'Hours Log'!$A:$A,"&lt;"&amp;$J1765+7))</f>
        <v/>
      </c>
      <c r="E1765">
        <f>IF($J1765="","",IFERROR(C1765/(B1765*40),0))</f>
        <v/>
      </c>
      <c r="F1765">
        <f>IF($J1765="","",0)</f>
        <v/>
      </c>
      <c r="G1765">
        <f>IF($J1765="","",SUMIFS('Hours Log'!$E:$E,'Hours Log'!$A:$A,"&gt;="&amp;$J1765,'Hours Log'!$A:$A,"&lt;"&amp;$J1765+7))</f>
        <v/>
      </c>
      <c r="J1765">
        <f>IF(COUNT('Hours Log'!$A$4:$A$5000)=0,"",IF(MIN('Hours Log'!$A$4:$A$5000)+7*(ROW()-10)&gt;MAX('Hours Log'!$A$4:$A$5000),"",MIN('Hours Log'!$A$4:$A$5000)+7*(ROW()-10)))</f>
        <v/>
      </c>
    </row>
    <row r="1766">
      <c r="A1766">
        <f>IF($J1766="","",YEAR($J1766-WEEKDAY($J1766,2)+4)&amp;"-W"&amp;TEXT(WEEKNUM($J1766,21),"00"))</f>
        <v/>
      </c>
      <c r="B1766" s="41">
        <f>IF($J1766="","",COUNTIFS(Roster!$D$4:$D$500,"Active",Roster!$C$4:$C$500,"&lt;="&amp;$J1766))</f>
        <v/>
      </c>
      <c r="C1766">
        <f>IF($J1766="","",SUMIFS('Hours Log'!$C:$C,'Hours Log'!$A:$A,"&gt;="&amp;$J1766,'Hours Log'!$A:$A,"&lt;"&amp;$J1766+7)+SUMIFS('Hours Log'!$D:$D,'Hours Log'!$A:$A,"&gt;="&amp;$J1766,'Hours Log'!$A:$A,"&lt;"&amp;$J1766+7))</f>
        <v/>
      </c>
      <c r="D1766">
        <f>IF($J1766="","",SUMIFS('Hours Log'!$D:$D,'Hours Log'!$A:$A,"&gt;="&amp;$J1766,'Hours Log'!$A:$A,"&lt;"&amp;$J1766+7))</f>
        <v/>
      </c>
      <c r="E1766">
        <f>IF($J1766="","",IFERROR(C1766/(B1766*40),0))</f>
        <v/>
      </c>
      <c r="F1766">
        <f>IF($J1766="","",0)</f>
        <v/>
      </c>
      <c r="G1766">
        <f>IF($J1766="","",SUMIFS('Hours Log'!$E:$E,'Hours Log'!$A:$A,"&gt;="&amp;$J1766,'Hours Log'!$A:$A,"&lt;"&amp;$J1766+7))</f>
        <v/>
      </c>
      <c r="J1766">
        <f>IF(COUNT('Hours Log'!$A$4:$A$5000)=0,"",IF(MIN('Hours Log'!$A$4:$A$5000)+7*(ROW()-10)&gt;MAX('Hours Log'!$A$4:$A$5000),"",MIN('Hours Log'!$A$4:$A$5000)+7*(ROW()-10)))</f>
        <v/>
      </c>
    </row>
    <row r="1767">
      <c r="A1767">
        <f>IF($J1767="","",YEAR($J1767-WEEKDAY($J1767,2)+4)&amp;"-W"&amp;TEXT(WEEKNUM($J1767,21),"00"))</f>
        <v/>
      </c>
      <c r="B1767" s="41">
        <f>IF($J1767="","",COUNTIFS(Roster!$D$4:$D$500,"Active",Roster!$C$4:$C$500,"&lt;="&amp;$J1767))</f>
        <v/>
      </c>
      <c r="C1767">
        <f>IF($J1767="","",SUMIFS('Hours Log'!$C:$C,'Hours Log'!$A:$A,"&gt;="&amp;$J1767,'Hours Log'!$A:$A,"&lt;"&amp;$J1767+7)+SUMIFS('Hours Log'!$D:$D,'Hours Log'!$A:$A,"&gt;="&amp;$J1767,'Hours Log'!$A:$A,"&lt;"&amp;$J1767+7))</f>
        <v/>
      </c>
      <c r="D1767">
        <f>IF($J1767="","",SUMIFS('Hours Log'!$D:$D,'Hours Log'!$A:$A,"&gt;="&amp;$J1767,'Hours Log'!$A:$A,"&lt;"&amp;$J1767+7))</f>
        <v/>
      </c>
      <c r="E1767">
        <f>IF($J1767="","",IFERROR(C1767/(B1767*40),0))</f>
        <v/>
      </c>
      <c r="F1767">
        <f>IF($J1767="","",0)</f>
        <v/>
      </c>
      <c r="G1767">
        <f>IF($J1767="","",SUMIFS('Hours Log'!$E:$E,'Hours Log'!$A:$A,"&gt;="&amp;$J1767,'Hours Log'!$A:$A,"&lt;"&amp;$J1767+7))</f>
        <v/>
      </c>
      <c r="J1767">
        <f>IF(COUNT('Hours Log'!$A$4:$A$5000)=0,"",IF(MIN('Hours Log'!$A$4:$A$5000)+7*(ROW()-10)&gt;MAX('Hours Log'!$A$4:$A$5000),"",MIN('Hours Log'!$A$4:$A$5000)+7*(ROW()-10)))</f>
        <v/>
      </c>
    </row>
    <row r="1768">
      <c r="A1768">
        <f>IF($J1768="","",YEAR($J1768-WEEKDAY($J1768,2)+4)&amp;"-W"&amp;TEXT(WEEKNUM($J1768,21),"00"))</f>
        <v/>
      </c>
      <c r="B1768" s="41">
        <f>IF($J1768="","",COUNTIFS(Roster!$D$4:$D$500,"Active",Roster!$C$4:$C$500,"&lt;="&amp;$J1768))</f>
        <v/>
      </c>
      <c r="C1768">
        <f>IF($J1768="","",SUMIFS('Hours Log'!$C:$C,'Hours Log'!$A:$A,"&gt;="&amp;$J1768,'Hours Log'!$A:$A,"&lt;"&amp;$J1768+7)+SUMIFS('Hours Log'!$D:$D,'Hours Log'!$A:$A,"&gt;="&amp;$J1768,'Hours Log'!$A:$A,"&lt;"&amp;$J1768+7))</f>
        <v/>
      </c>
      <c r="D1768">
        <f>IF($J1768="","",SUMIFS('Hours Log'!$D:$D,'Hours Log'!$A:$A,"&gt;="&amp;$J1768,'Hours Log'!$A:$A,"&lt;"&amp;$J1768+7))</f>
        <v/>
      </c>
      <c r="E1768">
        <f>IF($J1768="","",IFERROR(C1768/(B1768*40),0))</f>
        <v/>
      </c>
      <c r="F1768">
        <f>IF($J1768="","",0)</f>
        <v/>
      </c>
      <c r="G1768">
        <f>IF($J1768="","",SUMIFS('Hours Log'!$E:$E,'Hours Log'!$A:$A,"&gt;="&amp;$J1768,'Hours Log'!$A:$A,"&lt;"&amp;$J1768+7))</f>
        <v/>
      </c>
      <c r="J1768">
        <f>IF(COUNT('Hours Log'!$A$4:$A$5000)=0,"",IF(MIN('Hours Log'!$A$4:$A$5000)+7*(ROW()-10)&gt;MAX('Hours Log'!$A$4:$A$5000),"",MIN('Hours Log'!$A$4:$A$5000)+7*(ROW()-10)))</f>
        <v/>
      </c>
    </row>
    <row r="1769">
      <c r="A1769">
        <f>IF($J1769="","",YEAR($J1769-WEEKDAY($J1769,2)+4)&amp;"-W"&amp;TEXT(WEEKNUM($J1769,21),"00"))</f>
        <v/>
      </c>
      <c r="B1769" s="41">
        <f>IF($J1769="","",COUNTIFS(Roster!$D$4:$D$500,"Active",Roster!$C$4:$C$500,"&lt;="&amp;$J1769))</f>
        <v/>
      </c>
      <c r="C1769">
        <f>IF($J1769="","",SUMIFS('Hours Log'!$C:$C,'Hours Log'!$A:$A,"&gt;="&amp;$J1769,'Hours Log'!$A:$A,"&lt;"&amp;$J1769+7)+SUMIFS('Hours Log'!$D:$D,'Hours Log'!$A:$A,"&gt;="&amp;$J1769,'Hours Log'!$A:$A,"&lt;"&amp;$J1769+7))</f>
        <v/>
      </c>
      <c r="D1769">
        <f>IF($J1769="","",SUMIFS('Hours Log'!$D:$D,'Hours Log'!$A:$A,"&gt;="&amp;$J1769,'Hours Log'!$A:$A,"&lt;"&amp;$J1769+7))</f>
        <v/>
      </c>
      <c r="E1769">
        <f>IF($J1769="","",IFERROR(C1769/(B1769*40),0))</f>
        <v/>
      </c>
      <c r="F1769">
        <f>IF($J1769="","",0)</f>
        <v/>
      </c>
      <c r="G1769">
        <f>IF($J1769="","",SUMIFS('Hours Log'!$E:$E,'Hours Log'!$A:$A,"&gt;="&amp;$J1769,'Hours Log'!$A:$A,"&lt;"&amp;$J1769+7))</f>
        <v/>
      </c>
      <c r="J1769">
        <f>IF(COUNT('Hours Log'!$A$4:$A$5000)=0,"",IF(MIN('Hours Log'!$A$4:$A$5000)+7*(ROW()-10)&gt;MAX('Hours Log'!$A$4:$A$5000),"",MIN('Hours Log'!$A$4:$A$5000)+7*(ROW()-10)))</f>
        <v/>
      </c>
    </row>
    <row r="1770">
      <c r="A1770">
        <f>IF($J1770="","",YEAR($J1770-WEEKDAY($J1770,2)+4)&amp;"-W"&amp;TEXT(WEEKNUM($J1770,21),"00"))</f>
        <v/>
      </c>
      <c r="B1770" s="41">
        <f>IF($J1770="","",COUNTIFS(Roster!$D$4:$D$500,"Active",Roster!$C$4:$C$500,"&lt;="&amp;$J1770))</f>
        <v/>
      </c>
      <c r="C1770">
        <f>IF($J1770="","",SUMIFS('Hours Log'!$C:$C,'Hours Log'!$A:$A,"&gt;="&amp;$J1770,'Hours Log'!$A:$A,"&lt;"&amp;$J1770+7)+SUMIFS('Hours Log'!$D:$D,'Hours Log'!$A:$A,"&gt;="&amp;$J1770,'Hours Log'!$A:$A,"&lt;"&amp;$J1770+7))</f>
        <v/>
      </c>
      <c r="D1770">
        <f>IF($J1770="","",SUMIFS('Hours Log'!$D:$D,'Hours Log'!$A:$A,"&gt;="&amp;$J1770,'Hours Log'!$A:$A,"&lt;"&amp;$J1770+7))</f>
        <v/>
      </c>
      <c r="E1770">
        <f>IF($J1770="","",IFERROR(C1770/(B1770*40),0))</f>
        <v/>
      </c>
      <c r="F1770">
        <f>IF($J1770="","",0)</f>
        <v/>
      </c>
      <c r="G1770">
        <f>IF($J1770="","",SUMIFS('Hours Log'!$E:$E,'Hours Log'!$A:$A,"&gt;="&amp;$J1770,'Hours Log'!$A:$A,"&lt;"&amp;$J1770+7))</f>
        <v/>
      </c>
      <c r="J1770">
        <f>IF(COUNT('Hours Log'!$A$4:$A$5000)=0,"",IF(MIN('Hours Log'!$A$4:$A$5000)+7*(ROW()-10)&gt;MAX('Hours Log'!$A$4:$A$5000),"",MIN('Hours Log'!$A$4:$A$5000)+7*(ROW()-10)))</f>
        <v/>
      </c>
    </row>
    <row r="1771">
      <c r="A1771">
        <f>IF($J1771="","",YEAR($J1771-WEEKDAY($J1771,2)+4)&amp;"-W"&amp;TEXT(WEEKNUM($J1771,21),"00"))</f>
        <v/>
      </c>
      <c r="B1771" s="41">
        <f>IF($J1771="","",COUNTIFS(Roster!$D$4:$D$500,"Active",Roster!$C$4:$C$500,"&lt;="&amp;$J1771))</f>
        <v/>
      </c>
      <c r="C1771">
        <f>IF($J1771="","",SUMIFS('Hours Log'!$C:$C,'Hours Log'!$A:$A,"&gt;="&amp;$J1771,'Hours Log'!$A:$A,"&lt;"&amp;$J1771+7)+SUMIFS('Hours Log'!$D:$D,'Hours Log'!$A:$A,"&gt;="&amp;$J1771,'Hours Log'!$A:$A,"&lt;"&amp;$J1771+7))</f>
        <v/>
      </c>
      <c r="D1771">
        <f>IF($J1771="","",SUMIFS('Hours Log'!$D:$D,'Hours Log'!$A:$A,"&gt;="&amp;$J1771,'Hours Log'!$A:$A,"&lt;"&amp;$J1771+7))</f>
        <v/>
      </c>
      <c r="E1771">
        <f>IF($J1771="","",IFERROR(C1771/(B1771*40),0))</f>
        <v/>
      </c>
      <c r="F1771">
        <f>IF($J1771="","",0)</f>
        <v/>
      </c>
      <c r="G1771">
        <f>IF($J1771="","",SUMIFS('Hours Log'!$E:$E,'Hours Log'!$A:$A,"&gt;="&amp;$J1771,'Hours Log'!$A:$A,"&lt;"&amp;$J1771+7))</f>
        <v/>
      </c>
      <c r="J1771">
        <f>IF(COUNT('Hours Log'!$A$4:$A$5000)=0,"",IF(MIN('Hours Log'!$A$4:$A$5000)+7*(ROW()-10)&gt;MAX('Hours Log'!$A$4:$A$5000),"",MIN('Hours Log'!$A$4:$A$5000)+7*(ROW()-10)))</f>
        <v/>
      </c>
    </row>
    <row r="1772">
      <c r="A1772">
        <f>IF($J1772="","",YEAR($J1772-WEEKDAY($J1772,2)+4)&amp;"-W"&amp;TEXT(WEEKNUM($J1772,21),"00"))</f>
        <v/>
      </c>
      <c r="B1772" s="41">
        <f>IF($J1772="","",COUNTIFS(Roster!$D$4:$D$500,"Active",Roster!$C$4:$C$500,"&lt;="&amp;$J1772))</f>
        <v/>
      </c>
      <c r="C1772">
        <f>IF($J1772="","",SUMIFS('Hours Log'!$C:$C,'Hours Log'!$A:$A,"&gt;="&amp;$J1772,'Hours Log'!$A:$A,"&lt;"&amp;$J1772+7)+SUMIFS('Hours Log'!$D:$D,'Hours Log'!$A:$A,"&gt;="&amp;$J1772,'Hours Log'!$A:$A,"&lt;"&amp;$J1772+7))</f>
        <v/>
      </c>
      <c r="D1772">
        <f>IF($J1772="","",SUMIFS('Hours Log'!$D:$D,'Hours Log'!$A:$A,"&gt;="&amp;$J1772,'Hours Log'!$A:$A,"&lt;"&amp;$J1772+7))</f>
        <v/>
      </c>
      <c r="E1772">
        <f>IF($J1772="","",IFERROR(C1772/(B1772*40),0))</f>
        <v/>
      </c>
      <c r="F1772">
        <f>IF($J1772="","",0)</f>
        <v/>
      </c>
      <c r="G1772">
        <f>IF($J1772="","",SUMIFS('Hours Log'!$E:$E,'Hours Log'!$A:$A,"&gt;="&amp;$J1772,'Hours Log'!$A:$A,"&lt;"&amp;$J1772+7))</f>
        <v/>
      </c>
      <c r="J1772">
        <f>IF(COUNT('Hours Log'!$A$4:$A$5000)=0,"",IF(MIN('Hours Log'!$A$4:$A$5000)+7*(ROW()-10)&gt;MAX('Hours Log'!$A$4:$A$5000),"",MIN('Hours Log'!$A$4:$A$5000)+7*(ROW()-10)))</f>
        <v/>
      </c>
    </row>
    <row r="1773">
      <c r="A1773">
        <f>IF($J1773="","",YEAR($J1773-WEEKDAY($J1773,2)+4)&amp;"-W"&amp;TEXT(WEEKNUM($J1773,21),"00"))</f>
        <v/>
      </c>
      <c r="B1773" s="41">
        <f>IF($J1773="","",COUNTIFS(Roster!$D$4:$D$500,"Active",Roster!$C$4:$C$500,"&lt;="&amp;$J1773))</f>
        <v/>
      </c>
      <c r="C1773">
        <f>IF($J1773="","",SUMIFS('Hours Log'!$C:$C,'Hours Log'!$A:$A,"&gt;="&amp;$J1773,'Hours Log'!$A:$A,"&lt;"&amp;$J1773+7)+SUMIFS('Hours Log'!$D:$D,'Hours Log'!$A:$A,"&gt;="&amp;$J1773,'Hours Log'!$A:$A,"&lt;"&amp;$J1773+7))</f>
        <v/>
      </c>
      <c r="D1773">
        <f>IF($J1773="","",SUMIFS('Hours Log'!$D:$D,'Hours Log'!$A:$A,"&gt;="&amp;$J1773,'Hours Log'!$A:$A,"&lt;"&amp;$J1773+7))</f>
        <v/>
      </c>
      <c r="E1773">
        <f>IF($J1773="","",IFERROR(C1773/(B1773*40),0))</f>
        <v/>
      </c>
      <c r="F1773">
        <f>IF($J1773="","",0)</f>
        <v/>
      </c>
      <c r="G1773">
        <f>IF($J1773="","",SUMIFS('Hours Log'!$E:$E,'Hours Log'!$A:$A,"&gt;="&amp;$J1773,'Hours Log'!$A:$A,"&lt;"&amp;$J1773+7))</f>
        <v/>
      </c>
      <c r="J1773">
        <f>IF(COUNT('Hours Log'!$A$4:$A$5000)=0,"",IF(MIN('Hours Log'!$A$4:$A$5000)+7*(ROW()-10)&gt;MAX('Hours Log'!$A$4:$A$5000),"",MIN('Hours Log'!$A$4:$A$5000)+7*(ROW()-10)))</f>
        <v/>
      </c>
    </row>
    <row r="1774">
      <c r="A1774">
        <f>IF($J1774="","",YEAR($J1774-WEEKDAY($J1774,2)+4)&amp;"-W"&amp;TEXT(WEEKNUM($J1774,21),"00"))</f>
        <v/>
      </c>
      <c r="B1774" s="41">
        <f>IF($J1774="","",COUNTIFS(Roster!$D$4:$D$500,"Active",Roster!$C$4:$C$500,"&lt;="&amp;$J1774))</f>
        <v/>
      </c>
      <c r="C1774">
        <f>IF($J1774="","",SUMIFS('Hours Log'!$C:$C,'Hours Log'!$A:$A,"&gt;="&amp;$J1774,'Hours Log'!$A:$A,"&lt;"&amp;$J1774+7)+SUMIFS('Hours Log'!$D:$D,'Hours Log'!$A:$A,"&gt;="&amp;$J1774,'Hours Log'!$A:$A,"&lt;"&amp;$J1774+7))</f>
        <v/>
      </c>
      <c r="D1774">
        <f>IF($J1774="","",SUMIFS('Hours Log'!$D:$D,'Hours Log'!$A:$A,"&gt;="&amp;$J1774,'Hours Log'!$A:$A,"&lt;"&amp;$J1774+7))</f>
        <v/>
      </c>
      <c r="E1774">
        <f>IF($J1774="","",IFERROR(C1774/(B1774*40),0))</f>
        <v/>
      </c>
      <c r="F1774">
        <f>IF($J1774="","",0)</f>
        <v/>
      </c>
      <c r="G1774">
        <f>IF($J1774="","",SUMIFS('Hours Log'!$E:$E,'Hours Log'!$A:$A,"&gt;="&amp;$J1774,'Hours Log'!$A:$A,"&lt;"&amp;$J1774+7))</f>
        <v/>
      </c>
      <c r="J1774">
        <f>IF(COUNT('Hours Log'!$A$4:$A$5000)=0,"",IF(MIN('Hours Log'!$A$4:$A$5000)+7*(ROW()-10)&gt;MAX('Hours Log'!$A$4:$A$5000),"",MIN('Hours Log'!$A$4:$A$5000)+7*(ROW()-10)))</f>
        <v/>
      </c>
    </row>
    <row r="1775">
      <c r="A1775">
        <f>IF($J1775="","",YEAR($J1775-WEEKDAY($J1775,2)+4)&amp;"-W"&amp;TEXT(WEEKNUM($J1775,21),"00"))</f>
        <v/>
      </c>
      <c r="B1775" s="41">
        <f>IF($J1775="","",COUNTIFS(Roster!$D$4:$D$500,"Active",Roster!$C$4:$C$500,"&lt;="&amp;$J1775))</f>
        <v/>
      </c>
      <c r="C1775">
        <f>IF($J1775="","",SUMIFS('Hours Log'!$C:$C,'Hours Log'!$A:$A,"&gt;="&amp;$J1775,'Hours Log'!$A:$A,"&lt;"&amp;$J1775+7)+SUMIFS('Hours Log'!$D:$D,'Hours Log'!$A:$A,"&gt;="&amp;$J1775,'Hours Log'!$A:$A,"&lt;"&amp;$J1775+7))</f>
        <v/>
      </c>
      <c r="D1775">
        <f>IF($J1775="","",SUMIFS('Hours Log'!$D:$D,'Hours Log'!$A:$A,"&gt;="&amp;$J1775,'Hours Log'!$A:$A,"&lt;"&amp;$J1775+7))</f>
        <v/>
      </c>
      <c r="E1775">
        <f>IF($J1775="","",IFERROR(C1775/(B1775*40),0))</f>
        <v/>
      </c>
      <c r="F1775">
        <f>IF($J1775="","",0)</f>
        <v/>
      </c>
      <c r="G1775">
        <f>IF($J1775="","",SUMIFS('Hours Log'!$E:$E,'Hours Log'!$A:$A,"&gt;="&amp;$J1775,'Hours Log'!$A:$A,"&lt;"&amp;$J1775+7))</f>
        <v/>
      </c>
      <c r="J1775">
        <f>IF(COUNT('Hours Log'!$A$4:$A$5000)=0,"",IF(MIN('Hours Log'!$A$4:$A$5000)+7*(ROW()-10)&gt;MAX('Hours Log'!$A$4:$A$5000),"",MIN('Hours Log'!$A$4:$A$5000)+7*(ROW()-10)))</f>
        <v/>
      </c>
    </row>
    <row r="1776">
      <c r="A1776">
        <f>IF($J1776="","",YEAR($J1776-WEEKDAY($J1776,2)+4)&amp;"-W"&amp;TEXT(WEEKNUM($J1776,21),"00"))</f>
        <v/>
      </c>
      <c r="B1776" s="41">
        <f>IF($J1776="","",COUNTIFS(Roster!$D$4:$D$500,"Active",Roster!$C$4:$C$500,"&lt;="&amp;$J1776))</f>
        <v/>
      </c>
      <c r="C1776">
        <f>IF($J1776="","",SUMIFS('Hours Log'!$C:$C,'Hours Log'!$A:$A,"&gt;="&amp;$J1776,'Hours Log'!$A:$A,"&lt;"&amp;$J1776+7)+SUMIFS('Hours Log'!$D:$D,'Hours Log'!$A:$A,"&gt;="&amp;$J1776,'Hours Log'!$A:$A,"&lt;"&amp;$J1776+7))</f>
        <v/>
      </c>
      <c r="D1776">
        <f>IF($J1776="","",SUMIFS('Hours Log'!$D:$D,'Hours Log'!$A:$A,"&gt;="&amp;$J1776,'Hours Log'!$A:$A,"&lt;"&amp;$J1776+7))</f>
        <v/>
      </c>
      <c r="E1776">
        <f>IF($J1776="","",IFERROR(C1776/(B1776*40),0))</f>
        <v/>
      </c>
      <c r="F1776">
        <f>IF($J1776="","",0)</f>
        <v/>
      </c>
      <c r="G1776">
        <f>IF($J1776="","",SUMIFS('Hours Log'!$E:$E,'Hours Log'!$A:$A,"&gt;="&amp;$J1776,'Hours Log'!$A:$A,"&lt;"&amp;$J1776+7))</f>
        <v/>
      </c>
      <c r="J1776">
        <f>IF(COUNT('Hours Log'!$A$4:$A$5000)=0,"",IF(MIN('Hours Log'!$A$4:$A$5000)+7*(ROW()-10)&gt;MAX('Hours Log'!$A$4:$A$5000),"",MIN('Hours Log'!$A$4:$A$5000)+7*(ROW()-10)))</f>
        <v/>
      </c>
    </row>
    <row r="1777">
      <c r="A1777">
        <f>IF($J1777="","",YEAR($J1777-WEEKDAY($J1777,2)+4)&amp;"-W"&amp;TEXT(WEEKNUM($J1777,21),"00"))</f>
        <v/>
      </c>
      <c r="B1777" s="41">
        <f>IF($J1777="","",COUNTIFS(Roster!$D$4:$D$500,"Active",Roster!$C$4:$C$500,"&lt;="&amp;$J1777))</f>
        <v/>
      </c>
      <c r="C1777">
        <f>IF($J1777="","",SUMIFS('Hours Log'!$C:$C,'Hours Log'!$A:$A,"&gt;="&amp;$J1777,'Hours Log'!$A:$A,"&lt;"&amp;$J1777+7)+SUMIFS('Hours Log'!$D:$D,'Hours Log'!$A:$A,"&gt;="&amp;$J1777,'Hours Log'!$A:$A,"&lt;"&amp;$J1777+7))</f>
        <v/>
      </c>
      <c r="D1777">
        <f>IF($J1777="","",SUMIFS('Hours Log'!$D:$D,'Hours Log'!$A:$A,"&gt;="&amp;$J1777,'Hours Log'!$A:$A,"&lt;"&amp;$J1777+7))</f>
        <v/>
      </c>
      <c r="E1777">
        <f>IF($J1777="","",IFERROR(C1777/(B1777*40),0))</f>
        <v/>
      </c>
      <c r="F1777">
        <f>IF($J1777="","",0)</f>
        <v/>
      </c>
      <c r="G1777">
        <f>IF($J1777="","",SUMIFS('Hours Log'!$E:$E,'Hours Log'!$A:$A,"&gt;="&amp;$J1777,'Hours Log'!$A:$A,"&lt;"&amp;$J1777+7))</f>
        <v/>
      </c>
      <c r="J1777">
        <f>IF(COUNT('Hours Log'!$A$4:$A$5000)=0,"",IF(MIN('Hours Log'!$A$4:$A$5000)+7*(ROW()-10)&gt;MAX('Hours Log'!$A$4:$A$5000),"",MIN('Hours Log'!$A$4:$A$5000)+7*(ROW()-10)))</f>
        <v/>
      </c>
    </row>
    <row r="1778">
      <c r="A1778">
        <f>IF($J1778="","",YEAR($J1778-WEEKDAY($J1778,2)+4)&amp;"-W"&amp;TEXT(WEEKNUM($J1778,21),"00"))</f>
        <v/>
      </c>
      <c r="B1778" s="41">
        <f>IF($J1778="","",COUNTIFS(Roster!$D$4:$D$500,"Active",Roster!$C$4:$C$500,"&lt;="&amp;$J1778))</f>
        <v/>
      </c>
      <c r="C1778">
        <f>IF($J1778="","",SUMIFS('Hours Log'!$C:$C,'Hours Log'!$A:$A,"&gt;="&amp;$J1778,'Hours Log'!$A:$A,"&lt;"&amp;$J1778+7)+SUMIFS('Hours Log'!$D:$D,'Hours Log'!$A:$A,"&gt;="&amp;$J1778,'Hours Log'!$A:$A,"&lt;"&amp;$J1778+7))</f>
        <v/>
      </c>
      <c r="D1778">
        <f>IF($J1778="","",SUMIFS('Hours Log'!$D:$D,'Hours Log'!$A:$A,"&gt;="&amp;$J1778,'Hours Log'!$A:$A,"&lt;"&amp;$J1778+7))</f>
        <v/>
      </c>
      <c r="E1778">
        <f>IF($J1778="","",IFERROR(C1778/(B1778*40),0))</f>
        <v/>
      </c>
      <c r="F1778">
        <f>IF($J1778="","",0)</f>
        <v/>
      </c>
      <c r="G1778">
        <f>IF($J1778="","",SUMIFS('Hours Log'!$E:$E,'Hours Log'!$A:$A,"&gt;="&amp;$J1778,'Hours Log'!$A:$A,"&lt;"&amp;$J1778+7))</f>
        <v/>
      </c>
      <c r="J1778">
        <f>IF(COUNT('Hours Log'!$A$4:$A$5000)=0,"",IF(MIN('Hours Log'!$A$4:$A$5000)+7*(ROW()-10)&gt;MAX('Hours Log'!$A$4:$A$5000),"",MIN('Hours Log'!$A$4:$A$5000)+7*(ROW()-10)))</f>
        <v/>
      </c>
    </row>
    <row r="1779">
      <c r="A1779">
        <f>IF($J1779="","",YEAR($J1779-WEEKDAY($J1779,2)+4)&amp;"-W"&amp;TEXT(WEEKNUM($J1779,21),"00"))</f>
        <v/>
      </c>
      <c r="B1779" s="41">
        <f>IF($J1779="","",COUNTIFS(Roster!$D$4:$D$500,"Active",Roster!$C$4:$C$500,"&lt;="&amp;$J1779))</f>
        <v/>
      </c>
      <c r="C1779">
        <f>IF($J1779="","",SUMIFS('Hours Log'!$C:$C,'Hours Log'!$A:$A,"&gt;="&amp;$J1779,'Hours Log'!$A:$A,"&lt;"&amp;$J1779+7)+SUMIFS('Hours Log'!$D:$D,'Hours Log'!$A:$A,"&gt;="&amp;$J1779,'Hours Log'!$A:$A,"&lt;"&amp;$J1779+7))</f>
        <v/>
      </c>
      <c r="D1779">
        <f>IF($J1779="","",SUMIFS('Hours Log'!$D:$D,'Hours Log'!$A:$A,"&gt;="&amp;$J1779,'Hours Log'!$A:$A,"&lt;"&amp;$J1779+7))</f>
        <v/>
      </c>
      <c r="E1779">
        <f>IF($J1779="","",IFERROR(C1779/(B1779*40),0))</f>
        <v/>
      </c>
      <c r="F1779">
        <f>IF($J1779="","",0)</f>
        <v/>
      </c>
      <c r="G1779">
        <f>IF($J1779="","",SUMIFS('Hours Log'!$E:$E,'Hours Log'!$A:$A,"&gt;="&amp;$J1779,'Hours Log'!$A:$A,"&lt;"&amp;$J1779+7))</f>
        <v/>
      </c>
      <c r="J1779">
        <f>IF(COUNT('Hours Log'!$A$4:$A$5000)=0,"",IF(MIN('Hours Log'!$A$4:$A$5000)+7*(ROW()-10)&gt;MAX('Hours Log'!$A$4:$A$5000),"",MIN('Hours Log'!$A$4:$A$5000)+7*(ROW()-10)))</f>
        <v/>
      </c>
    </row>
    <row r="1780">
      <c r="A1780">
        <f>IF($J1780="","",YEAR($J1780-WEEKDAY($J1780,2)+4)&amp;"-W"&amp;TEXT(WEEKNUM($J1780,21),"00"))</f>
        <v/>
      </c>
      <c r="B1780" s="41">
        <f>IF($J1780="","",COUNTIFS(Roster!$D$4:$D$500,"Active",Roster!$C$4:$C$500,"&lt;="&amp;$J1780))</f>
        <v/>
      </c>
      <c r="C1780">
        <f>IF($J1780="","",SUMIFS('Hours Log'!$C:$C,'Hours Log'!$A:$A,"&gt;="&amp;$J1780,'Hours Log'!$A:$A,"&lt;"&amp;$J1780+7)+SUMIFS('Hours Log'!$D:$D,'Hours Log'!$A:$A,"&gt;="&amp;$J1780,'Hours Log'!$A:$A,"&lt;"&amp;$J1780+7))</f>
        <v/>
      </c>
      <c r="D1780">
        <f>IF($J1780="","",SUMIFS('Hours Log'!$D:$D,'Hours Log'!$A:$A,"&gt;="&amp;$J1780,'Hours Log'!$A:$A,"&lt;"&amp;$J1780+7))</f>
        <v/>
      </c>
      <c r="E1780">
        <f>IF($J1780="","",IFERROR(C1780/(B1780*40),0))</f>
        <v/>
      </c>
      <c r="F1780">
        <f>IF($J1780="","",0)</f>
        <v/>
      </c>
      <c r="G1780">
        <f>IF($J1780="","",SUMIFS('Hours Log'!$E:$E,'Hours Log'!$A:$A,"&gt;="&amp;$J1780,'Hours Log'!$A:$A,"&lt;"&amp;$J1780+7))</f>
        <v/>
      </c>
      <c r="J1780">
        <f>IF(COUNT('Hours Log'!$A$4:$A$5000)=0,"",IF(MIN('Hours Log'!$A$4:$A$5000)+7*(ROW()-10)&gt;MAX('Hours Log'!$A$4:$A$5000),"",MIN('Hours Log'!$A$4:$A$5000)+7*(ROW()-10)))</f>
        <v/>
      </c>
    </row>
    <row r="1781">
      <c r="A1781">
        <f>IF($J1781="","",YEAR($J1781-WEEKDAY($J1781,2)+4)&amp;"-W"&amp;TEXT(WEEKNUM($J1781,21),"00"))</f>
        <v/>
      </c>
      <c r="B1781" s="41">
        <f>IF($J1781="","",COUNTIFS(Roster!$D$4:$D$500,"Active",Roster!$C$4:$C$500,"&lt;="&amp;$J1781))</f>
        <v/>
      </c>
      <c r="C1781">
        <f>IF($J1781="","",SUMIFS('Hours Log'!$C:$C,'Hours Log'!$A:$A,"&gt;="&amp;$J1781,'Hours Log'!$A:$A,"&lt;"&amp;$J1781+7)+SUMIFS('Hours Log'!$D:$D,'Hours Log'!$A:$A,"&gt;="&amp;$J1781,'Hours Log'!$A:$A,"&lt;"&amp;$J1781+7))</f>
        <v/>
      </c>
      <c r="D1781">
        <f>IF($J1781="","",SUMIFS('Hours Log'!$D:$D,'Hours Log'!$A:$A,"&gt;="&amp;$J1781,'Hours Log'!$A:$A,"&lt;"&amp;$J1781+7))</f>
        <v/>
      </c>
      <c r="E1781">
        <f>IF($J1781="","",IFERROR(C1781/(B1781*40),0))</f>
        <v/>
      </c>
      <c r="F1781">
        <f>IF($J1781="","",0)</f>
        <v/>
      </c>
      <c r="G1781">
        <f>IF($J1781="","",SUMIFS('Hours Log'!$E:$E,'Hours Log'!$A:$A,"&gt;="&amp;$J1781,'Hours Log'!$A:$A,"&lt;"&amp;$J1781+7))</f>
        <v/>
      </c>
      <c r="J1781">
        <f>IF(COUNT('Hours Log'!$A$4:$A$5000)=0,"",IF(MIN('Hours Log'!$A$4:$A$5000)+7*(ROW()-10)&gt;MAX('Hours Log'!$A$4:$A$5000),"",MIN('Hours Log'!$A$4:$A$5000)+7*(ROW()-10)))</f>
        <v/>
      </c>
    </row>
    <row r="1782">
      <c r="A1782">
        <f>IF($J1782="","",YEAR($J1782-WEEKDAY($J1782,2)+4)&amp;"-W"&amp;TEXT(WEEKNUM($J1782,21),"00"))</f>
        <v/>
      </c>
      <c r="B1782" s="41">
        <f>IF($J1782="","",COUNTIFS(Roster!$D$4:$D$500,"Active",Roster!$C$4:$C$500,"&lt;="&amp;$J1782))</f>
        <v/>
      </c>
      <c r="C1782">
        <f>IF($J1782="","",SUMIFS('Hours Log'!$C:$C,'Hours Log'!$A:$A,"&gt;="&amp;$J1782,'Hours Log'!$A:$A,"&lt;"&amp;$J1782+7)+SUMIFS('Hours Log'!$D:$D,'Hours Log'!$A:$A,"&gt;="&amp;$J1782,'Hours Log'!$A:$A,"&lt;"&amp;$J1782+7))</f>
        <v/>
      </c>
      <c r="D1782">
        <f>IF($J1782="","",SUMIFS('Hours Log'!$D:$D,'Hours Log'!$A:$A,"&gt;="&amp;$J1782,'Hours Log'!$A:$A,"&lt;"&amp;$J1782+7))</f>
        <v/>
      </c>
      <c r="E1782">
        <f>IF($J1782="","",IFERROR(C1782/(B1782*40),0))</f>
        <v/>
      </c>
      <c r="F1782">
        <f>IF($J1782="","",0)</f>
        <v/>
      </c>
      <c r="G1782">
        <f>IF($J1782="","",SUMIFS('Hours Log'!$E:$E,'Hours Log'!$A:$A,"&gt;="&amp;$J1782,'Hours Log'!$A:$A,"&lt;"&amp;$J1782+7))</f>
        <v/>
      </c>
      <c r="J1782">
        <f>IF(COUNT('Hours Log'!$A$4:$A$5000)=0,"",IF(MIN('Hours Log'!$A$4:$A$5000)+7*(ROW()-10)&gt;MAX('Hours Log'!$A$4:$A$5000),"",MIN('Hours Log'!$A$4:$A$5000)+7*(ROW()-10)))</f>
        <v/>
      </c>
    </row>
    <row r="1783">
      <c r="A1783">
        <f>IF($J1783="","",YEAR($J1783-WEEKDAY($J1783,2)+4)&amp;"-W"&amp;TEXT(WEEKNUM($J1783,21),"00"))</f>
        <v/>
      </c>
      <c r="B1783" s="41">
        <f>IF($J1783="","",COUNTIFS(Roster!$D$4:$D$500,"Active",Roster!$C$4:$C$500,"&lt;="&amp;$J1783))</f>
        <v/>
      </c>
      <c r="C1783">
        <f>IF($J1783="","",SUMIFS('Hours Log'!$C:$C,'Hours Log'!$A:$A,"&gt;="&amp;$J1783,'Hours Log'!$A:$A,"&lt;"&amp;$J1783+7)+SUMIFS('Hours Log'!$D:$D,'Hours Log'!$A:$A,"&gt;="&amp;$J1783,'Hours Log'!$A:$A,"&lt;"&amp;$J1783+7))</f>
        <v/>
      </c>
      <c r="D1783">
        <f>IF($J1783="","",SUMIFS('Hours Log'!$D:$D,'Hours Log'!$A:$A,"&gt;="&amp;$J1783,'Hours Log'!$A:$A,"&lt;"&amp;$J1783+7))</f>
        <v/>
      </c>
      <c r="E1783">
        <f>IF($J1783="","",IFERROR(C1783/(B1783*40),0))</f>
        <v/>
      </c>
      <c r="F1783">
        <f>IF($J1783="","",0)</f>
        <v/>
      </c>
      <c r="G1783">
        <f>IF($J1783="","",SUMIFS('Hours Log'!$E:$E,'Hours Log'!$A:$A,"&gt;="&amp;$J1783,'Hours Log'!$A:$A,"&lt;"&amp;$J1783+7))</f>
        <v/>
      </c>
      <c r="J1783">
        <f>IF(COUNT('Hours Log'!$A$4:$A$5000)=0,"",IF(MIN('Hours Log'!$A$4:$A$5000)+7*(ROW()-10)&gt;MAX('Hours Log'!$A$4:$A$5000),"",MIN('Hours Log'!$A$4:$A$5000)+7*(ROW()-10)))</f>
        <v/>
      </c>
    </row>
    <row r="1784">
      <c r="A1784">
        <f>IF($J1784="","",YEAR($J1784-WEEKDAY($J1784,2)+4)&amp;"-W"&amp;TEXT(WEEKNUM($J1784,21),"00"))</f>
        <v/>
      </c>
      <c r="B1784" s="41">
        <f>IF($J1784="","",COUNTIFS(Roster!$D$4:$D$500,"Active",Roster!$C$4:$C$500,"&lt;="&amp;$J1784))</f>
        <v/>
      </c>
      <c r="C1784">
        <f>IF($J1784="","",SUMIFS('Hours Log'!$C:$C,'Hours Log'!$A:$A,"&gt;="&amp;$J1784,'Hours Log'!$A:$A,"&lt;"&amp;$J1784+7)+SUMIFS('Hours Log'!$D:$D,'Hours Log'!$A:$A,"&gt;="&amp;$J1784,'Hours Log'!$A:$A,"&lt;"&amp;$J1784+7))</f>
        <v/>
      </c>
      <c r="D1784">
        <f>IF($J1784="","",SUMIFS('Hours Log'!$D:$D,'Hours Log'!$A:$A,"&gt;="&amp;$J1784,'Hours Log'!$A:$A,"&lt;"&amp;$J1784+7))</f>
        <v/>
      </c>
      <c r="E1784">
        <f>IF($J1784="","",IFERROR(C1784/(B1784*40),0))</f>
        <v/>
      </c>
      <c r="F1784">
        <f>IF($J1784="","",0)</f>
        <v/>
      </c>
      <c r="G1784">
        <f>IF($J1784="","",SUMIFS('Hours Log'!$E:$E,'Hours Log'!$A:$A,"&gt;="&amp;$J1784,'Hours Log'!$A:$A,"&lt;"&amp;$J1784+7))</f>
        <v/>
      </c>
      <c r="J1784">
        <f>IF(COUNT('Hours Log'!$A$4:$A$5000)=0,"",IF(MIN('Hours Log'!$A$4:$A$5000)+7*(ROW()-10)&gt;MAX('Hours Log'!$A$4:$A$5000),"",MIN('Hours Log'!$A$4:$A$5000)+7*(ROW()-10)))</f>
        <v/>
      </c>
    </row>
    <row r="1785">
      <c r="A1785">
        <f>IF($J1785="","",YEAR($J1785-WEEKDAY($J1785,2)+4)&amp;"-W"&amp;TEXT(WEEKNUM($J1785,21),"00"))</f>
        <v/>
      </c>
      <c r="B1785" s="41">
        <f>IF($J1785="","",COUNTIFS(Roster!$D$4:$D$500,"Active",Roster!$C$4:$C$500,"&lt;="&amp;$J1785))</f>
        <v/>
      </c>
      <c r="C1785">
        <f>IF($J1785="","",SUMIFS('Hours Log'!$C:$C,'Hours Log'!$A:$A,"&gt;="&amp;$J1785,'Hours Log'!$A:$A,"&lt;"&amp;$J1785+7)+SUMIFS('Hours Log'!$D:$D,'Hours Log'!$A:$A,"&gt;="&amp;$J1785,'Hours Log'!$A:$A,"&lt;"&amp;$J1785+7))</f>
        <v/>
      </c>
      <c r="D1785">
        <f>IF($J1785="","",SUMIFS('Hours Log'!$D:$D,'Hours Log'!$A:$A,"&gt;="&amp;$J1785,'Hours Log'!$A:$A,"&lt;"&amp;$J1785+7))</f>
        <v/>
      </c>
      <c r="E1785">
        <f>IF($J1785="","",IFERROR(C1785/(B1785*40),0))</f>
        <v/>
      </c>
      <c r="F1785">
        <f>IF($J1785="","",0)</f>
        <v/>
      </c>
      <c r="G1785">
        <f>IF($J1785="","",SUMIFS('Hours Log'!$E:$E,'Hours Log'!$A:$A,"&gt;="&amp;$J1785,'Hours Log'!$A:$A,"&lt;"&amp;$J1785+7))</f>
        <v/>
      </c>
      <c r="J1785">
        <f>IF(COUNT('Hours Log'!$A$4:$A$5000)=0,"",IF(MIN('Hours Log'!$A$4:$A$5000)+7*(ROW()-10)&gt;MAX('Hours Log'!$A$4:$A$5000),"",MIN('Hours Log'!$A$4:$A$5000)+7*(ROW()-10)))</f>
        <v/>
      </c>
    </row>
    <row r="1786">
      <c r="A1786">
        <f>IF($J1786="","",YEAR($J1786-WEEKDAY($J1786,2)+4)&amp;"-W"&amp;TEXT(WEEKNUM($J1786,21),"00"))</f>
        <v/>
      </c>
      <c r="B1786" s="41">
        <f>IF($J1786="","",COUNTIFS(Roster!$D$4:$D$500,"Active",Roster!$C$4:$C$500,"&lt;="&amp;$J1786))</f>
        <v/>
      </c>
      <c r="C1786">
        <f>IF($J1786="","",SUMIFS('Hours Log'!$C:$C,'Hours Log'!$A:$A,"&gt;="&amp;$J1786,'Hours Log'!$A:$A,"&lt;"&amp;$J1786+7)+SUMIFS('Hours Log'!$D:$D,'Hours Log'!$A:$A,"&gt;="&amp;$J1786,'Hours Log'!$A:$A,"&lt;"&amp;$J1786+7))</f>
        <v/>
      </c>
      <c r="D1786">
        <f>IF($J1786="","",SUMIFS('Hours Log'!$D:$D,'Hours Log'!$A:$A,"&gt;="&amp;$J1786,'Hours Log'!$A:$A,"&lt;"&amp;$J1786+7))</f>
        <v/>
      </c>
      <c r="E1786">
        <f>IF($J1786="","",IFERROR(C1786/(B1786*40),0))</f>
        <v/>
      </c>
      <c r="F1786">
        <f>IF($J1786="","",0)</f>
        <v/>
      </c>
      <c r="G1786">
        <f>IF($J1786="","",SUMIFS('Hours Log'!$E:$E,'Hours Log'!$A:$A,"&gt;="&amp;$J1786,'Hours Log'!$A:$A,"&lt;"&amp;$J1786+7))</f>
        <v/>
      </c>
      <c r="J1786">
        <f>IF(COUNT('Hours Log'!$A$4:$A$5000)=0,"",IF(MIN('Hours Log'!$A$4:$A$5000)+7*(ROW()-10)&gt;MAX('Hours Log'!$A$4:$A$5000),"",MIN('Hours Log'!$A$4:$A$5000)+7*(ROW()-10)))</f>
        <v/>
      </c>
    </row>
    <row r="1787">
      <c r="A1787">
        <f>IF($J1787="","",YEAR($J1787-WEEKDAY($J1787,2)+4)&amp;"-W"&amp;TEXT(WEEKNUM($J1787,21),"00"))</f>
        <v/>
      </c>
      <c r="B1787" s="41">
        <f>IF($J1787="","",COUNTIFS(Roster!$D$4:$D$500,"Active",Roster!$C$4:$C$500,"&lt;="&amp;$J1787))</f>
        <v/>
      </c>
      <c r="C1787">
        <f>IF($J1787="","",SUMIFS('Hours Log'!$C:$C,'Hours Log'!$A:$A,"&gt;="&amp;$J1787,'Hours Log'!$A:$A,"&lt;"&amp;$J1787+7)+SUMIFS('Hours Log'!$D:$D,'Hours Log'!$A:$A,"&gt;="&amp;$J1787,'Hours Log'!$A:$A,"&lt;"&amp;$J1787+7))</f>
        <v/>
      </c>
      <c r="D1787">
        <f>IF($J1787="","",SUMIFS('Hours Log'!$D:$D,'Hours Log'!$A:$A,"&gt;="&amp;$J1787,'Hours Log'!$A:$A,"&lt;"&amp;$J1787+7))</f>
        <v/>
      </c>
      <c r="E1787">
        <f>IF($J1787="","",IFERROR(C1787/(B1787*40),0))</f>
        <v/>
      </c>
      <c r="F1787">
        <f>IF($J1787="","",0)</f>
        <v/>
      </c>
      <c r="G1787">
        <f>IF($J1787="","",SUMIFS('Hours Log'!$E:$E,'Hours Log'!$A:$A,"&gt;="&amp;$J1787,'Hours Log'!$A:$A,"&lt;"&amp;$J1787+7))</f>
        <v/>
      </c>
      <c r="J1787">
        <f>IF(COUNT('Hours Log'!$A$4:$A$5000)=0,"",IF(MIN('Hours Log'!$A$4:$A$5000)+7*(ROW()-10)&gt;MAX('Hours Log'!$A$4:$A$5000),"",MIN('Hours Log'!$A$4:$A$5000)+7*(ROW()-10)))</f>
        <v/>
      </c>
    </row>
    <row r="1788">
      <c r="A1788">
        <f>IF($J1788="","",YEAR($J1788-WEEKDAY($J1788,2)+4)&amp;"-W"&amp;TEXT(WEEKNUM($J1788,21),"00"))</f>
        <v/>
      </c>
      <c r="B1788" s="41">
        <f>IF($J1788="","",COUNTIFS(Roster!$D$4:$D$500,"Active",Roster!$C$4:$C$500,"&lt;="&amp;$J1788))</f>
        <v/>
      </c>
      <c r="C1788">
        <f>IF($J1788="","",SUMIFS('Hours Log'!$C:$C,'Hours Log'!$A:$A,"&gt;="&amp;$J1788,'Hours Log'!$A:$A,"&lt;"&amp;$J1788+7)+SUMIFS('Hours Log'!$D:$D,'Hours Log'!$A:$A,"&gt;="&amp;$J1788,'Hours Log'!$A:$A,"&lt;"&amp;$J1788+7))</f>
        <v/>
      </c>
      <c r="D1788">
        <f>IF($J1788="","",SUMIFS('Hours Log'!$D:$D,'Hours Log'!$A:$A,"&gt;="&amp;$J1788,'Hours Log'!$A:$A,"&lt;"&amp;$J1788+7))</f>
        <v/>
      </c>
      <c r="E1788">
        <f>IF($J1788="","",IFERROR(C1788/(B1788*40),0))</f>
        <v/>
      </c>
      <c r="F1788">
        <f>IF($J1788="","",0)</f>
        <v/>
      </c>
      <c r="G1788">
        <f>IF($J1788="","",SUMIFS('Hours Log'!$E:$E,'Hours Log'!$A:$A,"&gt;="&amp;$J1788,'Hours Log'!$A:$A,"&lt;"&amp;$J1788+7))</f>
        <v/>
      </c>
      <c r="J1788">
        <f>IF(COUNT('Hours Log'!$A$4:$A$5000)=0,"",IF(MIN('Hours Log'!$A$4:$A$5000)+7*(ROW()-10)&gt;MAX('Hours Log'!$A$4:$A$5000),"",MIN('Hours Log'!$A$4:$A$5000)+7*(ROW()-10)))</f>
        <v/>
      </c>
    </row>
    <row r="1789">
      <c r="A1789">
        <f>IF($J1789="","",YEAR($J1789-WEEKDAY($J1789,2)+4)&amp;"-W"&amp;TEXT(WEEKNUM($J1789,21),"00"))</f>
        <v/>
      </c>
      <c r="B1789" s="41">
        <f>IF($J1789="","",COUNTIFS(Roster!$D$4:$D$500,"Active",Roster!$C$4:$C$500,"&lt;="&amp;$J1789))</f>
        <v/>
      </c>
      <c r="C1789">
        <f>IF($J1789="","",SUMIFS('Hours Log'!$C:$C,'Hours Log'!$A:$A,"&gt;="&amp;$J1789,'Hours Log'!$A:$A,"&lt;"&amp;$J1789+7)+SUMIFS('Hours Log'!$D:$D,'Hours Log'!$A:$A,"&gt;="&amp;$J1789,'Hours Log'!$A:$A,"&lt;"&amp;$J1789+7))</f>
        <v/>
      </c>
      <c r="D1789">
        <f>IF($J1789="","",SUMIFS('Hours Log'!$D:$D,'Hours Log'!$A:$A,"&gt;="&amp;$J1789,'Hours Log'!$A:$A,"&lt;"&amp;$J1789+7))</f>
        <v/>
      </c>
      <c r="E1789">
        <f>IF($J1789="","",IFERROR(C1789/(B1789*40),0))</f>
        <v/>
      </c>
      <c r="F1789">
        <f>IF($J1789="","",0)</f>
        <v/>
      </c>
      <c r="G1789">
        <f>IF($J1789="","",SUMIFS('Hours Log'!$E:$E,'Hours Log'!$A:$A,"&gt;="&amp;$J1789,'Hours Log'!$A:$A,"&lt;"&amp;$J1789+7))</f>
        <v/>
      </c>
      <c r="J1789">
        <f>IF(COUNT('Hours Log'!$A$4:$A$5000)=0,"",IF(MIN('Hours Log'!$A$4:$A$5000)+7*(ROW()-10)&gt;MAX('Hours Log'!$A$4:$A$5000),"",MIN('Hours Log'!$A$4:$A$5000)+7*(ROW()-10)))</f>
        <v/>
      </c>
    </row>
    <row r="1790">
      <c r="A1790">
        <f>IF($J1790="","",YEAR($J1790-WEEKDAY($J1790,2)+4)&amp;"-W"&amp;TEXT(WEEKNUM($J1790,21),"00"))</f>
        <v/>
      </c>
      <c r="B1790" s="41">
        <f>IF($J1790="","",COUNTIFS(Roster!$D$4:$D$500,"Active",Roster!$C$4:$C$500,"&lt;="&amp;$J1790))</f>
        <v/>
      </c>
      <c r="C1790">
        <f>IF($J1790="","",SUMIFS('Hours Log'!$C:$C,'Hours Log'!$A:$A,"&gt;="&amp;$J1790,'Hours Log'!$A:$A,"&lt;"&amp;$J1790+7)+SUMIFS('Hours Log'!$D:$D,'Hours Log'!$A:$A,"&gt;="&amp;$J1790,'Hours Log'!$A:$A,"&lt;"&amp;$J1790+7))</f>
        <v/>
      </c>
      <c r="D1790">
        <f>IF($J1790="","",SUMIFS('Hours Log'!$D:$D,'Hours Log'!$A:$A,"&gt;="&amp;$J1790,'Hours Log'!$A:$A,"&lt;"&amp;$J1790+7))</f>
        <v/>
      </c>
      <c r="E1790">
        <f>IF($J1790="","",IFERROR(C1790/(B1790*40),0))</f>
        <v/>
      </c>
      <c r="F1790">
        <f>IF($J1790="","",0)</f>
        <v/>
      </c>
      <c r="G1790">
        <f>IF($J1790="","",SUMIFS('Hours Log'!$E:$E,'Hours Log'!$A:$A,"&gt;="&amp;$J1790,'Hours Log'!$A:$A,"&lt;"&amp;$J1790+7))</f>
        <v/>
      </c>
      <c r="J1790">
        <f>IF(COUNT('Hours Log'!$A$4:$A$5000)=0,"",IF(MIN('Hours Log'!$A$4:$A$5000)+7*(ROW()-10)&gt;MAX('Hours Log'!$A$4:$A$5000),"",MIN('Hours Log'!$A$4:$A$5000)+7*(ROW()-10)))</f>
        <v/>
      </c>
    </row>
    <row r="1791">
      <c r="A1791">
        <f>IF($J1791="","",YEAR($J1791-WEEKDAY($J1791,2)+4)&amp;"-W"&amp;TEXT(WEEKNUM($J1791,21),"00"))</f>
        <v/>
      </c>
      <c r="B1791" s="41">
        <f>IF($J1791="","",COUNTIFS(Roster!$D$4:$D$500,"Active",Roster!$C$4:$C$500,"&lt;="&amp;$J1791))</f>
        <v/>
      </c>
      <c r="C1791">
        <f>IF($J1791="","",SUMIFS('Hours Log'!$C:$C,'Hours Log'!$A:$A,"&gt;="&amp;$J1791,'Hours Log'!$A:$A,"&lt;"&amp;$J1791+7)+SUMIFS('Hours Log'!$D:$D,'Hours Log'!$A:$A,"&gt;="&amp;$J1791,'Hours Log'!$A:$A,"&lt;"&amp;$J1791+7))</f>
        <v/>
      </c>
      <c r="D1791">
        <f>IF($J1791="","",SUMIFS('Hours Log'!$D:$D,'Hours Log'!$A:$A,"&gt;="&amp;$J1791,'Hours Log'!$A:$A,"&lt;"&amp;$J1791+7))</f>
        <v/>
      </c>
      <c r="E1791">
        <f>IF($J1791="","",IFERROR(C1791/(B1791*40),0))</f>
        <v/>
      </c>
      <c r="F1791">
        <f>IF($J1791="","",0)</f>
        <v/>
      </c>
      <c r="G1791">
        <f>IF($J1791="","",SUMIFS('Hours Log'!$E:$E,'Hours Log'!$A:$A,"&gt;="&amp;$J1791,'Hours Log'!$A:$A,"&lt;"&amp;$J1791+7))</f>
        <v/>
      </c>
      <c r="J1791">
        <f>IF(COUNT('Hours Log'!$A$4:$A$5000)=0,"",IF(MIN('Hours Log'!$A$4:$A$5000)+7*(ROW()-10)&gt;MAX('Hours Log'!$A$4:$A$5000),"",MIN('Hours Log'!$A$4:$A$5000)+7*(ROW()-10)))</f>
        <v/>
      </c>
    </row>
    <row r="1792">
      <c r="A1792">
        <f>IF($J1792="","",YEAR($J1792-WEEKDAY($J1792,2)+4)&amp;"-W"&amp;TEXT(WEEKNUM($J1792,21),"00"))</f>
        <v/>
      </c>
      <c r="B1792" s="41">
        <f>IF($J1792="","",COUNTIFS(Roster!$D$4:$D$500,"Active",Roster!$C$4:$C$500,"&lt;="&amp;$J1792))</f>
        <v/>
      </c>
      <c r="C1792">
        <f>IF($J1792="","",SUMIFS('Hours Log'!$C:$C,'Hours Log'!$A:$A,"&gt;="&amp;$J1792,'Hours Log'!$A:$A,"&lt;"&amp;$J1792+7)+SUMIFS('Hours Log'!$D:$D,'Hours Log'!$A:$A,"&gt;="&amp;$J1792,'Hours Log'!$A:$A,"&lt;"&amp;$J1792+7))</f>
        <v/>
      </c>
      <c r="D1792">
        <f>IF($J1792="","",SUMIFS('Hours Log'!$D:$D,'Hours Log'!$A:$A,"&gt;="&amp;$J1792,'Hours Log'!$A:$A,"&lt;"&amp;$J1792+7))</f>
        <v/>
      </c>
      <c r="E1792">
        <f>IF($J1792="","",IFERROR(C1792/(B1792*40),0))</f>
        <v/>
      </c>
      <c r="F1792">
        <f>IF($J1792="","",0)</f>
        <v/>
      </c>
      <c r="G1792">
        <f>IF($J1792="","",SUMIFS('Hours Log'!$E:$E,'Hours Log'!$A:$A,"&gt;="&amp;$J1792,'Hours Log'!$A:$A,"&lt;"&amp;$J1792+7))</f>
        <v/>
      </c>
      <c r="J1792">
        <f>IF(COUNT('Hours Log'!$A$4:$A$5000)=0,"",IF(MIN('Hours Log'!$A$4:$A$5000)+7*(ROW()-10)&gt;MAX('Hours Log'!$A$4:$A$5000),"",MIN('Hours Log'!$A$4:$A$5000)+7*(ROW()-10)))</f>
        <v/>
      </c>
    </row>
    <row r="1793">
      <c r="A1793">
        <f>IF($J1793="","",YEAR($J1793-WEEKDAY($J1793,2)+4)&amp;"-W"&amp;TEXT(WEEKNUM($J1793,21),"00"))</f>
        <v/>
      </c>
      <c r="B1793" s="41">
        <f>IF($J1793="","",COUNTIFS(Roster!$D$4:$D$500,"Active",Roster!$C$4:$C$500,"&lt;="&amp;$J1793))</f>
        <v/>
      </c>
      <c r="C1793">
        <f>IF($J1793="","",SUMIFS('Hours Log'!$C:$C,'Hours Log'!$A:$A,"&gt;="&amp;$J1793,'Hours Log'!$A:$A,"&lt;"&amp;$J1793+7)+SUMIFS('Hours Log'!$D:$D,'Hours Log'!$A:$A,"&gt;="&amp;$J1793,'Hours Log'!$A:$A,"&lt;"&amp;$J1793+7))</f>
        <v/>
      </c>
      <c r="D1793">
        <f>IF($J1793="","",SUMIFS('Hours Log'!$D:$D,'Hours Log'!$A:$A,"&gt;="&amp;$J1793,'Hours Log'!$A:$A,"&lt;"&amp;$J1793+7))</f>
        <v/>
      </c>
      <c r="E1793">
        <f>IF($J1793="","",IFERROR(C1793/(B1793*40),0))</f>
        <v/>
      </c>
      <c r="F1793">
        <f>IF($J1793="","",0)</f>
        <v/>
      </c>
      <c r="G1793">
        <f>IF($J1793="","",SUMIFS('Hours Log'!$E:$E,'Hours Log'!$A:$A,"&gt;="&amp;$J1793,'Hours Log'!$A:$A,"&lt;"&amp;$J1793+7))</f>
        <v/>
      </c>
      <c r="J1793">
        <f>IF(COUNT('Hours Log'!$A$4:$A$5000)=0,"",IF(MIN('Hours Log'!$A$4:$A$5000)+7*(ROW()-10)&gt;MAX('Hours Log'!$A$4:$A$5000),"",MIN('Hours Log'!$A$4:$A$5000)+7*(ROW()-10)))</f>
        <v/>
      </c>
    </row>
    <row r="1794">
      <c r="A1794">
        <f>IF($J1794="","",YEAR($J1794-WEEKDAY($J1794,2)+4)&amp;"-W"&amp;TEXT(WEEKNUM($J1794,21),"00"))</f>
        <v/>
      </c>
      <c r="B1794" s="41">
        <f>IF($J1794="","",COUNTIFS(Roster!$D$4:$D$500,"Active",Roster!$C$4:$C$500,"&lt;="&amp;$J1794))</f>
        <v/>
      </c>
      <c r="C1794">
        <f>IF($J1794="","",SUMIFS('Hours Log'!$C:$C,'Hours Log'!$A:$A,"&gt;="&amp;$J1794,'Hours Log'!$A:$A,"&lt;"&amp;$J1794+7)+SUMIFS('Hours Log'!$D:$D,'Hours Log'!$A:$A,"&gt;="&amp;$J1794,'Hours Log'!$A:$A,"&lt;"&amp;$J1794+7))</f>
        <v/>
      </c>
      <c r="D1794">
        <f>IF($J1794="","",SUMIFS('Hours Log'!$D:$D,'Hours Log'!$A:$A,"&gt;="&amp;$J1794,'Hours Log'!$A:$A,"&lt;"&amp;$J1794+7))</f>
        <v/>
      </c>
      <c r="E1794">
        <f>IF($J1794="","",IFERROR(C1794/(B1794*40),0))</f>
        <v/>
      </c>
      <c r="F1794">
        <f>IF($J1794="","",0)</f>
        <v/>
      </c>
      <c r="G1794">
        <f>IF($J1794="","",SUMIFS('Hours Log'!$E:$E,'Hours Log'!$A:$A,"&gt;="&amp;$J1794,'Hours Log'!$A:$A,"&lt;"&amp;$J1794+7))</f>
        <v/>
      </c>
      <c r="J1794">
        <f>IF(COUNT('Hours Log'!$A$4:$A$5000)=0,"",IF(MIN('Hours Log'!$A$4:$A$5000)+7*(ROW()-10)&gt;MAX('Hours Log'!$A$4:$A$5000),"",MIN('Hours Log'!$A$4:$A$5000)+7*(ROW()-10)))</f>
        <v/>
      </c>
    </row>
    <row r="1795">
      <c r="A1795">
        <f>IF($J1795="","",YEAR($J1795-WEEKDAY($J1795,2)+4)&amp;"-W"&amp;TEXT(WEEKNUM($J1795,21),"00"))</f>
        <v/>
      </c>
      <c r="B1795" s="41">
        <f>IF($J1795="","",COUNTIFS(Roster!$D$4:$D$500,"Active",Roster!$C$4:$C$500,"&lt;="&amp;$J1795))</f>
        <v/>
      </c>
      <c r="C1795">
        <f>IF($J1795="","",SUMIFS('Hours Log'!$C:$C,'Hours Log'!$A:$A,"&gt;="&amp;$J1795,'Hours Log'!$A:$A,"&lt;"&amp;$J1795+7)+SUMIFS('Hours Log'!$D:$D,'Hours Log'!$A:$A,"&gt;="&amp;$J1795,'Hours Log'!$A:$A,"&lt;"&amp;$J1795+7))</f>
        <v/>
      </c>
      <c r="D1795">
        <f>IF($J1795="","",SUMIFS('Hours Log'!$D:$D,'Hours Log'!$A:$A,"&gt;="&amp;$J1795,'Hours Log'!$A:$A,"&lt;"&amp;$J1795+7))</f>
        <v/>
      </c>
      <c r="E1795">
        <f>IF($J1795="","",IFERROR(C1795/(B1795*40),0))</f>
        <v/>
      </c>
      <c r="F1795">
        <f>IF($J1795="","",0)</f>
        <v/>
      </c>
      <c r="G1795">
        <f>IF($J1795="","",SUMIFS('Hours Log'!$E:$E,'Hours Log'!$A:$A,"&gt;="&amp;$J1795,'Hours Log'!$A:$A,"&lt;"&amp;$J1795+7))</f>
        <v/>
      </c>
      <c r="J1795">
        <f>IF(COUNT('Hours Log'!$A$4:$A$5000)=0,"",IF(MIN('Hours Log'!$A$4:$A$5000)+7*(ROW()-10)&gt;MAX('Hours Log'!$A$4:$A$5000),"",MIN('Hours Log'!$A$4:$A$5000)+7*(ROW()-10)))</f>
        <v/>
      </c>
    </row>
    <row r="1796">
      <c r="A1796">
        <f>IF($J1796="","",YEAR($J1796-WEEKDAY($J1796,2)+4)&amp;"-W"&amp;TEXT(WEEKNUM($J1796,21),"00"))</f>
        <v/>
      </c>
      <c r="B1796" s="41">
        <f>IF($J1796="","",COUNTIFS(Roster!$D$4:$D$500,"Active",Roster!$C$4:$C$500,"&lt;="&amp;$J1796))</f>
        <v/>
      </c>
      <c r="C1796">
        <f>IF($J1796="","",SUMIFS('Hours Log'!$C:$C,'Hours Log'!$A:$A,"&gt;="&amp;$J1796,'Hours Log'!$A:$A,"&lt;"&amp;$J1796+7)+SUMIFS('Hours Log'!$D:$D,'Hours Log'!$A:$A,"&gt;="&amp;$J1796,'Hours Log'!$A:$A,"&lt;"&amp;$J1796+7))</f>
        <v/>
      </c>
      <c r="D1796">
        <f>IF($J1796="","",SUMIFS('Hours Log'!$D:$D,'Hours Log'!$A:$A,"&gt;="&amp;$J1796,'Hours Log'!$A:$A,"&lt;"&amp;$J1796+7))</f>
        <v/>
      </c>
      <c r="E1796">
        <f>IF($J1796="","",IFERROR(C1796/(B1796*40),0))</f>
        <v/>
      </c>
      <c r="F1796">
        <f>IF($J1796="","",0)</f>
        <v/>
      </c>
      <c r="G1796">
        <f>IF($J1796="","",SUMIFS('Hours Log'!$E:$E,'Hours Log'!$A:$A,"&gt;="&amp;$J1796,'Hours Log'!$A:$A,"&lt;"&amp;$J1796+7))</f>
        <v/>
      </c>
      <c r="J1796">
        <f>IF(COUNT('Hours Log'!$A$4:$A$5000)=0,"",IF(MIN('Hours Log'!$A$4:$A$5000)+7*(ROW()-10)&gt;MAX('Hours Log'!$A$4:$A$5000),"",MIN('Hours Log'!$A$4:$A$5000)+7*(ROW()-10)))</f>
        <v/>
      </c>
    </row>
    <row r="1797">
      <c r="A1797">
        <f>IF($J1797="","",YEAR($J1797-WEEKDAY($J1797,2)+4)&amp;"-W"&amp;TEXT(WEEKNUM($J1797,21),"00"))</f>
        <v/>
      </c>
      <c r="B1797" s="41">
        <f>IF($J1797="","",COUNTIFS(Roster!$D$4:$D$500,"Active",Roster!$C$4:$C$500,"&lt;="&amp;$J1797))</f>
        <v/>
      </c>
      <c r="C1797">
        <f>IF($J1797="","",SUMIFS('Hours Log'!$C:$C,'Hours Log'!$A:$A,"&gt;="&amp;$J1797,'Hours Log'!$A:$A,"&lt;"&amp;$J1797+7)+SUMIFS('Hours Log'!$D:$D,'Hours Log'!$A:$A,"&gt;="&amp;$J1797,'Hours Log'!$A:$A,"&lt;"&amp;$J1797+7))</f>
        <v/>
      </c>
      <c r="D1797">
        <f>IF($J1797="","",SUMIFS('Hours Log'!$D:$D,'Hours Log'!$A:$A,"&gt;="&amp;$J1797,'Hours Log'!$A:$A,"&lt;"&amp;$J1797+7))</f>
        <v/>
      </c>
      <c r="E1797">
        <f>IF($J1797="","",IFERROR(C1797/(B1797*40),0))</f>
        <v/>
      </c>
      <c r="F1797">
        <f>IF($J1797="","",0)</f>
        <v/>
      </c>
      <c r="G1797">
        <f>IF($J1797="","",SUMIFS('Hours Log'!$E:$E,'Hours Log'!$A:$A,"&gt;="&amp;$J1797,'Hours Log'!$A:$A,"&lt;"&amp;$J1797+7))</f>
        <v/>
      </c>
      <c r="J1797">
        <f>IF(COUNT('Hours Log'!$A$4:$A$5000)=0,"",IF(MIN('Hours Log'!$A$4:$A$5000)+7*(ROW()-10)&gt;MAX('Hours Log'!$A$4:$A$5000),"",MIN('Hours Log'!$A$4:$A$5000)+7*(ROW()-10)))</f>
        <v/>
      </c>
    </row>
    <row r="1798">
      <c r="A1798">
        <f>IF($J1798="","",YEAR($J1798-WEEKDAY($J1798,2)+4)&amp;"-W"&amp;TEXT(WEEKNUM($J1798,21),"00"))</f>
        <v/>
      </c>
      <c r="B1798" s="41">
        <f>IF($J1798="","",COUNTIFS(Roster!$D$4:$D$500,"Active",Roster!$C$4:$C$500,"&lt;="&amp;$J1798))</f>
        <v/>
      </c>
      <c r="C1798">
        <f>IF($J1798="","",SUMIFS('Hours Log'!$C:$C,'Hours Log'!$A:$A,"&gt;="&amp;$J1798,'Hours Log'!$A:$A,"&lt;"&amp;$J1798+7)+SUMIFS('Hours Log'!$D:$D,'Hours Log'!$A:$A,"&gt;="&amp;$J1798,'Hours Log'!$A:$A,"&lt;"&amp;$J1798+7))</f>
        <v/>
      </c>
      <c r="D1798">
        <f>IF($J1798="","",SUMIFS('Hours Log'!$D:$D,'Hours Log'!$A:$A,"&gt;="&amp;$J1798,'Hours Log'!$A:$A,"&lt;"&amp;$J1798+7))</f>
        <v/>
      </c>
      <c r="E1798">
        <f>IF($J1798="","",IFERROR(C1798/(B1798*40),0))</f>
        <v/>
      </c>
      <c r="F1798">
        <f>IF($J1798="","",0)</f>
        <v/>
      </c>
      <c r="G1798">
        <f>IF($J1798="","",SUMIFS('Hours Log'!$E:$E,'Hours Log'!$A:$A,"&gt;="&amp;$J1798,'Hours Log'!$A:$A,"&lt;"&amp;$J1798+7))</f>
        <v/>
      </c>
      <c r="J1798">
        <f>IF(COUNT('Hours Log'!$A$4:$A$5000)=0,"",IF(MIN('Hours Log'!$A$4:$A$5000)+7*(ROW()-10)&gt;MAX('Hours Log'!$A$4:$A$5000),"",MIN('Hours Log'!$A$4:$A$5000)+7*(ROW()-10)))</f>
        <v/>
      </c>
    </row>
    <row r="1799">
      <c r="A1799">
        <f>IF($J1799="","",YEAR($J1799-WEEKDAY($J1799,2)+4)&amp;"-W"&amp;TEXT(WEEKNUM($J1799,21),"00"))</f>
        <v/>
      </c>
      <c r="B1799" s="41">
        <f>IF($J1799="","",COUNTIFS(Roster!$D$4:$D$500,"Active",Roster!$C$4:$C$500,"&lt;="&amp;$J1799))</f>
        <v/>
      </c>
      <c r="C1799">
        <f>IF($J1799="","",SUMIFS('Hours Log'!$C:$C,'Hours Log'!$A:$A,"&gt;="&amp;$J1799,'Hours Log'!$A:$A,"&lt;"&amp;$J1799+7)+SUMIFS('Hours Log'!$D:$D,'Hours Log'!$A:$A,"&gt;="&amp;$J1799,'Hours Log'!$A:$A,"&lt;"&amp;$J1799+7))</f>
        <v/>
      </c>
      <c r="D1799">
        <f>IF($J1799="","",SUMIFS('Hours Log'!$D:$D,'Hours Log'!$A:$A,"&gt;="&amp;$J1799,'Hours Log'!$A:$A,"&lt;"&amp;$J1799+7))</f>
        <v/>
      </c>
      <c r="E1799">
        <f>IF($J1799="","",IFERROR(C1799/(B1799*40),0))</f>
        <v/>
      </c>
      <c r="F1799">
        <f>IF($J1799="","",0)</f>
        <v/>
      </c>
      <c r="G1799">
        <f>IF($J1799="","",SUMIFS('Hours Log'!$E:$E,'Hours Log'!$A:$A,"&gt;="&amp;$J1799,'Hours Log'!$A:$A,"&lt;"&amp;$J1799+7))</f>
        <v/>
      </c>
      <c r="J1799">
        <f>IF(COUNT('Hours Log'!$A$4:$A$5000)=0,"",IF(MIN('Hours Log'!$A$4:$A$5000)+7*(ROW()-10)&gt;MAX('Hours Log'!$A$4:$A$5000),"",MIN('Hours Log'!$A$4:$A$5000)+7*(ROW()-10)))</f>
        <v/>
      </c>
    </row>
    <row r="1800">
      <c r="A1800">
        <f>IF($J1800="","",YEAR($J1800-WEEKDAY($J1800,2)+4)&amp;"-W"&amp;TEXT(WEEKNUM($J1800,21),"00"))</f>
        <v/>
      </c>
      <c r="B1800" s="41">
        <f>IF($J1800="","",COUNTIFS(Roster!$D$4:$D$500,"Active",Roster!$C$4:$C$500,"&lt;="&amp;$J1800))</f>
        <v/>
      </c>
      <c r="C1800">
        <f>IF($J1800="","",SUMIFS('Hours Log'!$C:$C,'Hours Log'!$A:$A,"&gt;="&amp;$J1800,'Hours Log'!$A:$A,"&lt;"&amp;$J1800+7)+SUMIFS('Hours Log'!$D:$D,'Hours Log'!$A:$A,"&gt;="&amp;$J1800,'Hours Log'!$A:$A,"&lt;"&amp;$J1800+7))</f>
        <v/>
      </c>
      <c r="D1800">
        <f>IF($J1800="","",SUMIFS('Hours Log'!$D:$D,'Hours Log'!$A:$A,"&gt;="&amp;$J1800,'Hours Log'!$A:$A,"&lt;"&amp;$J1800+7))</f>
        <v/>
      </c>
      <c r="E1800">
        <f>IF($J1800="","",IFERROR(C1800/(B1800*40),0))</f>
        <v/>
      </c>
      <c r="F1800">
        <f>IF($J1800="","",0)</f>
        <v/>
      </c>
      <c r="G1800">
        <f>IF($J1800="","",SUMIFS('Hours Log'!$E:$E,'Hours Log'!$A:$A,"&gt;="&amp;$J1800,'Hours Log'!$A:$A,"&lt;"&amp;$J1800+7))</f>
        <v/>
      </c>
      <c r="J1800">
        <f>IF(COUNT('Hours Log'!$A$4:$A$5000)=0,"",IF(MIN('Hours Log'!$A$4:$A$5000)+7*(ROW()-10)&gt;MAX('Hours Log'!$A$4:$A$5000),"",MIN('Hours Log'!$A$4:$A$5000)+7*(ROW()-10)))</f>
        <v/>
      </c>
    </row>
    <row r="1801">
      <c r="A1801">
        <f>IF($J1801="","",YEAR($J1801-WEEKDAY($J1801,2)+4)&amp;"-W"&amp;TEXT(WEEKNUM($J1801,21),"00"))</f>
        <v/>
      </c>
      <c r="B1801" s="41">
        <f>IF($J1801="","",COUNTIFS(Roster!$D$4:$D$500,"Active",Roster!$C$4:$C$500,"&lt;="&amp;$J1801))</f>
        <v/>
      </c>
      <c r="C1801">
        <f>IF($J1801="","",SUMIFS('Hours Log'!$C:$C,'Hours Log'!$A:$A,"&gt;="&amp;$J1801,'Hours Log'!$A:$A,"&lt;"&amp;$J1801+7)+SUMIFS('Hours Log'!$D:$D,'Hours Log'!$A:$A,"&gt;="&amp;$J1801,'Hours Log'!$A:$A,"&lt;"&amp;$J1801+7))</f>
        <v/>
      </c>
      <c r="D1801">
        <f>IF($J1801="","",SUMIFS('Hours Log'!$D:$D,'Hours Log'!$A:$A,"&gt;="&amp;$J1801,'Hours Log'!$A:$A,"&lt;"&amp;$J1801+7))</f>
        <v/>
      </c>
      <c r="E1801">
        <f>IF($J1801="","",IFERROR(C1801/(B1801*40),0))</f>
        <v/>
      </c>
      <c r="F1801">
        <f>IF($J1801="","",0)</f>
        <v/>
      </c>
      <c r="G1801">
        <f>IF($J1801="","",SUMIFS('Hours Log'!$E:$E,'Hours Log'!$A:$A,"&gt;="&amp;$J1801,'Hours Log'!$A:$A,"&lt;"&amp;$J1801+7))</f>
        <v/>
      </c>
      <c r="J1801">
        <f>IF(COUNT('Hours Log'!$A$4:$A$5000)=0,"",IF(MIN('Hours Log'!$A$4:$A$5000)+7*(ROW()-10)&gt;MAX('Hours Log'!$A$4:$A$5000),"",MIN('Hours Log'!$A$4:$A$5000)+7*(ROW()-10)))</f>
        <v/>
      </c>
    </row>
    <row r="1802">
      <c r="A1802">
        <f>IF($J1802="","",YEAR($J1802-WEEKDAY($J1802,2)+4)&amp;"-W"&amp;TEXT(WEEKNUM($J1802,21),"00"))</f>
        <v/>
      </c>
      <c r="B1802" s="41">
        <f>IF($J1802="","",COUNTIFS(Roster!$D$4:$D$500,"Active",Roster!$C$4:$C$500,"&lt;="&amp;$J1802))</f>
        <v/>
      </c>
      <c r="C1802">
        <f>IF($J1802="","",SUMIFS('Hours Log'!$C:$C,'Hours Log'!$A:$A,"&gt;="&amp;$J1802,'Hours Log'!$A:$A,"&lt;"&amp;$J1802+7)+SUMIFS('Hours Log'!$D:$D,'Hours Log'!$A:$A,"&gt;="&amp;$J1802,'Hours Log'!$A:$A,"&lt;"&amp;$J1802+7))</f>
        <v/>
      </c>
      <c r="D1802">
        <f>IF($J1802="","",SUMIFS('Hours Log'!$D:$D,'Hours Log'!$A:$A,"&gt;="&amp;$J1802,'Hours Log'!$A:$A,"&lt;"&amp;$J1802+7))</f>
        <v/>
      </c>
      <c r="E1802">
        <f>IF($J1802="","",IFERROR(C1802/(B1802*40),0))</f>
        <v/>
      </c>
      <c r="F1802">
        <f>IF($J1802="","",0)</f>
        <v/>
      </c>
      <c r="G1802">
        <f>IF($J1802="","",SUMIFS('Hours Log'!$E:$E,'Hours Log'!$A:$A,"&gt;="&amp;$J1802,'Hours Log'!$A:$A,"&lt;"&amp;$J1802+7))</f>
        <v/>
      </c>
      <c r="J1802">
        <f>IF(COUNT('Hours Log'!$A$4:$A$5000)=0,"",IF(MIN('Hours Log'!$A$4:$A$5000)+7*(ROW()-10)&gt;MAX('Hours Log'!$A$4:$A$5000),"",MIN('Hours Log'!$A$4:$A$5000)+7*(ROW()-10)))</f>
        <v/>
      </c>
    </row>
    <row r="1803">
      <c r="A1803">
        <f>IF($J1803="","",YEAR($J1803-WEEKDAY($J1803,2)+4)&amp;"-W"&amp;TEXT(WEEKNUM($J1803,21),"00"))</f>
        <v/>
      </c>
      <c r="B1803" s="41">
        <f>IF($J1803="","",COUNTIFS(Roster!$D$4:$D$500,"Active",Roster!$C$4:$C$500,"&lt;="&amp;$J1803))</f>
        <v/>
      </c>
      <c r="C1803">
        <f>IF($J1803="","",SUMIFS('Hours Log'!$C:$C,'Hours Log'!$A:$A,"&gt;="&amp;$J1803,'Hours Log'!$A:$A,"&lt;"&amp;$J1803+7)+SUMIFS('Hours Log'!$D:$D,'Hours Log'!$A:$A,"&gt;="&amp;$J1803,'Hours Log'!$A:$A,"&lt;"&amp;$J1803+7))</f>
        <v/>
      </c>
      <c r="D1803">
        <f>IF($J1803="","",SUMIFS('Hours Log'!$D:$D,'Hours Log'!$A:$A,"&gt;="&amp;$J1803,'Hours Log'!$A:$A,"&lt;"&amp;$J1803+7))</f>
        <v/>
      </c>
      <c r="E1803">
        <f>IF($J1803="","",IFERROR(C1803/(B1803*40),0))</f>
        <v/>
      </c>
      <c r="F1803">
        <f>IF($J1803="","",0)</f>
        <v/>
      </c>
      <c r="G1803">
        <f>IF($J1803="","",SUMIFS('Hours Log'!$E:$E,'Hours Log'!$A:$A,"&gt;="&amp;$J1803,'Hours Log'!$A:$A,"&lt;"&amp;$J1803+7))</f>
        <v/>
      </c>
      <c r="J1803">
        <f>IF(COUNT('Hours Log'!$A$4:$A$5000)=0,"",IF(MIN('Hours Log'!$A$4:$A$5000)+7*(ROW()-10)&gt;MAX('Hours Log'!$A$4:$A$5000),"",MIN('Hours Log'!$A$4:$A$5000)+7*(ROW()-10)))</f>
        <v/>
      </c>
    </row>
    <row r="1804">
      <c r="A1804">
        <f>IF($J1804="","",YEAR($J1804-WEEKDAY($J1804,2)+4)&amp;"-W"&amp;TEXT(WEEKNUM($J1804,21),"00"))</f>
        <v/>
      </c>
      <c r="B1804" s="41">
        <f>IF($J1804="","",COUNTIFS(Roster!$D$4:$D$500,"Active",Roster!$C$4:$C$500,"&lt;="&amp;$J1804))</f>
        <v/>
      </c>
      <c r="C1804">
        <f>IF($J1804="","",SUMIFS('Hours Log'!$C:$C,'Hours Log'!$A:$A,"&gt;="&amp;$J1804,'Hours Log'!$A:$A,"&lt;"&amp;$J1804+7)+SUMIFS('Hours Log'!$D:$D,'Hours Log'!$A:$A,"&gt;="&amp;$J1804,'Hours Log'!$A:$A,"&lt;"&amp;$J1804+7))</f>
        <v/>
      </c>
      <c r="D1804">
        <f>IF($J1804="","",SUMIFS('Hours Log'!$D:$D,'Hours Log'!$A:$A,"&gt;="&amp;$J1804,'Hours Log'!$A:$A,"&lt;"&amp;$J1804+7))</f>
        <v/>
      </c>
      <c r="E1804">
        <f>IF($J1804="","",IFERROR(C1804/(B1804*40),0))</f>
        <v/>
      </c>
      <c r="F1804">
        <f>IF($J1804="","",0)</f>
        <v/>
      </c>
      <c r="G1804">
        <f>IF($J1804="","",SUMIFS('Hours Log'!$E:$E,'Hours Log'!$A:$A,"&gt;="&amp;$J1804,'Hours Log'!$A:$A,"&lt;"&amp;$J1804+7))</f>
        <v/>
      </c>
      <c r="J1804">
        <f>IF(COUNT('Hours Log'!$A$4:$A$5000)=0,"",IF(MIN('Hours Log'!$A$4:$A$5000)+7*(ROW()-10)&gt;MAX('Hours Log'!$A$4:$A$5000),"",MIN('Hours Log'!$A$4:$A$5000)+7*(ROW()-10)))</f>
        <v/>
      </c>
    </row>
    <row r="1805">
      <c r="A1805">
        <f>IF($J1805="","",YEAR($J1805-WEEKDAY($J1805,2)+4)&amp;"-W"&amp;TEXT(WEEKNUM($J1805,21),"00"))</f>
        <v/>
      </c>
      <c r="B1805" s="41">
        <f>IF($J1805="","",COUNTIFS(Roster!$D$4:$D$500,"Active",Roster!$C$4:$C$500,"&lt;="&amp;$J1805))</f>
        <v/>
      </c>
      <c r="C1805">
        <f>IF($J1805="","",SUMIFS('Hours Log'!$C:$C,'Hours Log'!$A:$A,"&gt;="&amp;$J1805,'Hours Log'!$A:$A,"&lt;"&amp;$J1805+7)+SUMIFS('Hours Log'!$D:$D,'Hours Log'!$A:$A,"&gt;="&amp;$J1805,'Hours Log'!$A:$A,"&lt;"&amp;$J1805+7))</f>
        <v/>
      </c>
      <c r="D1805">
        <f>IF($J1805="","",SUMIFS('Hours Log'!$D:$D,'Hours Log'!$A:$A,"&gt;="&amp;$J1805,'Hours Log'!$A:$A,"&lt;"&amp;$J1805+7))</f>
        <v/>
      </c>
      <c r="E1805">
        <f>IF($J1805="","",IFERROR(C1805/(B1805*40),0))</f>
        <v/>
      </c>
      <c r="F1805">
        <f>IF($J1805="","",0)</f>
        <v/>
      </c>
      <c r="G1805">
        <f>IF($J1805="","",SUMIFS('Hours Log'!$E:$E,'Hours Log'!$A:$A,"&gt;="&amp;$J1805,'Hours Log'!$A:$A,"&lt;"&amp;$J1805+7))</f>
        <v/>
      </c>
      <c r="J1805">
        <f>IF(COUNT('Hours Log'!$A$4:$A$5000)=0,"",IF(MIN('Hours Log'!$A$4:$A$5000)+7*(ROW()-10)&gt;MAX('Hours Log'!$A$4:$A$5000),"",MIN('Hours Log'!$A$4:$A$5000)+7*(ROW()-10)))</f>
        <v/>
      </c>
    </row>
    <row r="1806">
      <c r="A1806">
        <f>IF($J1806="","",YEAR($J1806-WEEKDAY($J1806,2)+4)&amp;"-W"&amp;TEXT(WEEKNUM($J1806,21),"00"))</f>
        <v/>
      </c>
      <c r="B1806" s="41">
        <f>IF($J1806="","",COUNTIFS(Roster!$D$4:$D$500,"Active",Roster!$C$4:$C$500,"&lt;="&amp;$J1806))</f>
        <v/>
      </c>
      <c r="C1806">
        <f>IF($J1806="","",SUMIFS('Hours Log'!$C:$C,'Hours Log'!$A:$A,"&gt;="&amp;$J1806,'Hours Log'!$A:$A,"&lt;"&amp;$J1806+7)+SUMIFS('Hours Log'!$D:$D,'Hours Log'!$A:$A,"&gt;="&amp;$J1806,'Hours Log'!$A:$A,"&lt;"&amp;$J1806+7))</f>
        <v/>
      </c>
      <c r="D1806">
        <f>IF($J1806="","",SUMIFS('Hours Log'!$D:$D,'Hours Log'!$A:$A,"&gt;="&amp;$J1806,'Hours Log'!$A:$A,"&lt;"&amp;$J1806+7))</f>
        <v/>
      </c>
      <c r="E1806">
        <f>IF($J1806="","",IFERROR(C1806/(B1806*40),0))</f>
        <v/>
      </c>
      <c r="F1806">
        <f>IF($J1806="","",0)</f>
        <v/>
      </c>
      <c r="G1806">
        <f>IF($J1806="","",SUMIFS('Hours Log'!$E:$E,'Hours Log'!$A:$A,"&gt;="&amp;$J1806,'Hours Log'!$A:$A,"&lt;"&amp;$J1806+7))</f>
        <v/>
      </c>
      <c r="J1806">
        <f>IF(COUNT('Hours Log'!$A$4:$A$5000)=0,"",IF(MIN('Hours Log'!$A$4:$A$5000)+7*(ROW()-10)&gt;MAX('Hours Log'!$A$4:$A$5000),"",MIN('Hours Log'!$A$4:$A$5000)+7*(ROW()-10)))</f>
        <v/>
      </c>
    </row>
    <row r="1807">
      <c r="A1807">
        <f>IF($J1807="","",YEAR($J1807-WEEKDAY($J1807,2)+4)&amp;"-W"&amp;TEXT(WEEKNUM($J1807,21),"00"))</f>
        <v/>
      </c>
      <c r="B1807" s="41">
        <f>IF($J1807="","",COUNTIFS(Roster!$D$4:$D$500,"Active",Roster!$C$4:$C$500,"&lt;="&amp;$J1807))</f>
        <v/>
      </c>
      <c r="C1807">
        <f>IF($J1807="","",SUMIFS('Hours Log'!$C:$C,'Hours Log'!$A:$A,"&gt;="&amp;$J1807,'Hours Log'!$A:$A,"&lt;"&amp;$J1807+7)+SUMIFS('Hours Log'!$D:$D,'Hours Log'!$A:$A,"&gt;="&amp;$J1807,'Hours Log'!$A:$A,"&lt;"&amp;$J1807+7))</f>
        <v/>
      </c>
      <c r="D1807">
        <f>IF($J1807="","",SUMIFS('Hours Log'!$D:$D,'Hours Log'!$A:$A,"&gt;="&amp;$J1807,'Hours Log'!$A:$A,"&lt;"&amp;$J1807+7))</f>
        <v/>
      </c>
      <c r="E1807">
        <f>IF($J1807="","",IFERROR(C1807/(B1807*40),0))</f>
        <v/>
      </c>
      <c r="F1807">
        <f>IF($J1807="","",0)</f>
        <v/>
      </c>
      <c r="G1807">
        <f>IF($J1807="","",SUMIFS('Hours Log'!$E:$E,'Hours Log'!$A:$A,"&gt;="&amp;$J1807,'Hours Log'!$A:$A,"&lt;"&amp;$J1807+7))</f>
        <v/>
      </c>
      <c r="J1807">
        <f>IF(COUNT('Hours Log'!$A$4:$A$5000)=0,"",IF(MIN('Hours Log'!$A$4:$A$5000)+7*(ROW()-10)&gt;MAX('Hours Log'!$A$4:$A$5000),"",MIN('Hours Log'!$A$4:$A$5000)+7*(ROW()-10)))</f>
        <v/>
      </c>
    </row>
    <row r="1808">
      <c r="A1808">
        <f>IF($J1808="","",YEAR($J1808-WEEKDAY($J1808,2)+4)&amp;"-W"&amp;TEXT(WEEKNUM($J1808,21),"00"))</f>
        <v/>
      </c>
      <c r="B1808" s="41">
        <f>IF($J1808="","",COUNTIFS(Roster!$D$4:$D$500,"Active",Roster!$C$4:$C$500,"&lt;="&amp;$J1808))</f>
        <v/>
      </c>
      <c r="C1808">
        <f>IF($J1808="","",SUMIFS('Hours Log'!$C:$C,'Hours Log'!$A:$A,"&gt;="&amp;$J1808,'Hours Log'!$A:$A,"&lt;"&amp;$J1808+7)+SUMIFS('Hours Log'!$D:$D,'Hours Log'!$A:$A,"&gt;="&amp;$J1808,'Hours Log'!$A:$A,"&lt;"&amp;$J1808+7))</f>
        <v/>
      </c>
      <c r="D1808">
        <f>IF($J1808="","",SUMIFS('Hours Log'!$D:$D,'Hours Log'!$A:$A,"&gt;="&amp;$J1808,'Hours Log'!$A:$A,"&lt;"&amp;$J1808+7))</f>
        <v/>
      </c>
      <c r="E1808">
        <f>IF($J1808="","",IFERROR(C1808/(B1808*40),0))</f>
        <v/>
      </c>
      <c r="F1808">
        <f>IF($J1808="","",0)</f>
        <v/>
      </c>
      <c r="G1808">
        <f>IF($J1808="","",SUMIFS('Hours Log'!$E:$E,'Hours Log'!$A:$A,"&gt;="&amp;$J1808,'Hours Log'!$A:$A,"&lt;"&amp;$J1808+7))</f>
        <v/>
      </c>
      <c r="J1808">
        <f>IF(COUNT('Hours Log'!$A$4:$A$5000)=0,"",IF(MIN('Hours Log'!$A$4:$A$5000)+7*(ROW()-10)&gt;MAX('Hours Log'!$A$4:$A$5000),"",MIN('Hours Log'!$A$4:$A$5000)+7*(ROW()-10)))</f>
        <v/>
      </c>
    </row>
    <row r="1809">
      <c r="A1809">
        <f>IF($J1809="","",YEAR($J1809-WEEKDAY($J1809,2)+4)&amp;"-W"&amp;TEXT(WEEKNUM($J1809,21),"00"))</f>
        <v/>
      </c>
      <c r="B1809" s="41">
        <f>IF($J1809="","",COUNTIFS(Roster!$D$4:$D$500,"Active",Roster!$C$4:$C$500,"&lt;="&amp;$J1809))</f>
        <v/>
      </c>
      <c r="C1809">
        <f>IF($J1809="","",SUMIFS('Hours Log'!$C:$C,'Hours Log'!$A:$A,"&gt;="&amp;$J1809,'Hours Log'!$A:$A,"&lt;"&amp;$J1809+7)+SUMIFS('Hours Log'!$D:$D,'Hours Log'!$A:$A,"&gt;="&amp;$J1809,'Hours Log'!$A:$A,"&lt;"&amp;$J1809+7))</f>
        <v/>
      </c>
      <c r="D1809">
        <f>IF($J1809="","",SUMIFS('Hours Log'!$D:$D,'Hours Log'!$A:$A,"&gt;="&amp;$J1809,'Hours Log'!$A:$A,"&lt;"&amp;$J1809+7))</f>
        <v/>
      </c>
      <c r="E1809">
        <f>IF($J1809="","",IFERROR(C1809/(B1809*40),0))</f>
        <v/>
      </c>
      <c r="F1809">
        <f>IF($J1809="","",0)</f>
        <v/>
      </c>
      <c r="G1809">
        <f>IF($J1809="","",SUMIFS('Hours Log'!$E:$E,'Hours Log'!$A:$A,"&gt;="&amp;$J1809,'Hours Log'!$A:$A,"&lt;"&amp;$J1809+7))</f>
        <v/>
      </c>
      <c r="J1809">
        <f>IF(COUNT('Hours Log'!$A$4:$A$5000)=0,"",IF(MIN('Hours Log'!$A$4:$A$5000)+7*(ROW()-10)&gt;MAX('Hours Log'!$A$4:$A$5000),"",MIN('Hours Log'!$A$4:$A$5000)+7*(ROW()-10)))</f>
        <v/>
      </c>
    </row>
    <row r="1810">
      <c r="A1810">
        <f>IF($J1810="","",YEAR($J1810-WEEKDAY($J1810,2)+4)&amp;"-W"&amp;TEXT(WEEKNUM($J1810,21),"00"))</f>
        <v/>
      </c>
      <c r="B1810" s="41">
        <f>IF($J1810="","",COUNTIFS(Roster!$D$4:$D$500,"Active",Roster!$C$4:$C$500,"&lt;="&amp;$J1810))</f>
        <v/>
      </c>
      <c r="C1810">
        <f>IF($J1810="","",SUMIFS('Hours Log'!$C:$C,'Hours Log'!$A:$A,"&gt;="&amp;$J1810,'Hours Log'!$A:$A,"&lt;"&amp;$J1810+7)+SUMIFS('Hours Log'!$D:$D,'Hours Log'!$A:$A,"&gt;="&amp;$J1810,'Hours Log'!$A:$A,"&lt;"&amp;$J1810+7))</f>
        <v/>
      </c>
      <c r="D1810">
        <f>IF($J1810="","",SUMIFS('Hours Log'!$D:$D,'Hours Log'!$A:$A,"&gt;="&amp;$J1810,'Hours Log'!$A:$A,"&lt;"&amp;$J1810+7))</f>
        <v/>
      </c>
      <c r="E1810">
        <f>IF($J1810="","",IFERROR(C1810/(B1810*40),0))</f>
        <v/>
      </c>
      <c r="F1810">
        <f>IF($J1810="","",0)</f>
        <v/>
      </c>
      <c r="G1810">
        <f>IF($J1810="","",SUMIFS('Hours Log'!$E:$E,'Hours Log'!$A:$A,"&gt;="&amp;$J1810,'Hours Log'!$A:$A,"&lt;"&amp;$J1810+7))</f>
        <v/>
      </c>
      <c r="J1810">
        <f>IF(COUNT('Hours Log'!$A$4:$A$5000)=0,"",IF(MIN('Hours Log'!$A$4:$A$5000)+7*(ROW()-10)&gt;MAX('Hours Log'!$A$4:$A$5000),"",MIN('Hours Log'!$A$4:$A$5000)+7*(ROW()-10)))</f>
        <v/>
      </c>
    </row>
    <row r="1811">
      <c r="A1811">
        <f>IF($J1811="","",YEAR($J1811-WEEKDAY($J1811,2)+4)&amp;"-W"&amp;TEXT(WEEKNUM($J1811,21),"00"))</f>
        <v/>
      </c>
      <c r="B1811" s="41">
        <f>IF($J1811="","",COUNTIFS(Roster!$D$4:$D$500,"Active",Roster!$C$4:$C$500,"&lt;="&amp;$J1811))</f>
        <v/>
      </c>
      <c r="C1811">
        <f>IF($J1811="","",SUMIFS('Hours Log'!$C:$C,'Hours Log'!$A:$A,"&gt;="&amp;$J1811,'Hours Log'!$A:$A,"&lt;"&amp;$J1811+7)+SUMIFS('Hours Log'!$D:$D,'Hours Log'!$A:$A,"&gt;="&amp;$J1811,'Hours Log'!$A:$A,"&lt;"&amp;$J1811+7))</f>
        <v/>
      </c>
      <c r="D1811">
        <f>IF($J1811="","",SUMIFS('Hours Log'!$D:$D,'Hours Log'!$A:$A,"&gt;="&amp;$J1811,'Hours Log'!$A:$A,"&lt;"&amp;$J1811+7))</f>
        <v/>
      </c>
      <c r="E1811">
        <f>IF($J1811="","",IFERROR(C1811/(B1811*40),0))</f>
        <v/>
      </c>
      <c r="F1811">
        <f>IF($J1811="","",0)</f>
        <v/>
      </c>
      <c r="G1811">
        <f>IF($J1811="","",SUMIFS('Hours Log'!$E:$E,'Hours Log'!$A:$A,"&gt;="&amp;$J1811,'Hours Log'!$A:$A,"&lt;"&amp;$J1811+7))</f>
        <v/>
      </c>
      <c r="J1811">
        <f>IF(COUNT('Hours Log'!$A$4:$A$5000)=0,"",IF(MIN('Hours Log'!$A$4:$A$5000)+7*(ROW()-10)&gt;MAX('Hours Log'!$A$4:$A$5000),"",MIN('Hours Log'!$A$4:$A$5000)+7*(ROW()-10)))</f>
        <v/>
      </c>
    </row>
    <row r="1812">
      <c r="A1812">
        <f>IF($J1812="","",YEAR($J1812-WEEKDAY($J1812,2)+4)&amp;"-W"&amp;TEXT(WEEKNUM($J1812,21),"00"))</f>
        <v/>
      </c>
      <c r="B1812" s="41">
        <f>IF($J1812="","",COUNTIFS(Roster!$D$4:$D$500,"Active",Roster!$C$4:$C$500,"&lt;="&amp;$J1812))</f>
        <v/>
      </c>
      <c r="C1812">
        <f>IF($J1812="","",SUMIFS('Hours Log'!$C:$C,'Hours Log'!$A:$A,"&gt;="&amp;$J1812,'Hours Log'!$A:$A,"&lt;"&amp;$J1812+7)+SUMIFS('Hours Log'!$D:$D,'Hours Log'!$A:$A,"&gt;="&amp;$J1812,'Hours Log'!$A:$A,"&lt;"&amp;$J1812+7))</f>
        <v/>
      </c>
      <c r="D1812">
        <f>IF($J1812="","",SUMIFS('Hours Log'!$D:$D,'Hours Log'!$A:$A,"&gt;="&amp;$J1812,'Hours Log'!$A:$A,"&lt;"&amp;$J1812+7))</f>
        <v/>
      </c>
      <c r="E1812">
        <f>IF($J1812="","",IFERROR(C1812/(B1812*40),0))</f>
        <v/>
      </c>
      <c r="F1812">
        <f>IF($J1812="","",0)</f>
        <v/>
      </c>
      <c r="G1812">
        <f>IF($J1812="","",SUMIFS('Hours Log'!$E:$E,'Hours Log'!$A:$A,"&gt;="&amp;$J1812,'Hours Log'!$A:$A,"&lt;"&amp;$J1812+7))</f>
        <v/>
      </c>
      <c r="J1812">
        <f>IF(COUNT('Hours Log'!$A$4:$A$5000)=0,"",IF(MIN('Hours Log'!$A$4:$A$5000)+7*(ROW()-10)&gt;MAX('Hours Log'!$A$4:$A$5000),"",MIN('Hours Log'!$A$4:$A$5000)+7*(ROW()-10)))</f>
        <v/>
      </c>
    </row>
    <row r="1813">
      <c r="A1813">
        <f>IF($J1813="","",YEAR($J1813-WEEKDAY($J1813,2)+4)&amp;"-W"&amp;TEXT(WEEKNUM($J1813,21),"00"))</f>
        <v/>
      </c>
      <c r="B1813" s="41">
        <f>IF($J1813="","",COUNTIFS(Roster!$D$4:$D$500,"Active",Roster!$C$4:$C$500,"&lt;="&amp;$J1813))</f>
        <v/>
      </c>
      <c r="C1813">
        <f>IF($J1813="","",SUMIFS('Hours Log'!$C:$C,'Hours Log'!$A:$A,"&gt;="&amp;$J1813,'Hours Log'!$A:$A,"&lt;"&amp;$J1813+7)+SUMIFS('Hours Log'!$D:$D,'Hours Log'!$A:$A,"&gt;="&amp;$J1813,'Hours Log'!$A:$A,"&lt;"&amp;$J1813+7))</f>
        <v/>
      </c>
      <c r="D1813">
        <f>IF($J1813="","",SUMIFS('Hours Log'!$D:$D,'Hours Log'!$A:$A,"&gt;="&amp;$J1813,'Hours Log'!$A:$A,"&lt;"&amp;$J1813+7))</f>
        <v/>
      </c>
      <c r="E1813">
        <f>IF($J1813="","",IFERROR(C1813/(B1813*40),0))</f>
        <v/>
      </c>
      <c r="F1813">
        <f>IF($J1813="","",0)</f>
        <v/>
      </c>
      <c r="G1813">
        <f>IF($J1813="","",SUMIFS('Hours Log'!$E:$E,'Hours Log'!$A:$A,"&gt;="&amp;$J1813,'Hours Log'!$A:$A,"&lt;"&amp;$J1813+7))</f>
        <v/>
      </c>
      <c r="J1813">
        <f>IF(COUNT('Hours Log'!$A$4:$A$5000)=0,"",IF(MIN('Hours Log'!$A$4:$A$5000)+7*(ROW()-10)&gt;MAX('Hours Log'!$A$4:$A$5000),"",MIN('Hours Log'!$A$4:$A$5000)+7*(ROW()-10)))</f>
        <v/>
      </c>
    </row>
    <row r="1814">
      <c r="A1814">
        <f>IF($J1814="","",YEAR($J1814-WEEKDAY($J1814,2)+4)&amp;"-W"&amp;TEXT(WEEKNUM($J1814,21),"00"))</f>
        <v/>
      </c>
      <c r="B1814" s="41">
        <f>IF($J1814="","",COUNTIFS(Roster!$D$4:$D$500,"Active",Roster!$C$4:$C$500,"&lt;="&amp;$J1814))</f>
        <v/>
      </c>
      <c r="C1814">
        <f>IF($J1814="","",SUMIFS('Hours Log'!$C:$C,'Hours Log'!$A:$A,"&gt;="&amp;$J1814,'Hours Log'!$A:$A,"&lt;"&amp;$J1814+7)+SUMIFS('Hours Log'!$D:$D,'Hours Log'!$A:$A,"&gt;="&amp;$J1814,'Hours Log'!$A:$A,"&lt;"&amp;$J1814+7))</f>
        <v/>
      </c>
      <c r="D1814">
        <f>IF($J1814="","",SUMIFS('Hours Log'!$D:$D,'Hours Log'!$A:$A,"&gt;="&amp;$J1814,'Hours Log'!$A:$A,"&lt;"&amp;$J1814+7))</f>
        <v/>
      </c>
      <c r="E1814">
        <f>IF($J1814="","",IFERROR(C1814/(B1814*40),0))</f>
        <v/>
      </c>
      <c r="F1814">
        <f>IF($J1814="","",0)</f>
        <v/>
      </c>
      <c r="G1814">
        <f>IF($J1814="","",SUMIFS('Hours Log'!$E:$E,'Hours Log'!$A:$A,"&gt;="&amp;$J1814,'Hours Log'!$A:$A,"&lt;"&amp;$J1814+7))</f>
        <v/>
      </c>
      <c r="J1814">
        <f>IF(COUNT('Hours Log'!$A$4:$A$5000)=0,"",IF(MIN('Hours Log'!$A$4:$A$5000)+7*(ROW()-10)&gt;MAX('Hours Log'!$A$4:$A$5000),"",MIN('Hours Log'!$A$4:$A$5000)+7*(ROW()-10)))</f>
        <v/>
      </c>
    </row>
    <row r="1815">
      <c r="A1815">
        <f>IF($J1815="","",YEAR($J1815-WEEKDAY($J1815,2)+4)&amp;"-W"&amp;TEXT(WEEKNUM($J1815,21),"00"))</f>
        <v/>
      </c>
      <c r="B1815" s="41">
        <f>IF($J1815="","",COUNTIFS(Roster!$D$4:$D$500,"Active",Roster!$C$4:$C$500,"&lt;="&amp;$J1815))</f>
        <v/>
      </c>
      <c r="C1815">
        <f>IF($J1815="","",SUMIFS('Hours Log'!$C:$C,'Hours Log'!$A:$A,"&gt;="&amp;$J1815,'Hours Log'!$A:$A,"&lt;"&amp;$J1815+7)+SUMIFS('Hours Log'!$D:$D,'Hours Log'!$A:$A,"&gt;="&amp;$J1815,'Hours Log'!$A:$A,"&lt;"&amp;$J1815+7))</f>
        <v/>
      </c>
      <c r="D1815">
        <f>IF($J1815="","",SUMIFS('Hours Log'!$D:$D,'Hours Log'!$A:$A,"&gt;="&amp;$J1815,'Hours Log'!$A:$A,"&lt;"&amp;$J1815+7))</f>
        <v/>
      </c>
      <c r="E1815">
        <f>IF($J1815="","",IFERROR(C1815/(B1815*40),0))</f>
        <v/>
      </c>
      <c r="F1815">
        <f>IF($J1815="","",0)</f>
        <v/>
      </c>
      <c r="G1815">
        <f>IF($J1815="","",SUMIFS('Hours Log'!$E:$E,'Hours Log'!$A:$A,"&gt;="&amp;$J1815,'Hours Log'!$A:$A,"&lt;"&amp;$J1815+7))</f>
        <v/>
      </c>
      <c r="J1815">
        <f>IF(COUNT('Hours Log'!$A$4:$A$5000)=0,"",IF(MIN('Hours Log'!$A$4:$A$5000)+7*(ROW()-10)&gt;MAX('Hours Log'!$A$4:$A$5000),"",MIN('Hours Log'!$A$4:$A$5000)+7*(ROW()-10)))</f>
        <v/>
      </c>
    </row>
    <row r="1816">
      <c r="A1816">
        <f>IF($J1816="","",YEAR($J1816-WEEKDAY($J1816,2)+4)&amp;"-W"&amp;TEXT(WEEKNUM($J1816,21),"00"))</f>
        <v/>
      </c>
      <c r="B1816" s="41">
        <f>IF($J1816="","",COUNTIFS(Roster!$D$4:$D$500,"Active",Roster!$C$4:$C$500,"&lt;="&amp;$J1816))</f>
        <v/>
      </c>
      <c r="C1816">
        <f>IF($J1816="","",SUMIFS('Hours Log'!$C:$C,'Hours Log'!$A:$A,"&gt;="&amp;$J1816,'Hours Log'!$A:$A,"&lt;"&amp;$J1816+7)+SUMIFS('Hours Log'!$D:$D,'Hours Log'!$A:$A,"&gt;="&amp;$J1816,'Hours Log'!$A:$A,"&lt;"&amp;$J1816+7))</f>
        <v/>
      </c>
      <c r="D1816">
        <f>IF($J1816="","",SUMIFS('Hours Log'!$D:$D,'Hours Log'!$A:$A,"&gt;="&amp;$J1816,'Hours Log'!$A:$A,"&lt;"&amp;$J1816+7))</f>
        <v/>
      </c>
      <c r="E1816">
        <f>IF($J1816="","",IFERROR(C1816/(B1816*40),0))</f>
        <v/>
      </c>
      <c r="F1816">
        <f>IF($J1816="","",0)</f>
        <v/>
      </c>
      <c r="G1816">
        <f>IF($J1816="","",SUMIFS('Hours Log'!$E:$E,'Hours Log'!$A:$A,"&gt;="&amp;$J1816,'Hours Log'!$A:$A,"&lt;"&amp;$J1816+7))</f>
        <v/>
      </c>
      <c r="J1816">
        <f>IF(COUNT('Hours Log'!$A$4:$A$5000)=0,"",IF(MIN('Hours Log'!$A$4:$A$5000)+7*(ROW()-10)&gt;MAX('Hours Log'!$A$4:$A$5000),"",MIN('Hours Log'!$A$4:$A$5000)+7*(ROW()-10)))</f>
        <v/>
      </c>
    </row>
    <row r="1817">
      <c r="A1817">
        <f>IF($J1817="","",YEAR($J1817-WEEKDAY($J1817,2)+4)&amp;"-W"&amp;TEXT(WEEKNUM($J1817,21),"00"))</f>
        <v/>
      </c>
      <c r="B1817" s="41">
        <f>IF($J1817="","",COUNTIFS(Roster!$D$4:$D$500,"Active",Roster!$C$4:$C$500,"&lt;="&amp;$J1817))</f>
        <v/>
      </c>
      <c r="C1817">
        <f>IF($J1817="","",SUMIFS('Hours Log'!$C:$C,'Hours Log'!$A:$A,"&gt;="&amp;$J1817,'Hours Log'!$A:$A,"&lt;"&amp;$J1817+7)+SUMIFS('Hours Log'!$D:$D,'Hours Log'!$A:$A,"&gt;="&amp;$J1817,'Hours Log'!$A:$A,"&lt;"&amp;$J1817+7))</f>
        <v/>
      </c>
      <c r="D1817">
        <f>IF($J1817="","",SUMIFS('Hours Log'!$D:$D,'Hours Log'!$A:$A,"&gt;="&amp;$J1817,'Hours Log'!$A:$A,"&lt;"&amp;$J1817+7))</f>
        <v/>
      </c>
      <c r="E1817">
        <f>IF($J1817="","",IFERROR(C1817/(B1817*40),0))</f>
        <v/>
      </c>
      <c r="F1817">
        <f>IF($J1817="","",0)</f>
        <v/>
      </c>
      <c r="G1817">
        <f>IF($J1817="","",SUMIFS('Hours Log'!$E:$E,'Hours Log'!$A:$A,"&gt;="&amp;$J1817,'Hours Log'!$A:$A,"&lt;"&amp;$J1817+7))</f>
        <v/>
      </c>
      <c r="J1817">
        <f>IF(COUNT('Hours Log'!$A$4:$A$5000)=0,"",IF(MIN('Hours Log'!$A$4:$A$5000)+7*(ROW()-10)&gt;MAX('Hours Log'!$A$4:$A$5000),"",MIN('Hours Log'!$A$4:$A$5000)+7*(ROW()-10)))</f>
        <v/>
      </c>
    </row>
    <row r="1818">
      <c r="A1818">
        <f>IF($J1818="","",YEAR($J1818-WEEKDAY($J1818,2)+4)&amp;"-W"&amp;TEXT(WEEKNUM($J1818,21),"00"))</f>
        <v/>
      </c>
      <c r="B1818" s="41">
        <f>IF($J1818="","",COUNTIFS(Roster!$D$4:$D$500,"Active",Roster!$C$4:$C$500,"&lt;="&amp;$J1818))</f>
        <v/>
      </c>
      <c r="C1818">
        <f>IF($J1818="","",SUMIFS('Hours Log'!$C:$C,'Hours Log'!$A:$A,"&gt;="&amp;$J1818,'Hours Log'!$A:$A,"&lt;"&amp;$J1818+7)+SUMIFS('Hours Log'!$D:$D,'Hours Log'!$A:$A,"&gt;="&amp;$J1818,'Hours Log'!$A:$A,"&lt;"&amp;$J1818+7))</f>
        <v/>
      </c>
      <c r="D1818">
        <f>IF($J1818="","",SUMIFS('Hours Log'!$D:$D,'Hours Log'!$A:$A,"&gt;="&amp;$J1818,'Hours Log'!$A:$A,"&lt;"&amp;$J1818+7))</f>
        <v/>
      </c>
      <c r="E1818">
        <f>IF($J1818="","",IFERROR(C1818/(B1818*40),0))</f>
        <v/>
      </c>
      <c r="F1818">
        <f>IF($J1818="","",0)</f>
        <v/>
      </c>
      <c r="G1818">
        <f>IF($J1818="","",SUMIFS('Hours Log'!$E:$E,'Hours Log'!$A:$A,"&gt;="&amp;$J1818,'Hours Log'!$A:$A,"&lt;"&amp;$J1818+7))</f>
        <v/>
      </c>
      <c r="J1818">
        <f>IF(COUNT('Hours Log'!$A$4:$A$5000)=0,"",IF(MIN('Hours Log'!$A$4:$A$5000)+7*(ROW()-10)&gt;MAX('Hours Log'!$A$4:$A$5000),"",MIN('Hours Log'!$A$4:$A$5000)+7*(ROW()-10)))</f>
        <v/>
      </c>
    </row>
    <row r="1819">
      <c r="A1819">
        <f>IF($J1819="","",YEAR($J1819-WEEKDAY($J1819,2)+4)&amp;"-W"&amp;TEXT(WEEKNUM($J1819,21),"00"))</f>
        <v/>
      </c>
      <c r="B1819" s="41">
        <f>IF($J1819="","",COUNTIFS(Roster!$D$4:$D$500,"Active",Roster!$C$4:$C$500,"&lt;="&amp;$J1819))</f>
        <v/>
      </c>
      <c r="C1819">
        <f>IF($J1819="","",SUMIFS('Hours Log'!$C:$C,'Hours Log'!$A:$A,"&gt;="&amp;$J1819,'Hours Log'!$A:$A,"&lt;"&amp;$J1819+7)+SUMIFS('Hours Log'!$D:$D,'Hours Log'!$A:$A,"&gt;="&amp;$J1819,'Hours Log'!$A:$A,"&lt;"&amp;$J1819+7))</f>
        <v/>
      </c>
      <c r="D1819">
        <f>IF($J1819="","",SUMIFS('Hours Log'!$D:$D,'Hours Log'!$A:$A,"&gt;="&amp;$J1819,'Hours Log'!$A:$A,"&lt;"&amp;$J1819+7))</f>
        <v/>
      </c>
      <c r="E1819">
        <f>IF($J1819="","",IFERROR(C1819/(B1819*40),0))</f>
        <v/>
      </c>
      <c r="F1819">
        <f>IF($J1819="","",0)</f>
        <v/>
      </c>
      <c r="G1819">
        <f>IF($J1819="","",SUMIFS('Hours Log'!$E:$E,'Hours Log'!$A:$A,"&gt;="&amp;$J1819,'Hours Log'!$A:$A,"&lt;"&amp;$J1819+7))</f>
        <v/>
      </c>
      <c r="J1819">
        <f>IF(COUNT('Hours Log'!$A$4:$A$5000)=0,"",IF(MIN('Hours Log'!$A$4:$A$5000)+7*(ROW()-10)&gt;MAX('Hours Log'!$A$4:$A$5000),"",MIN('Hours Log'!$A$4:$A$5000)+7*(ROW()-10)))</f>
        <v/>
      </c>
    </row>
    <row r="1820">
      <c r="A1820">
        <f>IF($J1820="","",YEAR($J1820-WEEKDAY($J1820,2)+4)&amp;"-W"&amp;TEXT(WEEKNUM($J1820,21),"00"))</f>
        <v/>
      </c>
      <c r="B1820" s="41">
        <f>IF($J1820="","",COUNTIFS(Roster!$D$4:$D$500,"Active",Roster!$C$4:$C$500,"&lt;="&amp;$J1820))</f>
        <v/>
      </c>
      <c r="C1820">
        <f>IF($J1820="","",SUMIFS('Hours Log'!$C:$C,'Hours Log'!$A:$A,"&gt;="&amp;$J1820,'Hours Log'!$A:$A,"&lt;"&amp;$J1820+7)+SUMIFS('Hours Log'!$D:$D,'Hours Log'!$A:$A,"&gt;="&amp;$J1820,'Hours Log'!$A:$A,"&lt;"&amp;$J1820+7))</f>
        <v/>
      </c>
      <c r="D1820">
        <f>IF($J1820="","",SUMIFS('Hours Log'!$D:$D,'Hours Log'!$A:$A,"&gt;="&amp;$J1820,'Hours Log'!$A:$A,"&lt;"&amp;$J1820+7))</f>
        <v/>
      </c>
      <c r="E1820">
        <f>IF($J1820="","",IFERROR(C1820/(B1820*40),0))</f>
        <v/>
      </c>
      <c r="F1820">
        <f>IF($J1820="","",0)</f>
        <v/>
      </c>
      <c r="G1820">
        <f>IF($J1820="","",SUMIFS('Hours Log'!$E:$E,'Hours Log'!$A:$A,"&gt;="&amp;$J1820,'Hours Log'!$A:$A,"&lt;"&amp;$J1820+7))</f>
        <v/>
      </c>
      <c r="J1820">
        <f>IF(COUNT('Hours Log'!$A$4:$A$5000)=0,"",IF(MIN('Hours Log'!$A$4:$A$5000)+7*(ROW()-10)&gt;MAX('Hours Log'!$A$4:$A$5000),"",MIN('Hours Log'!$A$4:$A$5000)+7*(ROW()-10)))</f>
        <v/>
      </c>
    </row>
    <row r="1821">
      <c r="A1821">
        <f>IF($J1821="","",YEAR($J1821-WEEKDAY($J1821,2)+4)&amp;"-W"&amp;TEXT(WEEKNUM($J1821,21),"00"))</f>
        <v/>
      </c>
      <c r="B1821" s="41">
        <f>IF($J1821="","",COUNTIFS(Roster!$D$4:$D$500,"Active",Roster!$C$4:$C$500,"&lt;="&amp;$J1821))</f>
        <v/>
      </c>
      <c r="C1821">
        <f>IF($J1821="","",SUMIFS('Hours Log'!$C:$C,'Hours Log'!$A:$A,"&gt;="&amp;$J1821,'Hours Log'!$A:$A,"&lt;"&amp;$J1821+7)+SUMIFS('Hours Log'!$D:$D,'Hours Log'!$A:$A,"&gt;="&amp;$J1821,'Hours Log'!$A:$A,"&lt;"&amp;$J1821+7))</f>
        <v/>
      </c>
      <c r="D1821">
        <f>IF($J1821="","",SUMIFS('Hours Log'!$D:$D,'Hours Log'!$A:$A,"&gt;="&amp;$J1821,'Hours Log'!$A:$A,"&lt;"&amp;$J1821+7))</f>
        <v/>
      </c>
      <c r="E1821">
        <f>IF($J1821="","",IFERROR(C1821/(B1821*40),0))</f>
        <v/>
      </c>
      <c r="F1821">
        <f>IF($J1821="","",0)</f>
        <v/>
      </c>
      <c r="G1821">
        <f>IF($J1821="","",SUMIFS('Hours Log'!$E:$E,'Hours Log'!$A:$A,"&gt;="&amp;$J1821,'Hours Log'!$A:$A,"&lt;"&amp;$J1821+7))</f>
        <v/>
      </c>
      <c r="J1821">
        <f>IF(COUNT('Hours Log'!$A$4:$A$5000)=0,"",IF(MIN('Hours Log'!$A$4:$A$5000)+7*(ROW()-10)&gt;MAX('Hours Log'!$A$4:$A$5000),"",MIN('Hours Log'!$A$4:$A$5000)+7*(ROW()-10)))</f>
        <v/>
      </c>
    </row>
    <row r="1822">
      <c r="A1822">
        <f>IF($J1822="","",YEAR($J1822-WEEKDAY($J1822,2)+4)&amp;"-W"&amp;TEXT(WEEKNUM($J1822,21),"00"))</f>
        <v/>
      </c>
      <c r="B1822" s="41">
        <f>IF($J1822="","",COUNTIFS(Roster!$D$4:$D$500,"Active",Roster!$C$4:$C$500,"&lt;="&amp;$J1822))</f>
        <v/>
      </c>
      <c r="C1822">
        <f>IF($J1822="","",SUMIFS('Hours Log'!$C:$C,'Hours Log'!$A:$A,"&gt;="&amp;$J1822,'Hours Log'!$A:$A,"&lt;"&amp;$J1822+7)+SUMIFS('Hours Log'!$D:$D,'Hours Log'!$A:$A,"&gt;="&amp;$J1822,'Hours Log'!$A:$A,"&lt;"&amp;$J1822+7))</f>
        <v/>
      </c>
      <c r="D1822">
        <f>IF($J1822="","",SUMIFS('Hours Log'!$D:$D,'Hours Log'!$A:$A,"&gt;="&amp;$J1822,'Hours Log'!$A:$A,"&lt;"&amp;$J1822+7))</f>
        <v/>
      </c>
      <c r="E1822">
        <f>IF($J1822="","",IFERROR(C1822/(B1822*40),0))</f>
        <v/>
      </c>
      <c r="F1822">
        <f>IF($J1822="","",0)</f>
        <v/>
      </c>
      <c r="G1822">
        <f>IF($J1822="","",SUMIFS('Hours Log'!$E:$E,'Hours Log'!$A:$A,"&gt;="&amp;$J1822,'Hours Log'!$A:$A,"&lt;"&amp;$J1822+7))</f>
        <v/>
      </c>
      <c r="J1822">
        <f>IF(COUNT('Hours Log'!$A$4:$A$5000)=0,"",IF(MIN('Hours Log'!$A$4:$A$5000)+7*(ROW()-10)&gt;MAX('Hours Log'!$A$4:$A$5000),"",MIN('Hours Log'!$A$4:$A$5000)+7*(ROW()-10)))</f>
        <v/>
      </c>
    </row>
    <row r="1823">
      <c r="A1823">
        <f>IF($J1823="","",YEAR($J1823-WEEKDAY($J1823,2)+4)&amp;"-W"&amp;TEXT(WEEKNUM($J1823,21),"00"))</f>
        <v/>
      </c>
      <c r="B1823" s="41">
        <f>IF($J1823="","",COUNTIFS(Roster!$D$4:$D$500,"Active",Roster!$C$4:$C$500,"&lt;="&amp;$J1823))</f>
        <v/>
      </c>
      <c r="C1823">
        <f>IF($J1823="","",SUMIFS('Hours Log'!$C:$C,'Hours Log'!$A:$A,"&gt;="&amp;$J1823,'Hours Log'!$A:$A,"&lt;"&amp;$J1823+7)+SUMIFS('Hours Log'!$D:$D,'Hours Log'!$A:$A,"&gt;="&amp;$J1823,'Hours Log'!$A:$A,"&lt;"&amp;$J1823+7))</f>
        <v/>
      </c>
      <c r="D1823">
        <f>IF($J1823="","",SUMIFS('Hours Log'!$D:$D,'Hours Log'!$A:$A,"&gt;="&amp;$J1823,'Hours Log'!$A:$A,"&lt;"&amp;$J1823+7))</f>
        <v/>
      </c>
      <c r="E1823">
        <f>IF($J1823="","",IFERROR(C1823/(B1823*40),0))</f>
        <v/>
      </c>
      <c r="F1823">
        <f>IF($J1823="","",0)</f>
        <v/>
      </c>
      <c r="G1823">
        <f>IF($J1823="","",SUMIFS('Hours Log'!$E:$E,'Hours Log'!$A:$A,"&gt;="&amp;$J1823,'Hours Log'!$A:$A,"&lt;"&amp;$J1823+7))</f>
        <v/>
      </c>
      <c r="J1823">
        <f>IF(COUNT('Hours Log'!$A$4:$A$5000)=0,"",IF(MIN('Hours Log'!$A$4:$A$5000)+7*(ROW()-10)&gt;MAX('Hours Log'!$A$4:$A$5000),"",MIN('Hours Log'!$A$4:$A$5000)+7*(ROW()-10)))</f>
        <v/>
      </c>
    </row>
    <row r="1824">
      <c r="A1824">
        <f>IF($J1824="","",YEAR($J1824-WEEKDAY($J1824,2)+4)&amp;"-W"&amp;TEXT(WEEKNUM($J1824,21),"00"))</f>
        <v/>
      </c>
      <c r="B1824" s="41">
        <f>IF($J1824="","",COUNTIFS(Roster!$D$4:$D$500,"Active",Roster!$C$4:$C$500,"&lt;="&amp;$J1824))</f>
        <v/>
      </c>
      <c r="C1824">
        <f>IF($J1824="","",SUMIFS('Hours Log'!$C:$C,'Hours Log'!$A:$A,"&gt;="&amp;$J1824,'Hours Log'!$A:$A,"&lt;"&amp;$J1824+7)+SUMIFS('Hours Log'!$D:$D,'Hours Log'!$A:$A,"&gt;="&amp;$J1824,'Hours Log'!$A:$A,"&lt;"&amp;$J1824+7))</f>
        <v/>
      </c>
      <c r="D1824">
        <f>IF($J1824="","",SUMIFS('Hours Log'!$D:$D,'Hours Log'!$A:$A,"&gt;="&amp;$J1824,'Hours Log'!$A:$A,"&lt;"&amp;$J1824+7))</f>
        <v/>
      </c>
      <c r="E1824">
        <f>IF($J1824="","",IFERROR(C1824/(B1824*40),0))</f>
        <v/>
      </c>
      <c r="F1824">
        <f>IF($J1824="","",0)</f>
        <v/>
      </c>
      <c r="G1824">
        <f>IF($J1824="","",SUMIFS('Hours Log'!$E:$E,'Hours Log'!$A:$A,"&gt;="&amp;$J1824,'Hours Log'!$A:$A,"&lt;"&amp;$J1824+7))</f>
        <v/>
      </c>
      <c r="J1824">
        <f>IF(COUNT('Hours Log'!$A$4:$A$5000)=0,"",IF(MIN('Hours Log'!$A$4:$A$5000)+7*(ROW()-10)&gt;MAX('Hours Log'!$A$4:$A$5000),"",MIN('Hours Log'!$A$4:$A$5000)+7*(ROW()-10)))</f>
        <v/>
      </c>
    </row>
    <row r="1825">
      <c r="A1825">
        <f>IF($J1825="","",YEAR($J1825-WEEKDAY($J1825,2)+4)&amp;"-W"&amp;TEXT(WEEKNUM($J1825,21),"00"))</f>
        <v/>
      </c>
      <c r="B1825" s="41">
        <f>IF($J1825="","",COUNTIFS(Roster!$D$4:$D$500,"Active",Roster!$C$4:$C$500,"&lt;="&amp;$J1825))</f>
        <v/>
      </c>
      <c r="C1825">
        <f>IF($J1825="","",SUMIFS('Hours Log'!$C:$C,'Hours Log'!$A:$A,"&gt;="&amp;$J1825,'Hours Log'!$A:$A,"&lt;"&amp;$J1825+7)+SUMIFS('Hours Log'!$D:$D,'Hours Log'!$A:$A,"&gt;="&amp;$J1825,'Hours Log'!$A:$A,"&lt;"&amp;$J1825+7))</f>
        <v/>
      </c>
      <c r="D1825">
        <f>IF($J1825="","",SUMIFS('Hours Log'!$D:$D,'Hours Log'!$A:$A,"&gt;="&amp;$J1825,'Hours Log'!$A:$A,"&lt;"&amp;$J1825+7))</f>
        <v/>
      </c>
      <c r="E1825">
        <f>IF($J1825="","",IFERROR(C1825/(B1825*40),0))</f>
        <v/>
      </c>
      <c r="F1825">
        <f>IF($J1825="","",0)</f>
        <v/>
      </c>
      <c r="G1825">
        <f>IF($J1825="","",SUMIFS('Hours Log'!$E:$E,'Hours Log'!$A:$A,"&gt;="&amp;$J1825,'Hours Log'!$A:$A,"&lt;"&amp;$J1825+7))</f>
        <v/>
      </c>
      <c r="J1825">
        <f>IF(COUNT('Hours Log'!$A$4:$A$5000)=0,"",IF(MIN('Hours Log'!$A$4:$A$5000)+7*(ROW()-10)&gt;MAX('Hours Log'!$A$4:$A$5000),"",MIN('Hours Log'!$A$4:$A$5000)+7*(ROW()-10)))</f>
        <v/>
      </c>
    </row>
    <row r="1826">
      <c r="A1826">
        <f>IF($J1826="","",YEAR($J1826-WEEKDAY($J1826,2)+4)&amp;"-W"&amp;TEXT(WEEKNUM($J1826,21),"00"))</f>
        <v/>
      </c>
      <c r="B1826" s="41">
        <f>IF($J1826="","",COUNTIFS(Roster!$D$4:$D$500,"Active",Roster!$C$4:$C$500,"&lt;="&amp;$J1826))</f>
        <v/>
      </c>
      <c r="C1826">
        <f>IF($J1826="","",SUMIFS('Hours Log'!$C:$C,'Hours Log'!$A:$A,"&gt;="&amp;$J1826,'Hours Log'!$A:$A,"&lt;"&amp;$J1826+7)+SUMIFS('Hours Log'!$D:$D,'Hours Log'!$A:$A,"&gt;="&amp;$J1826,'Hours Log'!$A:$A,"&lt;"&amp;$J1826+7))</f>
        <v/>
      </c>
      <c r="D1826">
        <f>IF($J1826="","",SUMIFS('Hours Log'!$D:$D,'Hours Log'!$A:$A,"&gt;="&amp;$J1826,'Hours Log'!$A:$A,"&lt;"&amp;$J1826+7))</f>
        <v/>
      </c>
      <c r="E1826">
        <f>IF($J1826="","",IFERROR(C1826/(B1826*40),0))</f>
        <v/>
      </c>
      <c r="F1826">
        <f>IF($J1826="","",0)</f>
        <v/>
      </c>
      <c r="G1826">
        <f>IF($J1826="","",SUMIFS('Hours Log'!$E:$E,'Hours Log'!$A:$A,"&gt;="&amp;$J1826,'Hours Log'!$A:$A,"&lt;"&amp;$J1826+7))</f>
        <v/>
      </c>
      <c r="J1826">
        <f>IF(COUNT('Hours Log'!$A$4:$A$5000)=0,"",IF(MIN('Hours Log'!$A$4:$A$5000)+7*(ROW()-10)&gt;MAX('Hours Log'!$A$4:$A$5000),"",MIN('Hours Log'!$A$4:$A$5000)+7*(ROW()-10)))</f>
        <v/>
      </c>
    </row>
    <row r="1827">
      <c r="A1827">
        <f>IF($J1827="","",YEAR($J1827-WEEKDAY($J1827,2)+4)&amp;"-W"&amp;TEXT(WEEKNUM($J1827,21),"00"))</f>
        <v/>
      </c>
      <c r="B1827" s="41">
        <f>IF($J1827="","",COUNTIFS(Roster!$D$4:$D$500,"Active",Roster!$C$4:$C$500,"&lt;="&amp;$J1827))</f>
        <v/>
      </c>
      <c r="C1827">
        <f>IF($J1827="","",SUMIFS('Hours Log'!$C:$C,'Hours Log'!$A:$A,"&gt;="&amp;$J1827,'Hours Log'!$A:$A,"&lt;"&amp;$J1827+7)+SUMIFS('Hours Log'!$D:$D,'Hours Log'!$A:$A,"&gt;="&amp;$J1827,'Hours Log'!$A:$A,"&lt;"&amp;$J1827+7))</f>
        <v/>
      </c>
      <c r="D1827">
        <f>IF($J1827="","",SUMIFS('Hours Log'!$D:$D,'Hours Log'!$A:$A,"&gt;="&amp;$J1827,'Hours Log'!$A:$A,"&lt;"&amp;$J1827+7))</f>
        <v/>
      </c>
      <c r="E1827">
        <f>IF($J1827="","",IFERROR(C1827/(B1827*40),0))</f>
        <v/>
      </c>
      <c r="F1827">
        <f>IF($J1827="","",0)</f>
        <v/>
      </c>
      <c r="G1827">
        <f>IF($J1827="","",SUMIFS('Hours Log'!$E:$E,'Hours Log'!$A:$A,"&gt;="&amp;$J1827,'Hours Log'!$A:$A,"&lt;"&amp;$J1827+7))</f>
        <v/>
      </c>
      <c r="J1827">
        <f>IF(COUNT('Hours Log'!$A$4:$A$5000)=0,"",IF(MIN('Hours Log'!$A$4:$A$5000)+7*(ROW()-10)&gt;MAX('Hours Log'!$A$4:$A$5000),"",MIN('Hours Log'!$A$4:$A$5000)+7*(ROW()-10)))</f>
        <v/>
      </c>
    </row>
    <row r="1828">
      <c r="A1828">
        <f>IF($J1828="","",YEAR($J1828-WEEKDAY($J1828,2)+4)&amp;"-W"&amp;TEXT(WEEKNUM($J1828,21),"00"))</f>
        <v/>
      </c>
      <c r="B1828" s="41">
        <f>IF($J1828="","",COUNTIFS(Roster!$D$4:$D$500,"Active",Roster!$C$4:$C$500,"&lt;="&amp;$J1828))</f>
        <v/>
      </c>
      <c r="C1828">
        <f>IF($J1828="","",SUMIFS('Hours Log'!$C:$C,'Hours Log'!$A:$A,"&gt;="&amp;$J1828,'Hours Log'!$A:$A,"&lt;"&amp;$J1828+7)+SUMIFS('Hours Log'!$D:$D,'Hours Log'!$A:$A,"&gt;="&amp;$J1828,'Hours Log'!$A:$A,"&lt;"&amp;$J1828+7))</f>
        <v/>
      </c>
      <c r="D1828">
        <f>IF($J1828="","",SUMIFS('Hours Log'!$D:$D,'Hours Log'!$A:$A,"&gt;="&amp;$J1828,'Hours Log'!$A:$A,"&lt;"&amp;$J1828+7))</f>
        <v/>
      </c>
      <c r="E1828">
        <f>IF($J1828="","",IFERROR(C1828/(B1828*40),0))</f>
        <v/>
      </c>
      <c r="F1828">
        <f>IF($J1828="","",0)</f>
        <v/>
      </c>
      <c r="G1828">
        <f>IF($J1828="","",SUMIFS('Hours Log'!$E:$E,'Hours Log'!$A:$A,"&gt;="&amp;$J1828,'Hours Log'!$A:$A,"&lt;"&amp;$J1828+7))</f>
        <v/>
      </c>
      <c r="J1828">
        <f>IF(COUNT('Hours Log'!$A$4:$A$5000)=0,"",IF(MIN('Hours Log'!$A$4:$A$5000)+7*(ROW()-10)&gt;MAX('Hours Log'!$A$4:$A$5000),"",MIN('Hours Log'!$A$4:$A$5000)+7*(ROW()-10)))</f>
        <v/>
      </c>
    </row>
    <row r="1829">
      <c r="A1829">
        <f>IF($J1829="","",YEAR($J1829-WEEKDAY($J1829,2)+4)&amp;"-W"&amp;TEXT(WEEKNUM($J1829,21),"00"))</f>
        <v/>
      </c>
      <c r="B1829" s="41">
        <f>IF($J1829="","",COUNTIFS(Roster!$D$4:$D$500,"Active",Roster!$C$4:$C$500,"&lt;="&amp;$J1829))</f>
        <v/>
      </c>
      <c r="C1829">
        <f>IF($J1829="","",SUMIFS('Hours Log'!$C:$C,'Hours Log'!$A:$A,"&gt;="&amp;$J1829,'Hours Log'!$A:$A,"&lt;"&amp;$J1829+7)+SUMIFS('Hours Log'!$D:$D,'Hours Log'!$A:$A,"&gt;="&amp;$J1829,'Hours Log'!$A:$A,"&lt;"&amp;$J1829+7))</f>
        <v/>
      </c>
      <c r="D1829">
        <f>IF($J1829="","",SUMIFS('Hours Log'!$D:$D,'Hours Log'!$A:$A,"&gt;="&amp;$J1829,'Hours Log'!$A:$A,"&lt;"&amp;$J1829+7))</f>
        <v/>
      </c>
      <c r="E1829">
        <f>IF($J1829="","",IFERROR(C1829/(B1829*40),0))</f>
        <v/>
      </c>
      <c r="F1829">
        <f>IF($J1829="","",0)</f>
        <v/>
      </c>
      <c r="G1829">
        <f>IF($J1829="","",SUMIFS('Hours Log'!$E:$E,'Hours Log'!$A:$A,"&gt;="&amp;$J1829,'Hours Log'!$A:$A,"&lt;"&amp;$J1829+7))</f>
        <v/>
      </c>
      <c r="J1829">
        <f>IF(COUNT('Hours Log'!$A$4:$A$5000)=0,"",IF(MIN('Hours Log'!$A$4:$A$5000)+7*(ROW()-10)&gt;MAX('Hours Log'!$A$4:$A$5000),"",MIN('Hours Log'!$A$4:$A$5000)+7*(ROW()-10)))</f>
        <v/>
      </c>
    </row>
    <row r="1830">
      <c r="A1830">
        <f>IF($J1830="","",YEAR($J1830-WEEKDAY($J1830,2)+4)&amp;"-W"&amp;TEXT(WEEKNUM($J1830,21),"00"))</f>
        <v/>
      </c>
      <c r="B1830" s="41">
        <f>IF($J1830="","",COUNTIFS(Roster!$D$4:$D$500,"Active",Roster!$C$4:$C$500,"&lt;="&amp;$J1830))</f>
        <v/>
      </c>
      <c r="C1830">
        <f>IF($J1830="","",SUMIFS('Hours Log'!$C:$C,'Hours Log'!$A:$A,"&gt;="&amp;$J1830,'Hours Log'!$A:$A,"&lt;"&amp;$J1830+7)+SUMIFS('Hours Log'!$D:$D,'Hours Log'!$A:$A,"&gt;="&amp;$J1830,'Hours Log'!$A:$A,"&lt;"&amp;$J1830+7))</f>
        <v/>
      </c>
      <c r="D1830">
        <f>IF($J1830="","",SUMIFS('Hours Log'!$D:$D,'Hours Log'!$A:$A,"&gt;="&amp;$J1830,'Hours Log'!$A:$A,"&lt;"&amp;$J1830+7))</f>
        <v/>
      </c>
      <c r="E1830">
        <f>IF($J1830="","",IFERROR(C1830/(B1830*40),0))</f>
        <v/>
      </c>
      <c r="F1830">
        <f>IF($J1830="","",0)</f>
        <v/>
      </c>
      <c r="G1830">
        <f>IF($J1830="","",SUMIFS('Hours Log'!$E:$E,'Hours Log'!$A:$A,"&gt;="&amp;$J1830,'Hours Log'!$A:$A,"&lt;"&amp;$J1830+7))</f>
        <v/>
      </c>
      <c r="J1830">
        <f>IF(COUNT('Hours Log'!$A$4:$A$5000)=0,"",IF(MIN('Hours Log'!$A$4:$A$5000)+7*(ROW()-10)&gt;MAX('Hours Log'!$A$4:$A$5000),"",MIN('Hours Log'!$A$4:$A$5000)+7*(ROW()-10)))</f>
        <v/>
      </c>
    </row>
    <row r="1831">
      <c r="A1831">
        <f>IF($J1831="","",YEAR($J1831-WEEKDAY($J1831,2)+4)&amp;"-W"&amp;TEXT(WEEKNUM($J1831,21),"00"))</f>
        <v/>
      </c>
      <c r="B1831" s="41">
        <f>IF($J1831="","",COUNTIFS(Roster!$D$4:$D$500,"Active",Roster!$C$4:$C$500,"&lt;="&amp;$J1831))</f>
        <v/>
      </c>
      <c r="C1831">
        <f>IF($J1831="","",SUMIFS('Hours Log'!$C:$C,'Hours Log'!$A:$A,"&gt;="&amp;$J1831,'Hours Log'!$A:$A,"&lt;"&amp;$J1831+7)+SUMIFS('Hours Log'!$D:$D,'Hours Log'!$A:$A,"&gt;="&amp;$J1831,'Hours Log'!$A:$A,"&lt;"&amp;$J1831+7))</f>
        <v/>
      </c>
      <c r="D1831">
        <f>IF($J1831="","",SUMIFS('Hours Log'!$D:$D,'Hours Log'!$A:$A,"&gt;="&amp;$J1831,'Hours Log'!$A:$A,"&lt;"&amp;$J1831+7))</f>
        <v/>
      </c>
      <c r="E1831">
        <f>IF($J1831="","",IFERROR(C1831/(B1831*40),0))</f>
        <v/>
      </c>
      <c r="F1831">
        <f>IF($J1831="","",0)</f>
        <v/>
      </c>
      <c r="G1831">
        <f>IF($J1831="","",SUMIFS('Hours Log'!$E:$E,'Hours Log'!$A:$A,"&gt;="&amp;$J1831,'Hours Log'!$A:$A,"&lt;"&amp;$J1831+7))</f>
        <v/>
      </c>
      <c r="J1831">
        <f>IF(COUNT('Hours Log'!$A$4:$A$5000)=0,"",IF(MIN('Hours Log'!$A$4:$A$5000)+7*(ROW()-10)&gt;MAX('Hours Log'!$A$4:$A$5000),"",MIN('Hours Log'!$A$4:$A$5000)+7*(ROW()-10)))</f>
        <v/>
      </c>
    </row>
    <row r="1832">
      <c r="A1832">
        <f>IF($J1832="","",YEAR($J1832-WEEKDAY($J1832,2)+4)&amp;"-W"&amp;TEXT(WEEKNUM($J1832,21),"00"))</f>
        <v/>
      </c>
      <c r="B1832" s="41">
        <f>IF($J1832="","",COUNTIFS(Roster!$D$4:$D$500,"Active",Roster!$C$4:$C$500,"&lt;="&amp;$J1832))</f>
        <v/>
      </c>
      <c r="C1832">
        <f>IF($J1832="","",SUMIFS('Hours Log'!$C:$C,'Hours Log'!$A:$A,"&gt;="&amp;$J1832,'Hours Log'!$A:$A,"&lt;"&amp;$J1832+7)+SUMIFS('Hours Log'!$D:$D,'Hours Log'!$A:$A,"&gt;="&amp;$J1832,'Hours Log'!$A:$A,"&lt;"&amp;$J1832+7))</f>
        <v/>
      </c>
      <c r="D1832">
        <f>IF($J1832="","",SUMIFS('Hours Log'!$D:$D,'Hours Log'!$A:$A,"&gt;="&amp;$J1832,'Hours Log'!$A:$A,"&lt;"&amp;$J1832+7))</f>
        <v/>
      </c>
      <c r="E1832">
        <f>IF($J1832="","",IFERROR(C1832/(B1832*40),0))</f>
        <v/>
      </c>
      <c r="F1832">
        <f>IF($J1832="","",0)</f>
        <v/>
      </c>
      <c r="G1832">
        <f>IF($J1832="","",SUMIFS('Hours Log'!$E:$E,'Hours Log'!$A:$A,"&gt;="&amp;$J1832,'Hours Log'!$A:$A,"&lt;"&amp;$J1832+7))</f>
        <v/>
      </c>
      <c r="J1832">
        <f>IF(COUNT('Hours Log'!$A$4:$A$5000)=0,"",IF(MIN('Hours Log'!$A$4:$A$5000)+7*(ROW()-10)&gt;MAX('Hours Log'!$A$4:$A$5000),"",MIN('Hours Log'!$A$4:$A$5000)+7*(ROW()-10)))</f>
        <v/>
      </c>
    </row>
    <row r="1833">
      <c r="A1833">
        <f>IF($J1833="","",YEAR($J1833-WEEKDAY($J1833,2)+4)&amp;"-W"&amp;TEXT(WEEKNUM($J1833,21),"00"))</f>
        <v/>
      </c>
      <c r="B1833" s="41">
        <f>IF($J1833="","",COUNTIFS(Roster!$D$4:$D$500,"Active",Roster!$C$4:$C$500,"&lt;="&amp;$J1833))</f>
        <v/>
      </c>
      <c r="C1833">
        <f>IF($J1833="","",SUMIFS('Hours Log'!$C:$C,'Hours Log'!$A:$A,"&gt;="&amp;$J1833,'Hours Log'!$A:$A,"&lt;"&amp;$J1833+7)+SUMIFS('Hours Log'!$D:$D,'Hours Log'!$A:$A,"&gt;="&amp;$J1833,'Hours Log'!$A:$A,"&lt;"&amp;$J1833+7))</f>
        <v/>
      </c>
      <c r="D1833">
        <f>IF($J1833="","",SUMIFS('Hours Log'!$D:$D,'Hours Log'!$A:$A,"&gt;="&amp;$J1833,'Hours Log'!$A:$A,"&lt;"&amp;$J1833+7))</f>
        <v/>
      </c>
      <c r="E1833">
        <f>IF($J1833="","",IFERROR(C1833/(B1833*40),0))</f>
        <v/>
      </c>
      <c r="F1833">
        <f>IF($J1833="","",0)</f>
        <v/>
      </c>
      <c r="G1833">
        <f>IF($J1833="","",SUMIFS('Hours Log'!$E:$E,'Hours Log'!$A:$A,"&gt;="&amp;$J1833,'Hours Log'!$A:$A,"&lt;"&amp;$J1833+7))</f>
        <v/>
      </c>
      <c r="J1833">
        <f>IF(COUNT('Hours Log'!$A$4:$A$5000)=0,"",IF(MIN('Hours Log'!$A$4:$A$5000)+7*(ROW()-10)&gt;MAX('Hours Log'!$A$4:$A$5000),"",MIN('Hours Log'!$A$4:$A$5000)+7*(ROW()-10)))</f>
        <v/>
      </c>
    </row>
    <row r="1834">
      <c r="A1834">
        <f>IF($J1834="","",YEAR($J1834-WEEKDAY($J1834,2)+4)&amp;"-W"&amp;TEXT(WEEKNUM($J1834,21),"00"))</f>
        <v/>
      </c>
      <c r="B1834" s="41">
        <f>IF($J1834="","",COUNTIFS(Roster!$D$4:$D$500,"Active",Roster!$C$4:$C$500,"&lt;="&amp;$J1834))</f>
        <v/>
      </c>
      <c r="C1834">
        <f>IF($J1834="","",SUMIFS('Hours Log'!$C:$C,'Hours Log'!$A:$A,"&gt;="&amp;$J1834,'Hours Log'!$A:$A,"&lt;"&amp;$J1834+7)+SUMIFS('Hours Log'!$D:$D,'Hours Log'!$A:$A,"&gt;="&amp;$J1834,'Hours Log'!$A:$A,"&lt;"&amp;$J1834+7))</f>
        <v/>
      </c>
      <c r="D1834">
        <f>IF($J1834="","",SUMIFS('Hours Log'!$D:$D,'Hours Log'!$A:$A,"&gt;="&amp;$J1834,'Hours Log'!$A:$A,"&lt;"&amp;$J1834+7))</f>
        <v/>
      </c>
      <c r="E1834">
        <f>IF($J1834="","",IFERROR(C1834/(B1834*40),0))</f>
        <v/>
      </c>
      <c r="F1834">
        <f>IF($J1834="","",0)</f>
        <v/>
      </c>
      <c r="G1834">
        <f>IF($J1834="","",SUMIFS('Hours Log'!$E:$E,'Hours Log'!$A:$A,"&gt;="&amp;$J1834,'Hours Log'!$A:$A,"&lt;"&amp;$J1834+7))</f>
        <v/>
      </c>
      <c r="J1834">
        <f>IF(COUNT('Hours Log'!$A$4:$A$5000)=0,"",IF(MIN('Hours Log'!$A$4:$A$5000)+7*(ROW()-10)&gt;MAX('Hours Log'!$A$4:$A$5000),"",MIN('Hours Log'!$A$4:$A$5000)+7*(ROW()-10)))</f>
        <v/>
      </c>
    </row>
    <row r="1835">
      <c r="A1835">
        <f>IF($J1835="","",YEAR($J1835-WEEKDAY($J1835,2)+4)&amp;"-W"&amp;TEXT(WEEKNUM($J1835,21),"00"))</f>
        <v/>
      </c>
      <c r="B1835" s="41">
        <f>IF($J1835="","",COUNTIFS(Roster!$D$4:$D$500,"Active",Roster!$C$4:$C$500,"&lt;="&amp;$J1835))</f>
        <v/>
      </c>
      <c r="C1835">
        <f>IF($J1835="","",SUMIFS('Hours Log'!$C:$C,'Hours Log'!$A:$A,"&gt;="&amp;$J1835,'Hours Log'!$A:$A,"&lt;"&amp;$J1835+7)+SUMIFS('Hours Log'!$D:$D,'Hours Log'!$A:$A,"&gt;="&amp;$J1835,'Hours Log'!$A:$A,"&lt;"&amp;$J1835+7))</f>
        <v/>
      </c>
      <c r="D1835">
        <f>IF($J1835="","",SUMIFS('Hours Log'!$D:$D,'Hours Log'!$A:$A,"&gt;="&amp;$J1835,'Hours Log'!$A:$A,"&lt;"&amp;$J1835+7))</f>
        <v/>
      </c>
      <c r="E1835">
        <f>IF($J1835="","",IFERROR(C1835/(B1835*40),0))</f>
        <v/>
      </c>
      <c r="F1835">
        <f>IF($J1835="","",0)</f>
        <v/>
      </c>
      <c r="G1835">
        <f>IF($J1835="","",SUMIFS('Hours Log'!$E:$E,'Hours Log'!$A:$A,"&gt;="&amp;$J1835,'Hours Log'!$A:$A,"&lt;"&amp;$J1835+7))</f>
        <v/>
      </c>
      <c r="J1835">
        <f>IF(COUNT('Hours Log'!$A$4:$A$5000)=0,"",IF(MIN('Hours Log'!$A$4:$A$5000)+7*(ROW()-10)&gt;MAX('Hours Log'!$A$4:$A$5000),"",MIN('Hours Log'!$A$4:$A$5000)+7*(ROW()-10)))</f>
        <v/>
      </c>
    </row>
    <row r="1836">
      <c r="A1836">
        <f>IF($J1836="","",YEAR($J1836-WEEKDAY($J1836,2)+4)&amp;"-W"&amp;TEXT(WEEKNUM($J1836,21),"00"))</f>
        <v/>
      </c>
      <c r="B1836" s="41">
        <f>IF($J1836="","",COUNTIFS(Roster!$D$4:$D$500,"Active",Roster!$C$4:$C$500,"&lt;="&amp;$J1836))</f>
        <v/>
      </c>
      <c r="C1836">
        <f>IF($J1836="","",SUMIFS('Hours Log'!$C:$C,'Hours Log'!$A:$A,"&gt;="&amp;$J1836,'Hours Log'!$A:$A,"&lt;"&amp;$J1836+7)+SUMIFS('Hours Log'!$D:$D,'Hours Log'!$A:$A,"&gt;="&amp;$J1836,'Hours Log'!$A:$A,"&lt;"&amp;$J1836+7))</f>
        <v/>
      </c>
      <c r="D1836">
        <f>IF($J1836="","",SUMIFS('Hours Log'!$D:$D,'Hours Log'!$A:$A,"&gt;="&amp;$J1836,'Hours Log'!$A:$A,"&lt;"&amp;$J1836+7))</f>
        <v/>
      </c>
      <c r="E1836">
        <f>IF($J1836="","",IFERROR(C1836/(B1836*40),0))</f>
        <v/>
      </c>
      <c r="F1836">
        <f>IF($J1836="","",0)</f>
        <v/>
      </c>
      <c r="G1836">
        <f>IF($J1836="","",SUMIFS('Hours Log'!$E:$E,'Hours Log'!$A:$A,"&gt;="&amp;$J1836,'Hours Log'!$A:$A,"&lt;"&amp;$J1836+7))</f>
        <v/>
      </c>
      <c r="J1836">
        <f>IF(COUNT('Hours Log'!$A$4:$A$5000)=0,"",IF(MIN('Hours Log'!$A$4:$A$5000)+7*(ROW()-10)&gt;MAX('Hours Log'!$A$4:$A$5000),"",MIN('Hours Log'!$A$4:$A$5000)+7*(ROW()-10)))</f>
        <v/>
      </c>
    </row>
    <row r="1837">
      <c r="A1837">
        <f>IF($J1837="","",YEAR($J1837-WEEKDAY($J1837,2)+4)&amp;"-W"&amp;TEXT(WEEKNUM($J1837,21),"00"))</f>
        <v/>
      </c>
      <c r="B1837" s="41">
        <f>IF($J1837="","",COUNTIFS(Roster!$D$4:$D$500,"Active",Roster!$C$4:$C$500,"&lt;="&amp;$J1837))</f>
        <v/>
      </c>
      <c r="C1837">
        <f>IF($J1837="","",SUMIFS('Hours Log'!$C:$C,'Hours Log'!$A:$A,"&gt;="&amp;$J1837,'Hours Log'!$A:$A,"&lt;"&amp;$J1837+7)+SUMIFS('Hours Log'!$D:$D,'Hours Log'!$A:$A,"&gt;="&amp;$J1837,'Hours Log'!$A:$A,"&lt;"&amp;$J1837+7))</f>
        <v/>
      </c>
      <c r="D1837">
        <f>IF($J1837="","",SUMIFS('Hours Log'!$D:$D,'Hours Log'!$A:$A,"&gt;="&amp;$J1837,'Hours Log'!$A:$A,"&lt;"&amp;$J1837+7))</f>
        <v/>
      </c>
      <c r="E1837">
        <f>IF($J1837="","",IFERROR(C1837/(B1837*40),0))</f>
        <v/>
      </c>
      <c r="F1837">
        <f>IF($J1837="","",0)</f>
        <v/>
      </c>
      <c r="G1837">
        <f>IF($J1837="","",SUMIFS('Hours Log'!$E:$E,'Hours Log'!$A:$A,"&gt;="&amp;$J1837,'Hours Log'!$A:$A,"&lt;"&amp;$J1837+7))</f>
        <v/>
      </c>
      <c r="J1837">
        <f>IF(COUNT('Hours Log'!$A$4:$A$5000)=0,"",IF(MIN('Hours Log'!$A$4:$A$5000)+7*(ROW()-10)&gt;MAX('Hours Log'!$A$4:$A$5000),"",MIN('Hours Log'!$A$4:$A$5000)+7*(ROW()-10)))</f>
        <v/>
      </c>
    </row>
    <row r="1838">
      <c r="A1838">
        <f>IF($J1838="","",YEAR($J1838-WEEKDAY($J1838,2)+4)&amp;"-W"&amp;TEXT(WEEKNUM($J1838,21),"00"))</f>
        <v/>
      </c>
      <c r="B1838" s="41">
        <f>IF($J1838="","",COUNTIFS(Roster!$D$4:$D$500,"Active",Roster!$C$4:$C$500,"&lt;="&amp;$J1838))</f>
        <v/>
      </c>
      <c r="C1838">
        <f>IF($J1838="","",SUMIFS('Hours Log'!$C:$C,'Hours Log'!$A:$A,"&gt;="&amp;$J1838,'Hours Log'!$A:$A,"&lt;"&amp;$J1838+7)+SUMIFS('Hours Log'!$D:$D,'Hours Log'!$A:$A,"&gt;="&amp;$J1838,'Hours Log'!$A:$A,"&lt;"&amp;$J1838+7))</f>
        <v/>
      </c>
      <c r="D1838">
        <f>IF($J1838="","",SUMIFS('Hours Log'!$D:$D,'Hours Log'!$A:$A,"&gt;="&amp;$J1838,'Hours Log'!$A:$A,"&lt;"&amp;$J1838+7))</f>
        <v/>
      </c>
      <c r="E1838">
        <f>IF($J1838="","",IFERROR(C1838/(B1838*40),0))</f>
        <v/>
      </c>
      <c r="F1838">
        <f>IF($J1838="","",0)</f>
        <v/>
      </c>
      <c r="G1838">
        <f>IF($J1838="","",SUMIFS('Hours Log'!$E:$E,'Hours Log'!$A:$A,"&gt;="&amp;$J1838,'Hours Log'!$A:$A,"&lt;"&amp;$J1838+7))</f>
        <v/>
      </c>
      <c r="J1838">
        <f>IF(COUNT('Hours Log'!$A$4:$A$5000)=0,"",IF(MIN('Hours Log'!$A$4:$A$5000)+7*(ROW()-10)&gt;MAX('Hours Log'!$A$4:$A$5000),"",MIN('Hours Log'!$A$4:$A$5000)+7*(ROW()-10)))</f>
        <v/>
      </c>
    </row>
    <row r="1839">
      <c r="A1839">
        <f>IF($J1839="","",YEAR($J1839-WEEKDAY($J1839,2)+4)&amp;"-W"&amp;TEXT(WEEKNUM($J1839,21),"00"))</f>
        <v/>
      </c>
      <c r="B1839" s="41">
        <f>IF($J1839="","",COUNTIFS(Roster!$D$4:$D$500,"Active",Roster!$C$4:$C$500,"&lt;="&amp;$J1839))</f>
        <v/>
      </c>
      <c r="C1839">
        <f>IF($J1839="","",SUMIFS('Hours Log'!$C:$C,'Hours Log'!$A:$A,"&gt;="&amp;$J1839,'Hours Log'!$A:$A,"&lt;"&amp;$J1839+7)+SUMIFS('Hours Log'!$D:$D,'Hours Log'!$A:$A,"&gt;="&amp;$J1839,'Hours Log'!$A:$A,"&lt;"&amp;$J1839+7))</f>
        <v/>
      </c>
      <c r="D1839">
        <f>IF($J1839="","",SUMIFS('Hours Log'!$D:$D,'Hours Log'!$A:$A,"&gt;="&amp;$J1839,'Hours Log'!$A:$A,"&lt;"&amp;$J1839+7))</f>
        <v/>
      </c>
      <c r="E1839">
        <f>IF($J1839="","",IFERROR(C1839/(B1839*40),0))</f>
        <v/>
      </c>
      <c r="F1839">
        <f>IF($J1839="","",0)</f>
        <v/>
      </c>
      <c r="G1839">
        <f>IF($J1839="","",SUMIFS('Hours Log'!$E:$E,'Hours Log'!$A:$A,"&gt;="&amp;$J1839,'Hours Log'!$A:$A,"&lt;"&amp;$J1839+7))</f>
        <v/>
      </c>
      <c r="J1839">
        <f>IF(COUNT('Hours Log'!$A$4:$A$5000)=0,"",IF(MIN('Hours Log'!$A$4:$A$5000)+7*(ROW()-10)&gt;MAX('Hours Log'!$A$4:$A$5000),"",MIN('Hours Log'!$A$4:$A$5000)+7*(ROW()-10)))</f>
        <v/>
      </c>
    </row>
    <row r="1840">
      <c r="A1840">
        <f>IF($J1840="","",YEAR($J1840-WEEKDAY($J1840,2)+4)&amp;"-W"&amp;TEXT(WEEKNUM($J1840,21),"00"))</f>
        <v/>
      </c>
      <c r="B1840" s="41">
        <f>IF($J1840="","",COUNTIFS(Roster!$D$4:$D$500,"Active",Roster!$C$4:$C$500,"&lt;="&amp;$J1840))</f>
        <v/>
      </c>
      <c r="C1840">
        <f>IF($J1840="","",SUMIFS('Hours Log'!$C:$C,'Hours Log'!$A:$A,"&gt;="&amp;$J1840,'Hours Log'!$A:$A,"&lt;"&amp;$J1840+7)+SUMIFS('Hours Log'!$D:$D,'Hours Log'!$A:$A,"&gt;="&amp;$J1840,'Hours Log'!$A:$A,"&lt;"&amp;$J1840+7))</f>
        <v/>
      </c>
      <c r="D1840">
        <f>IF($J1840="","",SUMIFS('Hours Log'!$D:$D,'Hours Log'!$A:$A,"&gt;="&amp;$J1840,'Hours Log'!$A:$A,"&lt;"&amp;$J1840+7))</f>
        <v/>
      </c>
      <c r="E1840">
        <f>IF($J1840="","",IFERROR(C1840/(B1840*40),0))</f>
        <v/>
      </c>
      <c r="F1840">
        <f>IF($J1840="","",0)</f>
        <v/>
      </c>
      <c r="G1840">
        <f>IF($J1840="","",SUMIFS('Hours Log'!$E:$E,'Hours Log'!$A:$A,"&gt;="&amp;$J1840,'Hours Log'!$A:$A,"&lt;"&amp;$J1840+7))</f>
        <v/>
      </c>
      <c r="J1840">
        <f>IF(COUNT('Hours Log'!$A$4:$A$5000)=0,"",IF(MIN('Hours Log'!$A$4:$A$5000)+7*(ROW()-10)&gt;MAX('Hours Log'!$A$4:$A$5000),"",MIN('Hours Log'!$A$4:$A$5000)+7*(ROW()-10)))</f>
        <v/>
      </c>
    </row>
    <row r="1841">
      <c r="A1841">
        <f>IF($J1841="","",YEAR($J1841-WEEKDAY($J1841,2)+4)&amp;"-W"&amp;TEXT(WEEKNUM($J1841,21),"00"))</f>
        <v/>
      </c>
      <c r="B1841" s="41">
        <f>IF($J1841="","",COUNTIFS(Roster!$D$4:$D$500,"Active",Roster!$C$4:$C$500,"&lt;="&amp;$J1841))</f>
        <v/>
      </c>
      <c r="C1841">
        <f>IF($J1841="","",SUMIFS('Hours Log'!$C:$C,'Hours Log'!$A:$A,"&gt;="&amp;$J1841,'Hours Log'!$A:$A,"&lt;"&amp;$J1841+7)+SUMIFS('Hours Log'!$D:$D,'Hours Log'!$A:$A,"&gt;="&amp;$J1841,'Hours Log'!$A:$A,"&lt;"&amp;$J1841+7))</f>
        <v/>
      </c>
      <c r="D1841">
        <f>IF($J1841="","",SUMIFS('Hours Log'!$D:$D,'Hours Log'!$A:$A,"&gt;="&amp;$J1841,'Hours Log'!$A:$A,"&lt;"&amp;$J1841+7))</f>
        <v/>
      </c>
      <c r="E1841">
        <f>IF($J1841="","",IFERROR(C1841/(B1841*40),0))</f>
        <v/>
      </c>
      <c r="F1841">
        <f>IF($J1841="","",0)</f>
        <v/>
      </c>
      <c r="G1841">
        <f>IF($J1841="","",SUMIFS('Hours Log'!$E:$E,'Hours Log'!$A:$A,"&gt;="&amp;$J1841,'Hours Log'!$A:$A,"&lt;"&amp;$J1841+7))</f>
        <v/>
      </c>
      <c r="J1841">
        <f>IF(COUNT('Hours Log'!$A$4:$A$5000)=0,"",IF(MIN('Hours Log'!$A$4:$A$5000)+7*(ROW()-10)&gt;MAX('Hours Log'!$A$4:$A$5000),"",MIN('Hours Log'!$A$4:$A$5000)+7*(ROW()-10)))</f>
        <v/>
      </c>
    </row>
    <row r="1842">
      <c r="A1842">
        <f>IF($J1842="","",YEAR($J1842-WEEKDAY($J1842,2)+4)&amp;"-W"&amp;TEXT(WEEKNUM($J1842,21),"00"))</f>
        <v/>
      </c>
      <c r="B1842" s="41">
        <f>IF($J1842="","",COUNTIFS(Roster!$D$4:$D$500,"Active",Roster!$C$4:$C$500,"&lt;="&amp;$J1842))</f>
        <v/>
      </c>
      <c r="C1842">
        <f>IF($J1842="","",SUMIFS('Hours Log'!$C:$C,'Hours Log'!$A:$A,"&gt;="&amp;$J1842,'Hours Log'!$A:$A,"&lt;"&amp;$J1842+7)+SUMIFS('Hours Log'!$D:$D,'Hours Log'!$A:$A,"&gt;="&amp;$J1842,'Hours Log'!$A:$A,"&lt;"&amp;$J1842+7))</f>
        <v/>
      </c>
      <c r="D1842">
        <f>IF($J1842="","",SUMIFS('Hours Log'!$D:$D,'Hours Log'!$A:$A,"&gt;="&amp;$J1842,'Hours Log'!$A:$A,"&lt;"&amp;$J1842+7))</f>
        <v/>
      </c>
      <c r="E1842">
        <f>IF($J1842="","",IFERROR(C1842/(B1842*40),0))</f>
        <v/>
      </c>
      <c r="F1842">
        <f>IF($J1842="","",0)</f>
        <v/>
      </c>
      <c r="G1842">
        <f>IF($J1842="","",SUMIFS('Hours Log'!$E:$E,'Hours Log'!$A:$A,"&gt;="&amp;$J1842,'Hours Log'!$A:$A,"&lt;"&amp;$J1842+7))</f>
        <v/>
      </c>
      <c r="J1842">
        <f>IF(COUNT('Hours Log'!$A$4:$A$5000)=0,"",IF(MIN('Hours Log'!$A$4:$A$5000)+7*(ROW()-10)&gt;MAX('Hours Log'!$A$4:$A$5000),"",MIN('Hours Log'!$A$4:$A$5000)+7*(ROW()-10)))</f>
        <v/>
      </c>
    </row>
    <row r="1843">
      <c r="A1843">
        <f>IF($J1843="","",YEAR($J1843-WEEKDAY($J1843,2)+4)&amp;"-W"&amp;TEXT(WEEKNUM($J1843,21),"00"))</f>
        <v/>
      </c>
      <c r="B1843" s="41">
        <f>IF($J1843="","",COUNTIFS(Roster!$D$4:$D$500,"Active",Roster!$C$4:$C$500,"&lt;="&amp;$J1843))</f>
        <v/>
      </c>
      <c r="C1843">
        <f>IF($J1843="","",SUMIFS('Hours Log'!$C:$C,'Hours Log'!$A:$A,"&gt;="&amp;$J1843,'Hours Log'!$A:$A,"&lt;"&amp;$J1843+7)+SUMIFS('Hours Log'!$D:$D,'Hours Log'!$A:$A,"&gt;="&amp;$J1843,'Hours Log'!$A:$A,"&lt;"&amp;$J1843+7))</f>
        <v/>
      </c>
      <c r="D1843">
        <f>IF($J1843="","",SUMIFS('Hours Log'!$D:$D,'Hours Log'!$A:$A,"&gt;="&amp;$J1843,'Hours Log'!$A:$A,"&lt;"&amp;$J1843+7))</f>
        <v/>
      </c>
      <c r="E1843">
        <f>IF($J1843="","",IFERROR(C1843/(B1843*40),0))</f>
        <v/>
      </c>
      <c r="F1843">
        <f>IF($J1843="","",0)</f>
        <v/>
      </c>
      <c r="G1843">
        <f>IF($J1843="","",SUMIFS('Hours Log'!$E:$E,'Hours Log'!$A:$A,"&gt;="&amp;$J1843,'Hours Log'!$A:$A,"&lt;"&amp;$J1843+7))</f>
        <v/>
      </c>
      <c r="J1843">
        <f>IF(COUNT('Hours Log'!$A$4:$A$5000)=0,"",IF(MIN('Hours Log'!$A$4:$A$5000)+7*(ROW()-10)&gt;MAX('Hours Log'!$A$4:$A$5000),"",MIN('Hours Log'!$A$4:$A$5000)+7*(ROW()-10)))</f>
        <v/>
      </c>
    </row>
    <row r="1844">
      <c r="A1844">
        <f>IF($J1844="","",YEAR($J1844-WEEKDAY($J1844,2)+4)&amp;"-W"&amp;TEXT(WEEKNUM($J1844,21),"00"))</f>
        <v/>
      </c>
      <c r="B1844" s="41">
        <f>IF($J1844="","",COUNTIFS(Roster!$D$4:$D$500,"Active",Roster!$C$4:$C$500,"&lt;="&amp;$J1844))</f>
        <v/>
      </c>
      <c r="C1844">
        <f>IF($J1844="","",SUMIFS('Hours Log'!$C:$C,'Hours Log'!$A:$A,"&gt;="&amp;$J1844,'Hours Log'!$A:$A,"&lt;"&amp;$J1844+7)+SUMIFS('Hours Log'!$D:$D,'Hours Log'!$A:$A,"&gt;="&amp;$J1844,'Hours Log'!$A:$A,"&lt;"&amp;$J1844+7))</f>
        <v/>
      </c>
      <c r="D1844">
        <f>IF($J1844="","",SUMIFS('Hours Log'!$D:$D,'Hours Log'!$A:$A,"&gt;="&amp;$J1844,'Hours Log'!$A:$A,"&lt;"&amp;$J1844+7))</f>
        <v/>
      </c>
      <c r="E1844">
        <f>IF($J1844="","",IFERROR(C1844/(B1844*40),0))</f>
        <v/>
      </c>
      <c r="F1844">
        <f>IF($J1844="","",0)</f>
        <v/>
      </c>
      <c r="G1844">
        <f>IF($J1844="","",SUMIFS('Hours Log'!$E:$E,'Hours Log'!$A:$A,"&gt;="&amp;$J1844,'Hours Log'!$A:$A,"&lt;"&amp;$J1844+7))</f>
        <v/>
      </c>
      <c r="J1844">
        <f>IF(COUNT('Hours Log'!$A$4:$A$5000)=0,"",IF(MIN('Hours Log'!$A$4:$A$5000)+7*(ROW()-10)&gt;MAX('Hours Log'!$A$4:$A$5000),"",MIN('Hours Log'!$A$4:$A$5000)+7*(ROW()-10)))</f>
        <v/>
      </c>
    </row>
    <row r="1845">
      <c r="A1845">
        <f>IF($J1845="","",YEAR($J1845-WEEKDAY($J1845,2)+4)&amp;"-W"&amp;TEXT(WEEKNUM($J1845,21),"00"))</f>
        <v/>
      </c>
      <c r="B1845" s="41">
        <f>IF($J1845="","",COUNTIFS(Roster!$D$4:$D$500,"Active",Roster!$C$4:$C$500,"&lt;="&amp;$J1845))</f>
        <v/>
      </c>
      <c r="C1845">
        <f>IF($J1845="","",SUMIFS('Hours Log'!$C:$C,'Hours Log'!$A:$A,"&gt;="&amp;$J1845,'Hours Log'!$A:$A,"&lt;"&amp;$J1845+7)+SUMIFS('Hours Log'!$D:$D,'Hours Log'!$A:$A,"&gt;="&amp;$J1845,'Hours Log'!$A:$A,"&lt;"&amp;$J1845+7))</f>
        <v/>
      </c>
      <c r="D1845">
        <f>IF($J1845="","",SUMIFS('Hours Log'!$D:$D,'Hours Log'!$A:$A,"&gt;="&amp;$J1845,'Hours Log'!$A:$A,"&lt;"&amp;$J1845+7))</f>
        <v/>
      </c>
      <c r="E1845">
        <f>IF($J1845="","",IFERROR(C1845/(B1845*40),0))</f>
        <v/>
      </c>
      <c r="F1845">
        <f>IF($J1845="","",0)</f>
        <v/>
      </c>
      <c r="G1845">
        <f>IF($J1845="","",SUMIFS('Hours Log'!$E:$E,'Hours Log'!$A:$A,"&gt;="&amp;$J1845,'Hours Log'!$A:$A,"&lt;"&amp;$J1845+7))</f>
        <v/>
      </c>
      <c r="J1845">
        <f>IF(COUNT('Hours Log'!$A$4:$A$5000)=0,"",IF(MIN('Hours Log'!$A$4:$A$5000)+7*(ROW()-10)&gt;MAX('Hours Log'!$A$4:$A$5000),"",MIN('Hours Log'!$A$4:$A$5000)+7*(ROW()-10)))</f>
        <v/>
      </c>
    </row>
    <row r="1846">
      <c r="A1846">
        <f>IF($J1846="","",YEAR($J1846-WEEKDAY($J1846,2)+4)&amp;"-W"&amp;TEXT(WEEKNUM($J1846,21),"00"))</f>
        <v/>
      </c>
      <c r="B1846" s="41">
        <f>IF($J1846="","",COUNTIFS(Roster!$D$4:$D$500,"Active",Roster!$C$4:$C$500,"&lt;="&amp;$J1846))</f>
        <v/>
      </c>
      <c r="C1846">
        <f>IF($J1846="","",SUMIFS('Hours Log'!$C:$C,'Hours Log'!$A:$A,"&gt;="&amp;$J1846,'Hours Log'!$A:$A,"&lt;"&amp;$J1846+7)+SUMIFS('Hours Log'!$D:$D,'Hours Log'!$A:$A,"&gt;="&amp;$J1846,'Hours Log'!$A:$A,"&lt;"&amp;$J1846+7))</f>
        <v/>
      </c>
      <c r="D1846">
        <f>IF($J1846="","",SUMIFS('Hours Log'!$D:$D,'Hours Log'!$A:$A,"&gt;="&amp;$J1846,'Hours Log'!$A:$A,"&lt;"&amp;$J1846+7))</f>
        <v/>
      </c>
      <c r="E1846">
        <f>IF($J1846="","",IFERROR(C1846/(B1846*40),0))</f>
        <v/>
      </c>
      <c r="F1846">
        <f>IF($J1846="","",0)</f>
        <v/>
      </c>
      <c r="G1846">
        <f>IF($J1846="","",SUMIFS('Hours Log'!$E:$E,'Hours Log'!$A:$A,"&gt;="&amp;$J1846,'Hours Log'!$A:$A,"&lt;"&amp;$J1846+7))</f>
        <v/>
      </c>
      <c r="J1846">
        <f>IF(COUNT('Hours Log'!$A$4:$A$5000)=0,"",IF(MIN('Hours Log'!$A$4:$A$5000)+7*(ROW()-10)&gt;MAX('Hours Log'!$A$4:$A$5000),"",MIN('Hours Log'!$A$4:$A$5000)+7*(ROW()-10)))</f>
        <v/>
      </c>
    </row>
    <row r="1847">
      <c r="A1847">
        <f>IF($J1847="","",YEAR($J1847-WEEKDAY($J1847,2)+4)&amp;"-W"&amp;TEXT(WEEKNUM($J1847,21),"00"))</f>
        <v/>
      </c>
      <c r="B1847" s="41">
        <f>IF($J1847="","",COUNTIFS(Roster!$D$4:$D$500,"Active",Roster!$C$4:$C$500,"&lt;="&amp;$J1847))</f>
        <v/>
      </c>
      <c r="C1847">
        <f>IF($J1847="","",SUMIFS('Hours Log'!$C:$C,'Hours Log'!$A:$A,"&gt;="&amp;$J1847,'Hours Log'!$A:$A,"&lt;"&amp;$J1847+7)+SUMIFS('Hours Log'!$D:$D,'Hours Log'!$A:$A,"&gt;="&amp;$J1847,'Hours Log'!$A:$A,"&lt;"&amp;$J1847+7))</f>
        <v/>
      </c>
      <c r="D1847">
        <f>IF($J1847="","",SUMIFS('Hours Log'!$D:$D,'Hours Log'!$A:$A,"&gt;="&amp;$J1847,'Hours Log'!$A:$A,"&lt;"&amp;$J1847+7))</f>
        <v/>
      </c>
      <c r="E1847">
        <f>IF($J1847="","",IFERROR(C1847/(B1847*40),0))</f>
        <v/>
      </c>
      <c r="F1847">
        <f>IF($J1847="","",0)</f>
        <v/>
      </c>
      <c r="G1847">
        <f>IF($J1847="","",SUMIFS('Hours Log'!$E:$E,'Hours Log'!$A:$A,"&gt;="&amp;$J1847,'Hours Log'!$A:$A,"&lt;"&amp;$J1847+7))</f>
        <v/>
      </c>
      <c r="J1847">
        <f>IF(COUNT('Hours Log'!$A$4:$A$5000)=0,"",IF(MIN('Hours Log'!$A$4:$A$5000)+7*(ROW()-10)&gt;MAX('Hours Log'!$A$4:$A$5000),"",MIN('Hours Log'!$A$4:$A$5000)+7*(ROW()-10)))</f>
        <v/>
      </c>
    </row>
    <row r="1848">
      <c r="A1848">
        <f>IF($J1848="","",YEAR($J1848-WEEKDAY($J1848,2)+4)&amp;"-W"&amp;TEXT(WEEKNUM($J1848,21),"00"))</f>
        <v/>
      </c>
      <c r="B1848" s="41">
        <f>IF($J1848="","",COUNTIFS(Roster!$D$4:$D$500,"Active",Roster!$C$4:$C$500,"&lt;="&amp;$J1848))</f>
        <v/>
      </c>
      <c r="C1848">
        <f>IF($J1848="","",SUMIFS('Hours Log'!$C:$C,'Hours Log'!$A:$A,"&gt;="&amp;$J1848,'Hours Log'!$A:$A,"&lt;"&amp;$J1848+7)+SUMIFS('Hours Log'!$D:$D,'Hours Log'!$A:$A,"&gt;="&amp;$J1848,'Hours Log'!$A:$A,"&lt;"&amp;$J1848+7))</f>
        <v/>
      </c>
      <c r="D1848">
        <f>IF($J1848="","",SUMIFS('Hours Log'!$D:$D,'Hours Log'!$A:$A,"&gt;="&amp;$J1848,'Hours Log'!$A:$A,"&lt;"&amp;$J1848+7))</f>
        <v/>
      </c>
      <c r="E1848">
        <f>IF($J1848="","",IFERROR(C1848/(B1848*40),0))</f>
        <v/>
      </c>
      <c r="F1848">
        <f>IF($J1848="","",0)</f>
        <v/>
      </c>
      <c r="G1848">
        <f>IF($J1848="","",SUMIFS('Hours Log'!$E:$E,'Hours Log'!$A:$A,"&gt;="&amp;$J1848,'Hours Log'!$A:$A,"&lt;"&amp;$J1848+7))</f>
        <v/>
      </c>
      <c r="J1848">
        <f>IF(COUNT('Hours Log'!$A$4:$A$5000)=0,"",IF(MIN('Hours Log'!$A$4:$A$5000)+7*(ROW()-10)&gt;MAX('Hours Log'!$A$4:$A$5000),"",MIN('Hours Log'!$A$4:$A$5000)+7*(ROW()-10)))</f>
        <v/>
      </c>
    </row>
    <row r="1849">
      <c r="A1849">
        <f>IF($J1849="","",YEAR($J1849-WEEKDAY($J1849,2)+4)&amp;"-W"&amp;TEXT(WEEKNUM($J1849,21),"00"))</f>
        <v/>
      </c>
      <c r="B1849" s="41">
        <f>IF($J1849="","",COUNTIFS(Roster!$D$4:$D$500,"Active",Roster!$C$4:$C$500,"&lt;="&amp;$J1849))</f>
        <v/>
      </c>
      <c r="C1849">
        <f>IF($J1849="","",SUMIFS('Hours Log'!$C:$C,'Hours Log'!$A:$A,"&gt;="&amp;$J1849,'Hours Log'!$A:$A,"&lt;"&amp;$J1849+7)+SUMIFS('Hours Log'!$D:$D,'Hours Log'!$A:$A,"&gt;="&amp;$J1849,'Hours Log'!$A:$A,"&lt;"&amp;$J1849+7))</f>
        <v/>
      </c>
      <c r="D1849">
        <f>IF($J1849="","",SUMIFS('Hours Log'!$D:$D,'Hours Log'!$A:$A,"&gt;="&amp;$J1849,'Hours Log'!$A:$A,"&lt;"&amp;$J1849+7))</f>
        <v/>
      </c>
      <c r="E1849">
        <f>IF($J1849="","",IFERROR(C1849/(B1849*40),0))</f>
        <v/>
      </c>
      <c r="F1849">
        <f>IF($J1849="","",0)</f>
        <v/>
      </c>
      <c r="G1849">
        <f>IF($J1849="","",SUMIFS('Hours Log'!$E:$E,'Hours Log'!$A:$A,"&gt;="&amp;$J1849,'Hours Log'!$A:$A,"&lt;"&amp;$J1849+7))</f>
        <v/>
      </c>
      <c r="J1849">
        <f>IF(COUNT('Hours Log'!$A$4:$A$5000)=0,"",IF(MIN('Hours Log'!$A$4:$A$5000)+7*(ROW()-10)&gt;MAX('Hours Log'!$A$4:$A$5000),"",MIN('Hours Log'!$A$4:$A$5000)+7*(ROW()-10)))</f>
        <v/>
      </c>
    </row>
    <row r="1850">
      <c r="A1850">
        <f>IF($J1850="","",YEAR($J1850-WEEKDAY($J1850,2)+4)&amp;"-W"&amp;TEXT(WEEKNUM($J1850,21),"00"))</f>
        <v/>
      </c>
      <c r="B1850" s="41">
        <f>IF($J1850="","",COUNTIFS(Roster!$D$4:$D$500,"Active",Roster!$C$4:$C$500,"&lt;="&amp;$J1850))</f>
        <v/>
      </c>
      <c r="C1850">
        <f>IF($J1850="","",SUMIFS('Hours Log'!$C:$C,'Hours Log'!$A:$A,"&gt;="&amp;$J1850,'Hours Log'!$A:$A,"&lt;"&amp;$J1850+7)+SUMIFS('Hours Log'!$D:$D,'Hours Log'!$A:$A,"&gt;="&amp;$J1850,'Hours Log'!$A:$A,"&lt;"&amp;$J1850+7))</f>
        <v/>
      </c>
      <c r="D1850">
        <f>IF($J1850="","",SUMIFS('Hours Log'!$D:$D,'Hours Log'!$A:$A,"&gt;="&amp;$J1850,'Hours Log'!$A:$A,"&lt;"&amp;$J1850+7))</f>
        <v/>
      </c>
      <c r="E1850">
        <f>IF($J1850="","",IFERROR(C1850/(B1850*40),0))</f>
        <v/>
      </c>
      <c r="F1850">
        <f>IF($J1850="","",0)</f>
        <v/>
      </c>
      <c r="G1850">
        <f>IF($J1850="","",SUMIFS('Hours Log'!$E:$E,'Hours Log'!$A:$A,"&gt;="&amp;$J1850,'Hours Log'!$A:$A,"&lt;"&amp;$J1850+7))</f>
        <v/>
      </c>
      <c r="J1850">
        <f>IF(COUNT('Hours Log'!$A$4:$A$5000)=0,"",IF(MIN('Hours Log'!$A$4:$A$5000)+7*(ROW()-10)&gt;MAX('Hours Log'!$A$4:$A$5000),"",MIN('Hours Log'!$A$4:$A$5000)+7*(ROW()-10)))</f>
        <v/>
      </c>
    </row>
    <row r="1851">
      <c r="A1851">
        <f>IF($J1851="","",YEAR($J1851-WEEKDAY($J1851,2)+4)&amp;"-W"&amp;TEXT(WEEKNUM($J1851,21),"00"))</f>
        <v/>
      </c>
      <c r="B1851" s="41">
        <f>IF($J1851="","",COUNTIFS(Roster!$D$4:$D$500,"Active",Roster!$C$4:$C$500,"&lt;="&amp;$J1851))</f>
        <v/>
      </c>
      <c r="C1851">
        <f>IF($J1851="","",SUMIFS('Hours Log'!$C:$C,'Hours Log'!$A:$A,"&gt;="&amp;$J1851,'Hours Log'!$A:$A,"&lt;"&amp;$J1851+7)+SUMIFS('Hours Log'!$D:$D,'Hours Log'!$A:$A,"&gt;="&amp;$J1851,'Hours Log'!$A:$A,"&lt;"&amp;$J1851+7))</f>
        <v/>
      </c>
      <c r="D1851">
        <f>IF($J1851="","",SUMIFS('Hours Log'!$D:$D,'Hours Log'!$A:$A,"&gt;="&amp;$J1851,'Hours Log'!$A:$A,"&lt;"&amp;$J1851+7))</f>
        <v/>
      </c>
      <c r="E1851">
        <f>IF($J1851="","",IFERROR(C1851/(B1851*40),0))</f>
        <v/>
      </c>
      <c r="F1851">
        <f>IF($J1851="","",0)</f>
        <v/>
      </c>
      <c r="G1851">
        <f>IF($J1851="","",SUMIFS('Hours Log'!$E:$E,'Hours Log'!$A:$A,"&gt;="&amp;$J1851,'Hours Log'!$A:$A,"&lt;"&amp;$J1851+7))</f>
        <v/>
      </c>
      <c r="J1851">
        <f>IF(COUNT('Hours Log'!$A$4:$A$5000)=0,"",IF(MIN('Hours Log'!$A$4:$A$5000)+7*(ROW()-10)&gt;MAX('Hours Log'!$A$4:$A$5000),"",MIN('Hours Log'!$A$4:$A$5000)+7*(ROW()-10)))</f>
        <v/>
      </c>
    </row>
    <row r="1852">
      <c r="A1852">
        <f>IF($J1852="","",YEAR($J1852-WEEKDAY($J1852,2)+4)&amp;"-W"&amp;TEXT(WEEKNUM($J1852,21),"00"))</f>
        <v/>
      </c>
      <c r="B1852" s="41">
        <f>IF($J1852="","",COUNTIFS(Roster!$D$4:$D$500,"Active",Roster!$C$4:$C$500,"&lt;="&amp;$J1852))</f>
        <v/>
      </c>
      <c r="C1852">
        <f>IF($J1852="","",SUMIFS('Hours Log'!$C:$C,'Hours Log'!$A:$A,"&gt;="&amp;$J1852,'Hours Log'!$A:$A,"&lt;"&amp;$J1852+7)+SUMIFS('Hours Log'!$D:$D,'Hours Log'!$A:$A,"&gt;="&amp;$J1852,'Hours Log'!$A:$A,"&lt;"&amp;$J1852+7))</f>
        <v/>
      </c>
      <c r="D1852">
        <f>IF($J1852="","",SUMIFS('Hours Log'!$D:$D,'Hours Log'!$A:$A,"&gt;="&amp;$J1852,'Hours Log'!$A:$A,"&lt;"&amp;$J1852+7))</f>
        <v/>
      </c>
      <c r="E1852">
        <f>IF($J1852="","",IFERROR(C1852/(B1852*40),0))</f>
        <v/>
      </c>
      <c r="F1852">
        <f>IF($J1852="","",0)</f>
        <v/>
      </c>
      <c r="G1852">
        <f>IF($J1852="","",SUMIFS('Hours Log'!$E:$E,'Hours Log'!$A:$A,"&gt;="&amp;$J1852,'Hours Log'!$A:$A,"&lt;"&amp;$J1852+7))</f>
        <v/>
      </c>
      <c r="J1852">
        <f>IF(COUNT('Hours Log'!$A$4:$A$5000)=0,"",IF(MIN('Hours Log'!$A$4:$A$5000)+7*(ROW()-10)&gt;MAX('Hours Log'!$A$4:$A$5000),"",MIN('Hours Log'!$A$4:$A$5000)+7*(ROW()-10)))</f>
        <v/>
      </c>
    </row>
    <row r="1853">
      <c r="A1853">
        <f>IF($J1853="","",YEAR($J1853-WEEKDAY($J1853,2)+4)&amp;"-W"&amp;TEXT(WEEKNUM($J1853,21),"00"))</f>
        <v/>
      </c>
      <c r="B1853" s="41">
        <f>IF($J1853="","",COUNTIFS(Roster!$D$4:$D$500,"Active",Roster!$C$4:$C$500,"&lt;="&amp;$J1853))</f>
        <v/>
      </c>
      <c r="C1853">
        <f>IF($J1853="","",SUMIFS('Hours Log'!$C:$C,'Hours Log'!$A:$A,"&gt;="&amp;$J1853,'Hours Log'!$A:$A,"&lt;"&amp;$J1853+7)+SUMIFS('Hours Log'!$D:$D,'Hours Log'!$A:$A,"&gt;="&amp;$J1853,'Hours Log'!$A:$A,"&lt;"&amp;$J1853+7))</f>
        <v/>
      </c>
      <c r="D1853">
        <f>IF($J1853="","",SUMIFS('Hours Log'!$D:$D,'Hours Log'!$A:$A,"&gt;="&amp;$J1853,'Hours Log'!$A:$A,"&lt;"&amp;$J1853+7))</f>
        <v/>
      </c>
      <c r="E1853">
        <f>IF($J1853="","",IFERROR(C1853/(B1853*40),0))</f>
        <v/>
      </c>
      <c r="F1853">
        <f>IF($J1853="","",0)</f>
        <v/>
      </c>
      <c r="G1853">
        <f>IF($J1853="","",SUMIFS('Hours Log'!$E:$E,'Hours Log'!$A:$A,"&gt;="&amp;$J1853,'Hours Log'!$A:$A,"&lt;"&amp;$J1853+7))</f>
        <v/>
      </c>
      <c r="J1853">
        <f>IF(COUNT('Hours Log'!$A$4:$A$5000)=0,"",IF(MIN('Hours Log'!$A$4:$A$5000)+7*(ROW()-10)&gt;MAX('Hours Log'!$A$4:$A$5000),"",MIN('Hours Log'!$A$4:$A$5000)+7*(ROW()-10)))</f>
        <v/>
      </c>
    </row>
    <row r="1854">
      <c r="A1854">
        <f>IF($J1854="","",YEAR($J1854-WEEKDAY($J1854,2)+4)&amp;"-W"&amp;TEXT(WEEKNUM($J1854,21),"00"))</f>
        <v/>
      </c>
      <c r="B1854" s="41">
        <f>IF($J1854="","",COUNTIFS(Roster!$D$4:$D$500,"Active",Roster!$C$4:$C$500,"&lt;="&amp;$J1854))</f>
        <v/>
      </c>
      <c r="C1854">
        <f>IF($J1854="","",SUMIFS('Hours Log'!$C:$C,'Hours Log'!$A:$A,"&gt;="&amp;$J1854,'Hours Log'!$A:$A,"&lt;"&amp;$J1854+7)+SUMIFS('Hours Log'!$D:$D,'Hours Log'!$A:$A,"&gt;="&amp;$J1854,'Hours Log'!$A:$A,"&lt;"&amp;$J1854+7))</f>
        <v/>
      </c>
      <c r="D1854">
        <f>IF($J1854="","",SUMIFS('Hours Log'!$D:$D,'Hours Log'!$A:$A,"&gt;="&amp;$J1854,'Hours Log'!$A:$A,"&lt;"&amp;$J1854+7))</f>
        <v/>
      </c>
      <c r="E1854">
        <f>IF($J1854="","",IFERROR(C1854/(B1854*40),0))</f>
        <v/>
      </c>
      <c r="F1854">
        <f>IF($J1854="","",0)</f>
        <v/>
      </c>
      <c r="G1854">
        <f>IF($J1854="","",SUMIFS('Hours Log'!$E:$E,'Hours Log'!$A:$A,"&gt;="&amp;$J1854,'Hours Log'!$A:$A,"&lt;"&amp;$J1854+7))</f>
        <v/>
      </c>
      <c r="J1854">
        <f>IF(COUNT('Hours Log'!$A$4:$A$5000)=0,"",IF(MIN('Hours Log'!$A$4:$A$5000)+7*(ROW()-10)&gt;MAX('Hours Log'!$A$4:$A$5000),"",MIN('Hours Log'!$A$4:$A$5000)+7*(ROW()-10)))</f>
        <v/>
      </c>
    </row>
    <row r="1855">
      <c r="A1855">
        <f>IF($J1855="","",YEAR($J1855-WEEKDAY($J1855,2)+4)&amp;"-W"&amp;TEXT(WEEKNUM($J1855,21),"00"))</f>
        <v/>
      </c>
      <c r="B1855" s="41">
        <f>IF($J1855="","",COUNTIFS(Roster!$D$4:$D$500,"Active",Roster!$C$4:$C$500,"&lt;="&amp;$J1855))</f>
        <v/>
      </c>
      <c r="C1855">
        <f>IF($J1855="","",SUMIFS('Hours Log'!$C:$C,'Hours Log'!$A:$A,"&gt;="&amp;$J1855,'Hours Log'!$A:$A,"&lt;"&amp;$J1855+7)+SUMIFS('Hours Log'!$D:$D,'Hours Log'!$A:$A,"&gt;="&amp;$J1855,'Hours Log'!$A:$A,"&lt;"&amp;$J1855+7))</f>
        <v/>
      </c>
      <c r="D1855">
        <f>IF($J1855="","",SUMIFS('Hours Log'!$D:$D,'Hours Log'!$A:$A,"&gt;="&amp;$J1855,'Hours Log'!$A:$A,"&lt;"&amp;$J1855+7))</f>
        <v/>
      </c>
      <c r="E1855">
        <f>IF($J1855="","",IFERROR(C1855/(B1855*40),0))</f>
        <v/>
      </c>
      <c r="F1855">
        <f>IF($J1855="","",0)</f>
        <v/>
      </c>
      <c r="G1855">
        <f>IF($J1855="","",SUMIFS('Hours Log'!$E:$E,'Hours Log'!$A:$A,"&gt;="&amp;$J1855,'Hours Log'!$A:$A,"&lt;"&amp;$J1855+7))</f>
        <v/>
      </c>
      <c r="J1855">
        <f>IF(COUNT('Hours Log'!$A$4:$A$5000)=0,"",IF(MIN('Hours Log'!$A$4:$A$5000)+7*(ROW()-10)&gt;MAX('Hours Log'!$A$4:$A$5000),"",MIN('Hours Log'!$A$4:$A$5000)+7*(ROW()-10)))</f>
        <v/>
      </c>
    </row>
    <row r="1856">
      <c r="A1856">
        <f>IF($J1856="","",YEAR($J1856-WEEKDAY($J1856,2)+4)&amp;"-W"&amp;TEXT(WEEKNUM($J1856,21),"00"))</f>
        <v/>
      </c>
      <c r="B1856" s="41">
        <f>IF($J1856="","",COUNTIFS(Roster!$D$4:$D$500,"Active",Roster!$C$4:$C$500,"&lt;="&amp;$J1856))</f>
        <v/>
      </c>
      <c r="C1856">
        <f>IF($J1856="","",SUMIFS('Hours Log'!$C:$C,'Hours Log'!$A:$A,"&gt;="&amp;$J1856,'Hours Log'!$A:$A,"&lt;"&amp;$J1856+7)+SUMIFS('Hours Log'!$D:$D,'Hours Log'!$A:$A,"&gt;="&amp;$J1856,'Hours Log'!$A:$A,"&lt;"&amp;$J1856+7))</f>
        <v/>
      </c>
      <c r="D1856">
        <f>IF($J1856="","",SUMIFS('Hours Log'!$D:$D,'Hours Log'!$A:$A,"&gt;="&amp;$J1856,'Hours Log'!$A:$A,"&lt;"&amp;$J1856+7))</f>
        <v/>
      </c>
      <c r="E1856">
        <f>IF($J1856="","",IFERROR(C1856/(B1856*40),0))</f>
        <v/>
      </c>
      <c r="F1856">
        <f>IF($J1856="","",0)</f>
        <v/>
      </c>
      <c r="G1856">
        <f>IF($J1856="","",SUMIFS('Hours Log'!$E:$E,'Hours Log'!$A:$A,"&gt;="&amp;$J1856,'Hours Log'!$A:$A,"&lt;"&amp;$J1856+7))</f>
        <v/>
      </c>
      <c r="J1856">
        <f>IF(COUNT('Hours Log'!$A$4:$A$5000)=0,"",IF(MIN('Hours Log'!$A$4:$A$5000)+7*(ROW()-10)&gt;MAX('Hours Log'!$A$4:$A$5000),"",MIN('Hours Log'!$A$4:$A$5000)+7*(ROW()-10)))</f>
        <v/>
      </c>
    </row>
    <row r="1857">
      <c r="A1857">
        <f>IF($J1857="","",YEAR($J1857-WEEKDAY($J1857,2)+4)&amp;"-W"&amp;TEXT(WEEKNUM($J1857,21),"00"))</f>
        <v/>
      </c>
      <c r="B1857" s="41">
        <f>IF($J1857="","",COUNTIFS(Roster!$D$4:$D$500,"Active",Roster!$C$4:$C$500,"&lt;="&amp;$J1857))</f>
        <v/>
      </c>
      <c r="C1857">
        <f>IF($J1857="","",SUMIFS('Hours Log'!$C:$C,'Hours Log'!$A:$A,"&gt;="&amp;$J1857,'Hours Log'!$A:$A,"&lt;"&amp;$J1857+7)+SUMIFS('Hours Log'!$D:$D,'Hours Log'!$A:$A,"&gt;="&amp;$J1857,'Hours Log'!$A:$A,"&lt;"&amp;$J1857+7))</f>
        <v/>
      </c>
      <c r="D1857">
        <f>IF($J1857="","",SUMIFS('Hours Log'!$D:$D,'Hours Log'!$A:$A,"&gt;="&amp;$J1857,'Hours Log'!$A:$A,"&lt;"&amp;$J1857+7))</f>
        <v/>
      </c>
      <c r="E1857">
        <f>IF($J1857="","",IFERROR(C1857/(B1857*40),0))</f>
        <v/>
      </c>
      <c r="F1857">
        <f>IF($J1857="","",0)</f>
        <v/>
      </c>
      <c r="G1857">
        <f>IF($J1857="","",SUMIFS('Hours Log'!$E:$E,'Hours Log'!$A:$A,"&gt;="&amp;$J1857,'Hours Log'!$A:$A,"&lt;"&amp;$J1857+7))</f>
        <v/>
      </c>
      <c r="J1857">
        <f>IF(COUNT('Hours Log'!$A$4:$A$5000)=0,"",IF(MIN('Hours Log'!$A$4:$A$5000)+7*(ROW()-10)&gt;MAX('Hours Log'!$A$4:$A$5000),"",MIN('Hours Log'!$A$4:$A$5000)+7*(ROW()-10)))</f>
        <v/>
      </c>
    </row>
    <row r="1858">
      <c r="A1858">
        <f>IF($J1858="","",YEAR($J1858-WEEKDAY($J1858,2)+4)&amp;"-W"&amp;TEXT(WEEKNUM($J1858,21),"00"))</f>
        <v/>
      </c>
      <c r="B1858" s="41">
        <f>IF($J1858="","",COUNTIFS(Roster!$D$4:$D$500,"Active",Roster!$C$4:$C$500,"&lt;="&amp;$J1858))</f>
        <v/>
      </c>
      <c r="C1858">
        <f>IF($J1858="","",SUMIFS('Hours Log'!$C:$C,'Hours Log'!$A:$A,"&gt;="&amp;$J1858,'Hours Log'!$A:$A,"&lt;"&amp;$J1858+7)+SUMIFS('Hours Log'!$D:$D,'Hours Log'!$A:$A,"&gt;="&amp;$J1858,'Hours Log'!$A:$A,"&lt;"&amp;$J1858+7))</f>
        <v/>
      </c>
      <c r="D1858">
        <f>IF($J1858="","",SUMIFS('Hours Log'!$D:$D,'Hours Log'!$A:$A,"&gt;="&amp;$J1858,'Hours Log'!$A:$A,"&lt;"&amp;$J1858+7))</f>
        <v/>
      </c>
      <c r="E1858">
        <f>IF($J1858="","",IFERROR(C1858/(B1858*40),0))</f>
        <v/>
      </c>
      <c r="F1858">
        <f>IF($J1858="","",0)</f>
        <v/>
      </c>
      <c r="G1858">
        <f>IF($J1858="","",SUMIFS('Hours Log'!$E:$E,'Hours Log'!$A:$A,"&gt;="&amp;$J1858,'Hours Log'!$A:$A,"&lt;"&amp;$J1858+7))</f>
        <v/>
      </c>
      <c r="J1858">
        <f>IF(COUNT('Hours Log'!$A$4:$A$5000)=0,"",IF(MIN('Hours Log'!$A$4:$A$5000)+7*(ROW()-10)&gt;MAX('Hours Log'!$A$4:$A$5000),"",MIN('Hours Log'!$A$4:$A$5000)+7*(ROW()-10)))</f>
        <v/>
      </c>
    </row>
    <row r="1859">
      <c r="A1859">
        <f>IF($J1859="","",YEAR($J1859-WEEKDAY($J1859,2)+4)&amp;"-W"&amp;TEXT(WEEKNUM($J1859,21),"00"))</f>
        <v/>
      </c>
      <c r="B1859" s="41">
        <f>IF($J1859="","",COUNTIFS(Roster!$D$4:$D$500,"Active",Roster!$C$4:$C$500,"&lt;="&amp;$J1859))</f>
        <v/>
      </c>
      <c r="C1859">
        <f>IF($J1859="","",SUMIFS('Hours Log'!$C:$C,'Hours Log'!$A:$A,"&gt;="&amp;$J1859,'Hours Log'!$A:$A,"&lt;"&amp;$J1859+7)+SUMIFS('Hours Log'!$D:$D,'Hours Log'!$A:$A,"&gt;="&amp;$J1859,'Hours Log'!$A:$A,"&lt;"&amp;$J1859+7))</f>
        <v/>
      </c>
      <c r="D1859">
        <f>IF($J1859="","",SUMIFS('Hours Log'!$D:$D,'Hours Log'!$A:$A,"&gt;="&amp;$J1859,'Hours Log'!$A:$A,"&lt;"&amp;$J1859+7))</f>
        <v/>
      </c>
      <c r="E1859">
        <f>IF($J1859="","",IFERROR(C1859/(B1859*40),0))</f>
        <v/>
      </c>
      <c r="F1859">
        <f>IF($J1859="","",0)</f>
        <v/>
      </c>
      <c r="G1859">
        <f>IF($J1859="","",SUMIFS('Hours Log'!$E:$E,'Hours Log'!$A:$A,"&gt;="&amp;$J1859,'Hours Log'!$A:$A,"&lt;"&amp;$J1859+7))</f>
        <v/>
      </c>
      <c r="J1859">
        <f>IF(COUNT('Hours Log'!$A$4:$A$5000)=0,"",IF(MIN('Hours Log'!$A$4:$A$5000)+7*(ROW()-10)&gt;MAX('Hours Log'!$A$4:$A$5000),"",MIN('Hours Log'!$A$4:$A$5000)+7*(ROW()-10)))</f>
        <v/>
      </c>
    </row>
    <row r="1860">
      <c r="A1860">
        <f>IF($J1860="","",YEAR($J1860-WEEKDAY($J1860,2)+4)&amp;"-W"&amp;TEXT(WEEKNUM($J1860,21),"00"))</f>
        <v/>
      </c>
      <c r="B1860" s="41">
        <f>IF($J1860="","",COUNTIFS(Roster!$D$4:$D$500,"Active",Roster!$C$4:$C$500,"&lt;="&amp;$J1860))</f>
        <v/>
      </c>
      <c r="C1860">
        <f>IF($J1860="","",SUMIFS('Hours Log'!$C:$C,'Hours Log'!$A:$A,"&gt;="&amp;$J1860,'Hours Log'!$A:$A,"&lt;"&amp;$J1860+7)+SUMIFS('Hours Log'!$D:$D,'Hours Log'!$A:$A,"&gt;="&amp;$J1860,'Hours Log'!$A:$A,"&lt;"&amp;$J1860+7))</f>
        <v/>
      </c>
      <c r="D1860">
        <f>IF($J1860="","",SUMIFS('Hours Log'!$D:$D,'Hours Log'!$A:$A,"&gt;="&amp;$J1860,'Hours Log'!$A:$A,"&lt;"&amp;$J1860+7))</f>
        <v/>
      </c>
      <c r="E1860">
        <f>IF($J1860="","",IFERROR(C1860/(B1860*40),0))</f>
        <v/>
      </c>
      <c r="F1860">
        <f>IF($J1860="","",0)</f>
        <v/>
      </c>
      <c r="G1860">
        <f>IF($J1860="","",SUMIFS('Hours Log'!$E:$E,'Hours Log'!$A:$A,"&gt;="&amp;$J1860,'Hours Log'!$A:$A,"&lt;"&amp;$J1860+7))</f>
        <v/>
      </c>
      <c r="J1860">
        <f>IF(COUNT('Hours Log'!$A$4:$A$5000)=0,"",IF(MIN('Hours Log'!$A$4:$A$5000)+7*(ROW()-10)&gt;MAX('Hours Log'!$A$4:$A$5000),"",MIN('Hours Log'!$A$4:$A$5000)+7*(ROW()-10)))</f>
        <v/>
      </c>
    </row>
    <row r="1861">
      <c r="A1861">
        <f>IF($J1861="","",YEAR($J1861-WEEKDAY($J1861,2)+4)&amp;"-W"&amp;TEXT(WEEKNUM($J1861,21),"00"))</f>
        <v/>
      </c>
      <c r="B1861" s="41">
        <f>IF($J1861="","",COUNTIFS(Roster!$D$4:$D$500,"Active",Roster!$C$4:$C$500,"&lt;="&amp;$J1861))</f>
        <v/>
      </c>
      <c r="C1861">
        <f>IF($J1861="","",SUMIFS('Hours Log'!$C:$C,'Hours Log'!$A:$A,"&gt;="&amp;$J1861,'Hours Log'!$A:$A,"&lt;"&amp;$J1861+7)+SUMIFS('Hours Log'!$D:$D,'Hours Log'!$A:$A,"&gt;="&amp;$J1861,'Hours Log'!$A:$A,"&lt;"&amp;$J1861+7))</f>
        <v/>
      </c>
      <c r="D1861">
        <f>IF($J1861="","",SUMIFS('Hours Log'!$D:$D,'Hours Log'!$A:$A,"&gt;="&amp;$J1861,'Hours Log'!$A:$A,"&lt;"&amp;$J1861+7))</f>
        <v/>
      </c>
      <c r="E1861">
        <f>IF($J1861="","",IFERROR(C1861/(B1861*40),0))</f>
        <v/>
      </c>
      <c r="F1861">
        <f>IF($J1861="","",0)</f>
        <v/>
      </c>
      <c r="G1861">
        <f>IF($J1861="","",SUMIFS('Hours Log'!$E:$E,'Hours Log'!$A:$A,"&gt;="&amp;$J1861,'Hours Log'!$A:$A,"&lt;"&amp;$J1861+7))</f>
        <v/>
      </c>
      <c r="J1861">
        <f>IF(COUNT('Hours Log'!$A$4:$A$5000)=0,"",IF(MIN('Hours Log'!$A$4:$A$5000)+7*(ROW()-10)&gt;MAX('Hours Log'!$A$4:$A$5000),"",MIN('Hours Log'!$A$4:$A$5000)+7*(ROW()-10)))</f>
        <v/>
      </c>
    </row>
    <row r="1862">
      <c r="A1862">
        <f>IF($J1862="","",YEAR($J1862-WEEKDAY($J1862,2)+4)&amp;"-W"&amp;TEXT(WEEKNUM($J1862,21),"00"))</f>
        <v/>
      </c>
      <c r="B1862" s="41">
        <f>IF($J1862="","",COUNTIFS(Roster!$D$4:$D$500,"Active",Roster!$C$4:$C$500,"&lt;="&amp;$J1862))</f>
        <v/>
      </c>
      <c r="C1862">
        <f>IF($J1862="","",SUMIFS('Hours Log'!$C:$C,'Hours Log'!$A:$A,"&gt;="&amp;$J1862,'Hours Log'!$A:$A,"&lt;"&amp;$J1862+7)+SUMIFS('Hours Log'!$D:$D,'Hours Log'!$A:$A,"&gt;="&amp;$J1862,'Hours Log'!$A:$A,"&lt;"&amp;$J1862+7))</f>
        <v/>
      </c>
      <c r="D1862">
        <f>IF($J1862="","",SUMIFS('Hours Log'!$D:$D,'Hours Log'!$A:$A,"&gt;="&amp;$J1862,'Hours Log'!$A:$A,"&lt;"&amp;$J1862+7))</f>
        <v/>
      </c>
      <c r="E1862">
        <f>IF($J1862="","",IFERROR(C1862/(B1862*40),0))</f>
        <v/>
      </c>
      <c r="F1862">
        <f>IF($J1862="","",0)</f>
        <v/>
      </c>
      <c r="G1862">
        <f>IF($J1862="","",SUMIFS('Hours Log'!$E:$E,'Hours Log'!$A:$A,"&gt;="&amp;$J1862,'Hours Log'!$A:$A,"&lt;"&amp;$J1862+7))</f>
        <v/>
      </c>
      <c r="J1862">
        <f>IF(COUNT('Hours Log'!$A$4:$A$5000)=0,"",IF(MIN('Hours Log'!$A$4:$A$5000)+7*(ROW()-10)&gt;MAX('Hours Log'!$A$4:$A$5000),"",MIN('Hours Log'!$A$4:$A$5000)+7*(ROW()-10)))</f>
        <v/>
      </c>
    </row>
    <row r="1863">
      <c r="A1863">
        <f>IF($J1863="","",YEAR($J1863-WEEKDAY($J1863,2)+4)&amp;"-W"&amp;TEXT(WEEKNUM($J1863,21),"00"))</f>
        <v/>
      </c>
      <c r="B1863" s="41">
        <f>IF($J1863="","",COUNTIFS(Roster!$D$4:$D$500,"Active",Roster!$C$4:$C$500,"&lt;="&amp;$J1863))</f>
        <v/>
      </c>
      <c r="C1863">
        <f>IF($J1863="","",SUMIFS('Hours Log'!$C:$C,'Hours Log'!$A:$A,"&gt;="&amp;$J1863,'Hours Log'!$A:$A,"&lt;"&amp;$J1863+7)+SUMIFS('Hours Log'!$D:$D,'Hours Log'!$A:$A,"&gt;="&amp;$J1863,'Hours Log'!$A:$A,"&lt;"&amp;$J1863+7))</f>
        <v/>
      </c>
      <c r="D1863">
        <f>IF($J1863="","",SUMIFS('Hours Log'!$D:$D,'Hours Log'!$A:$A,"&gt;="&amp;$J1863,'Hours Log'!$A:$A,"&lt;"&amp;$J1863+7))</f>
        <v/>
      </c>
      <c r="E1863">
        <f>IF($J1863="","",IFERROR(C1863/(B1863*40),0))</f>
        <v/>
      </c>
      <c r="F1863">
        <f>IF($J1863="","",0)</f>
        <v/>
      </c>
      <c r="G1863">
        <f>IF($J1863="","",SUMIFS('Hours Log'!$E:$E,'Hours Log'!$A:$A,"&gt;="&amp;$J1863,'Hours Log'!$A:$A,"&lt;"&amp;$J1863+7))</f>
        <v/>
      </c>
      <c r="J1863">
        <f>IF(COUNT('Hours Log'!$A$4:$A$5000)=0,"",IF(MIN('Hours Log'!$A$4:$A$5000)+7*(ROW()-10)&gt;MAX('Hours Log'!$A$4:$A$5000),"",MIN('Hours Log'!$A$4:$A$5000)+7*(ROW()-10)))</f>
        <v/>
      </c>
    </row>
    <row r="1864">
      <c r="A1864">
        <f>IF($J1864="","",YEAR($J1864-WEEKDAY($J1864,2)+4)&amp;"-W"&amp;TEXT(WEEKNUM($J1864,21),"00"))</f>
        <v/>
      </c>
      <c r="B1864" s="41">
        <f>IF($J1864="","",COUNTIFS(Roster!$D$4:$D$500,"Active",Roster!$C$4:$C$500,"&lt;="&amp;$J1864))</f>
        <v/>
      </c>
      <c r="C1864">
        <f>IF($J1864="","",SUMIFS('Hours Log'!$C:$C,'Hours Log'!$A:$A,"&gt;="&amp;$J1864,'Hours Log'!$A:$A,"&lt;"&amp;$J1864+7)+SUMIFS('Hours Log'!$D:$D,'Hours Log'!$A:$A,"&gt;="&amp;$J1864,'Hours Log'!$A:$A,"&lt;"&amp;$J1864+7))</f>
        <v/>
      </c>
      <c r="D1864">
        <f>IF($J1864="","",SUMIFS('Hours Log'!$D:$D,'Hours Log'!$A:$A,"&gt;="&amp;$J1864,'Hours Log'!$A:$A,"&lt;"&amp;$J1864+7))</f>
        <v/>
      </c>
      <c r="E1864">
        <f>IF($J1864="","",IFERROR(C1864/(B1864*40),0))</f>
        <v/>
      </c>
      <c r="F1864">
        <f>IF($J1864="","",0)</f>
        <v/>
      </c>
      <c r="G1864">
        <f>IF($J1864="","",SUMIFS('Hours Log'!$E:$E,'Hours Log'!$A:$A,"&gt;="&amp;$J1864,'Hours Log'!$A:$A,"&lt;"&amp;$J1864+7))</f>
        <v/>
      </c>
      <c r="J1864">
        <f>IF(COUNT('Hours Log'!$A$4:$A$5000)=0,"",IF(MIN('Hours Log'!$A$4:$A$5000)+7*(ROW()-10)&gt;MAX('Hours Log'!$A$4:$A$5000),"",MIN('Hours Log'!$A$4:$A$5000)+7*(ROW()-10)))</f>
        <v/>
      </c>
    </row>
    <row r="1865">
      <c r="A1865">
        <f>IF($J1865="","",YEAR($J1865-WEEKDAY($J1865,2)+4)&amp;"-W"&amp;TEXT(WEEKNUM($J1865,21),"00"))</f>
        <v/>
      </c>
      <c r="B1865" s="41">
        <f>IF($J1865="","",COUNTIFS(Roster!$D$4:$D$500,"Active",Roster!$C$4:$C$500,"&lt;="&amp;$J1865))</f>
        <v/>
      </c>
      <c r="C1865">
        <f>IF($J1865="","",SUMIFS('Hours Log'!$C:$C,'Hours Log'!$A:$A,"&gt;="&amp;$J1865,'Hours Log'!$A:$A,"&lt;"&amp;$J1865+7)+SUMIFS('Hours Log'!$D:$D,'Hours Log'!$A:$A,"&gt;="&amp;$J1865,'Hours Log'!$A:$A,"&lt;"&amp;$J1865+7))</f>
        <v/>
      </c>
      <c r="D1865">
        <f>IF($J1865="","",SUMIFS('Hours Log'!$D:$D,'Hours Log'!$A:$A,"&gt;="&amp;$J1865,'Hours Log'!$A:$A,"&lt;"&amp;$J1865+7))</f>
        <v/>
      </c>
      <c r="E1865">
        <f>IF($J1865="","",IFERROR(C1865/(B1865*40),0))</f>
        <v/>
      </c>
      <c r="F1865">
        <f>IF($J1865="","",0)</f>
        <v/>
      </c>
      <c r="G1865">
        <f>IF($J1865="","",SUMIFS('Hours Log'!$E:$E,'Hours Log'!$A:$A,"&gt;="&amp;$J1865,'Hours Log'!$A:$A,"&lt;"&amp;$J1865+7))</f>
        <v/>
      </c>
      <c r="J1865">
        <f>IF(COUNT('Hours Log'!$A$4:$A$5000)=0,"",IF(MIN('Hours Log'!$A$4:$A$5000)+7*(ROW()-10)&gt;MAX('Hours Log'!$A$4:$A$5000),"",MIN('Hours Log'!$A$4:$A$5000)+7*(ROW()-10)))</f>
        <v/>
      </c>
    </row>
    <row r="1866">
      <c r="A1866">
        <f>IF($J1866="","",YEAR($J1866-WEEKDAY($J1866,2)+4)&amp;"-W"&amp;TEXT(WEEKNUM($J1866,21),"00"))</f>
        <v/>
      </c>
      <c r="B1866" s="41">
        <f>IF($J1866="","",COUNTIFS(Roster!$D$4:$D$500,"Active",Roster!$C$4:$C$500,"&lt;="&amp;$J1866))</f>
        <v/>
      </c>
      <c r="C1866">
        <f>IF($J1866="","",SUMIFS('Hours Log'!$C:$C,'Hours Log'!$A:$A,"&gt;="&amp;$J1866,'Hours Log'!$A:$A,"&lt;"&amp;$J1866+7)+SUMIFS('Hours Log'!$D:$D,'Hours Log'!$A:$A,"&gt;="&amp;$J1866,'Hours Log'!$A:$A,"&lt;"&amp;$J1866+7))</f>
        <v/>
      </c>
      <c r="D1866">
        <f>IF($J1866="","",SUMIFS('Hours Log'!$D:$D,'Hours Log'!$A:$A,"&gt;="&amp;$J1866,'Hours Log'!$A:$A,"&lt;"&amp;$J1866+7))</f>
        <v/>
      </c>
      <c r="E1866">
        <f>IF($J1866="","",IFERROR(C1866/(B1866*40),0))</f>
        <v/>
      </c>
      <c r="F1866">
        <f>IF($J1866="","",0)</f>
        <v/>
      </c>
      <c r="G1866">
        <f>IF($J1866="","",SUMIFS('Hours Log'!$E:$E,'Hours Log'!$A:$A,"&gt;="&amp;$J1866,'Hours Log'!$A:$A,"&lt;"&amp;$J1866+7))</f>
        <v/>
      </c>
      <c r="J1866">
        <f>IF(COUNT('Hours Log'!$A$4:$A$5000)=0,"",IF(MIN('Hours Log'!$A$4:$A$5000)+7*(ROW()-10)&gt;MAX('Hours Log'!$A$4:$A$5000),"",MIN('Hours Log'!$A$4:$A$5000)+7*(ROW()-10)))</f>
        <v/>
      </c>
    </row>
    <row r="1867">
      <c r="A1867">
        <f>IF($J1867="","",YEAR($J1867-WEEKDAY($J1867,2)+4)&amp;"-W"&amp;TEXT(WEEKNUM($J1867,21),"00"))</f>
        <v/>
      </c>
      <c r="B1867" s="41">
        <f>IF($J1867="","",COUNTIFS(Roster!$D$4:$D$500,"Active",Roster!$C$4:$C$500,"&lt;="&amp;$J1867))</f>
        <v/>
      </c>
      <c r="C1867">
        <f>IF($J1867="","",SUMIFS('Hours Log'!$C:$C,'Hours Log'!$A:$A,"&gt;="&amp;$J1867,'Hours Log'!$A:$A,"&lt;"&amp;$J1867+7)+SUMIFS('Hours Log'!$D:$D,'Hours Log'!$A:$A,"&gt;="&amp;$J1867,'Hours Log'!$A:$A,"&lt;"&amp;$J1867+7))</f>
        <v/>
      </c>
      <c r="D1867">
        <f>IF($J1867="","",SUMIFS('Hours Log'!$D:$D,'Hours Log'!$A:$A,"&gt;="&amp;$J1867,'Hours Log'!$A:$A,"&lt;"&amp;$J1867+7))</f>
        <v/>
      </c>
      <c r="E1867">
        <f>IF($J1867="","",IFERROR(C1867/(B1867*40),0))</f>
        <v/>
      </c>
      <c r="F1867">
        <f>IF($J1867="","",0)</f>
        <v/>
      </c>
      <c r="G1867">
        <f>IF($J1867="","",SUMIFS('Hours Log'!$E:$E,'Hours Log'!$A:$A,"&gt;="&amp;$J1867,'Hours Log'!$A:$A,"&lt;"&amp;$J1867+7))</f>
        <v/>
      </c>
      <c r="J1867">
        <f>IF(COUNT('Hours Log'!$A$4:$A$5000)=0,"",IF(MIN('Hours Log'!$A$4:$A$5000)+7*(ROW()-10)&gt;MAX('Hours Log'!$A$4:$A$5000),"",MIN('Hours Log'!$A$4:$A$5000)+7*(ROW()-10)))</f>
        <v/>
      </c>
    </row>
    <row r="1868">
      <c r="A1868">
        <f>IF($J1868="","",YEAR($J1868-WEEKDAY($J1868,2)+4)&amp;"-W"&amp;TEXT(WEEKNUM($J1868,21),"00"))</f>
        <v/>
      </c>
      <c r="B1868" s="41">
        <f>IF($J1868="","",COUNTIFS(Roster!$D$4:$D$500,"Active",Roster!$C$4:$C$500,"&lt;="&amp;$J1868))</f>
        <v/>
      </c>
      <c r="C1868">
        <f>IF($J1868="","",SUMIFS('Hours Log'!$C:$C,'Hours Log'!$A:$A,"&gt;="&amp;$J1868,'Hours Log'!$A:$A,"&lt;"&amp;$J1868+7)+SUMIFS('Hours Log'!$D:$D,'Hours Log'!$A:$A,"&gt;="&amp;$J1868,'Hours Log'!$A:$A,"&lt;"&amp;$J1868+7))</f>
        <v/>
      </c>
      <c r="D1868">
        <f>IF($J1868="","",SUMIFS('Hours Log'!$D:$D,'Hours Log'!$A:$A,"&gt;="&amp;$J1868,'Hours Log'!$A:$A,"&lt;"&amp;$J1868+7))</f>
        <v/>
      </c>
      <c r="E1868">
        <f>IF($J1868="","",IFERROR(C1868/(B1868*40),0))</f>
        <v/>
      </c>
      <c r="F1868">
        <f>IF($J1868="","",0)</f>
        <v/>
      </c>
      <c r="G1868">
        <f>IF($J1868="","",SUMIFS('Hours Log'!$E:$E,'Hours Log'!$A:$A,"&gt;="&amp;$J1868,'Hours Log'!$A:$A,"&lt;"&amp;$J1868+7))</f>
        <v/>
      </c>
      <c r="J1868">
        <f>IF(COUNT('Hours Log'!$A$4:$A$5000)=0,"",IF(MIN('Hours Log'!$A$4:$A$5000)+7*(ROW()-10)&gt;MAX('Hours Log'!$A$4:$A$5000),"",MIN('Hours Log'!$A$4:$A$5000)+7*(ROW()-10)))</f>
        <v/>
      </c>
    </row>
    <row r="1869">
      <c r="A1869">
        <f>IF($J1869="","",YEAR($J1869-WEEKDAY($J1869,2)+4)&amp;"-W"&amp;TEXT(WEEKNUM($J1869,21),"00"))</f>
        <v/>
      </c>
      <c r="B1869" s="41">
        <f>IF($J1869="","",COUNTIFS(Roster!$D$4:$D$500,"Active",Roster!$C$4:$C$500,"&lt;="&amp;$J1869))</f>
        <v/>
      </c>
      <c r="C1869">
        <f>IF($J1869="","",SUMIFS('Hours Log'!$C:$C,'Hours Log'!$A:$A,"&gt;="&amp;$J1869,'Hours Log'!$A:$A,"&lt;"&amp;$J1869+7)+SUMIFS('Hours Log'!$D:$D,'Hours Log'!$A:$A,"&gt;="&amp;$J1869,'Hours Log'!$A:$A,"&lt;"&amp;$J1869+7))</f>
        <v/>
      </c>
      <c r="D1869">
        <f>IF($J1869="","",SUMIFS('Hours Log'!$D:$D,'Hours Log'!$A:$A,"&gt;="&amp;$J1869,'Hours Log'!$A:$A,"&lt;"&amp;$J1869+7))</f>
        <v/>
      </c>
      <c r="E1869">
        <f>IF($J1869="","",IFERROR(C1869/(B1869*40),0))</f>
        <v/>
      </c>
      <c r="F1869">
        <f>IF($J1869="","",0)</f>
        <v/>
      </c>
      <c r="G1869">
        <f>IF($J1869="","",SUMIFS('Hours Log'!$E:$E,'Hours Log'!$A:$A,"&gt;="&amp;$J1869,'Hours Log'!$A:$A,"&lt;"&amp;$J1869+7))</f>
        <v/>
      </c>
      <c r="J1869">
        <f>IF(COUNT('Hours Log'!$A$4:$A$5000)=0,"",IF(MIN('Hours Log'!$A$4:$A$5000)+7*(ROW()-10)&gt;MAX('Hours Log'!$A$4:$A$5000),"",MIN('Hours Log'!$A$4:$A$5000)+7*(ROW()-10)))</f>
        <v/>
      </c>
    </row>
    <row r="1870">
      <c r="A1870">
        <f>IF($J1870="","",YEAR($J1870-WEEKDAY($J1870,2)+4)&amp;"-W"&amp;TEXT(WEEKNUM($J1870,21),"00"))</f>
        <v/>
      </c>
      <c r="B1870" s="41">
        <f>IF($J1870="","",COUNTIFS(Roster!$D$4:$D$500,"Active",Roster!$C$4:$C$500,"&lt;="&amp;$J1870))</f>
        <v/>
      </c>
      <c r="C1870">
        <f>IF($J1870="","",SUMIFS('Hours Log'!$C:$C,'Hours Log'!$A:$A,"&gt;="&amp;$J1870,'Hours Log'!$A:$A,"&lt;"&amp;$J1870+7)+SUMIFS('Hours Log'!$D:$D,'Hours Log'!$A:$A,"&gt;="&amp;$J1870,'Hours Log'!$A:$A,"&lt;"&amp;$J1870+7))</f>
        <v/>
      </c>
      <c r="D1870">
        <f>IF($J1870="","",SUMIFS('Hours Log'!$D:$D,'Hours Log'!$A:$A,"&gt;="&amp;$J1870,'Hours Log'!$A:$A,"&lt;"&amp;$J1870+7))</f>
        <v/>
      </c>
      <c r="E1870">
        <f>IF($J1870="","",IFERROR(C1870/(B1870*40),0))</f>
        <v/>
      </c>
      <c r="F1870">
        <f>IF($J1870="","",0)</f>
        <v/>
      </c>
      <c r="G1870">
        <f>IF($J1870="","",SUMIFS('Hours Log'!$E:$E,'Hours Log'!$A:$A,"&gt;="&amp;$J1870,'Hours Log'!$A:$A,"&lt;"&amp;$J1870+7))</f>
        <v/>
      </c>
      <c r="J1870">
        <f>IF(COUNT('Hours Log'!$A$4:$A$5000)=0,"",IF(MIN('Hours Log'!$A$4:$A$5000)+7*(ROW()-10)&gt;MAX('Hours Log'!$A$4:$A$5000),"",MIN('Hours Log'!$A$4:$A$5000)+7*(ROW()-10)))</f>
        <v/>
      </c>
    </row>
    <row r="1871">
      <c r="A1871">
        <f>IF($J1871="","",YEAR($J1871-WEEKDAY($J1871,2)+4)&amp;"-W"&amp;TEXT(WEEKNUM($J1871,21),"00"))</f>
        <v/>
      </c>
      <c r="B1871" s="41">
        <f>IF($J1871="","",COUNTIFS(Roster!$D$4:$D$500,"Active",Roster!$C$4:$C$500,"&lt;="&amp;$J1871))</f>
        <v/>
      </c>
      <c r="C1871">
        <f>IF($J1871="","",SUMIFS('Hours Log'!$C:$C,'Hours Log'!$A:$A,"&gt;="&amp;$J1871,'Hours Log'!$A:$A,"&lt;"&amp;$J1871+7)+SUMIFS('Hours Log'!$D:$D,'Hours Log'!$A:$A,"&gt;="&amp;$J1871,'Hours Log'!$A:$A,"&lt;"&amp;$J1871+7))</f>
        <v/>
      </c>
      <c r="D1871">
        <f>IF($J1871="","",SUMIFS('Hours Log'!$D:$D,'Hours Log'!$A:$A,"&gt;="&amp;$J1871,'Hours Log'!$A:$A,"&lt;"&amp;$J1871+7))</f>
        <v/>
      </c>
      <c r="E1871">
        <f>IF($J1871="","",IFERROR(C1871/(B1871*40),0))</f>
        <v/>
      </c>
      <c r="F1871">
        <f>IF($J1871="","",0)</f>
        <v/>
      </c>
      <c r="G1871">
        <f>IF($J1871="","",SUMIFS('Hours Log'!$E:$E,'Hours Log'!$A:$A,"&gt;="&amp;$J1871,'Hours Log'!$A:$A,"&lt;"&amp;$J1871+7))</f>
        <v/>
      </c>
      <c r="J1871">
        <f>IF(COUNT('Hours Log'!$A$4:$A$5000)=0,"",IF(MIN('Hours Log'!$A$4:$A$5000)+7*(ROW()-10)&gt;MAX('Hours Log'!$A$4:$A$5000),"",MIN('Hours Log'!$A$4:$A$5000)+7*(ROW()-10)))</f>
        <v/>
      </c>
    </row>
    <row r="1872">
      <c r="A1872">
        <f>IF($J1872="","",YEAR($J1872-WEEKDAY($J1872,2)+4)&amp;"-W"&amp;TEXT(WEEKNUM($J1872,21),"00"))</f>
        <v/>
      </c>
      <c r="B1872" s="41">
        <f>IF($J1872="","",COUNTIFS(Roster!$D$4:$D$500,"Active",Roster!$C$4:$C$500,"&lt;="&amp;$J1872))</f>
        <v/>
      </c>
      <c r="C1872">
        <f>IF($J1872="","",SUMIFS('Hours Log'!$C:$C,'Hours Log'!$A:$A,"&gt;="&amp;$J1872,'Hours Log'!$A:$A,"&lt;"&amp;$J1872+7)+SUMIFS('Hours Log'!$D:$D,'Hours Log'!$A:$A,"&gt;="&amp;$J1872,'Hours Log'!$A:$A,"&lt;"&amp;$J1872+7))</f>
        <v/>
      </c>
      <c r="D1872">
        <f>IF($J1872="","",SUMIFS('Hours Log'!$D:$D,'Hours Log'!$A:$A,"&gt;="&amp;$J1872,'Hours Log'!$A:$A,"&lt;"&amp;$J1872+7))</f>
        <v/>
      </c>
      <c r="E1872">
        <f>IF($J1872="","",IFERROR(C1872/(B1872*40),0))</f>
        <v/>
      </c>
      <c r="F1872">
        <f>IF($J1872="","",0)</f>
        <v/>
      </c>
      <c r="G1872">
        <f>IF($J1872="","",SUMIFS('Hours Log'!$E:$E,'Hours Log'!$A:$A,"&gt;="&amp;$J1872,'Hours Log'!$A:$A,"&lt;"&amp;$J1872+7))</f>
        <v/>
      </c>
      <c r="J1872">
        <f>IF(COUNT('Hours Log'!$A$4:$A$5000)=0,"",IF(MIN('Hours Log'!$A$4:$A$5000)+7*(ROW()-10)&gt;MAX('Hours Log'!$A$4:$A$5000),"",MIN('Hours Log'!$A$4:$A$5000)+7*(ROW()-10)))</f>
        <v/>
      </c>
    </row>
    <row r="1873">
      <c r="A1873">
        <f>IF($J1873="","",YEAR($J1873-WEEKDAY($J1873,2)+4)&amp;"-W"&amp;TEXT(WEEKNUM($J1873,21),"00"))</f>
        <v/>
      </c>
      <c r="B1873" s="41">
        <f>IF($J1873="","",COUNTIFS(Roster!$D$4:$D$500,"Active",Roster!$C$4:$C$500,"&lt;="&amp;$J1873))</f>
        <v/>
      </c>
      <c r="C1873">
        <f>IF($J1873="","",SUMIFS('Hours Log'!$C:$C,'Hours Log'!$A:$A,"&gt;="&amp;$J1873,'Hours Log'!$A:$A,"&lt;"&amp;$J1873+7)+SUMIFS('Hours Log'!$D:$D,'Hours Log'!$A:$A,"&gt;="&amp;$J1873,'Hours Log'!$A:$A,"&lt;"&amp;$J1873+7))</f>
        <v/>
      </c>
      <c r="D1873">
        <f>IF($J1873="","",SUMIFS('Hours Log'!$D:$D,'Hours Log'!$A:$A,"&gt;="&amp;$J1873,'Hours Log'!$A:$A,"&lt;"&amp;$J1873+7))</f>
        <v/>
      </c>
      <c r="E1873">
        <f>IF($J1873="","",IFERROR(C1873/(B1873*40),0))</f>
        <v/>
      </c>
      <c r="F1873">
        <f>IF($J1873="","",0)</f>
        <v/>
      </c>
      <c r="G1873">
        <f>IF($J1873="","",SUMIFS('Hours Log'!$E:$E,'Hours Log'!$A:$A,"&gt;="&amp;$J1873,'Hours Log'!$A:$A,"&lt;"&amp;$J1873+7))</f>
        <v/>
      </c>
      <c r="J1873">
        <f>IF(COUNT('Hours Log'!$A$4:$A$5000)=0,"",IF(MIN('Hours Log'!$A$4:$A$5000)+7*(ROW()-10)&gt;MAX('Hours Log'!$A$4:$A$5000),"",MIN('Hours Log'!$A$4:$A$5000)+7*(ROW()-10)))</f>
        <v/>
      </c>
    </row>
    <row r="1874">
      <c r="A1874">
        <f>IF($J1874="","",YEAR($J1874-WEEKDAY($J1874,2)+4)&amp;"-W"&amp;TEXT(WEEKNUM($J1874,21),"00"))</f>
        <v/>
      </c>
      <c r="B1874" s="41">
        <f>IF($J1874="","",COUNTIFS(Roster!$D$4:$D$500,"Active",Roster!$C$4:$C$500,"&lt;="&amp;$J1874))</f>
        <v/>
      </c>
      <c r="C1874">
        <f>IF($J1874="","",SUMIFS('Hours Log'!$C:$C,'Hours Log'!$A:$A,"&gt;="&amp;$J1874,'Hours Log'!$A:$A,"&lt;"&amp;$J1874+7)+SUMIFS('Hours Log'!$D:$D,'Hours Log'!$A:$A,"&gt;="&amp;$J1874,'Hours Log'!$A:$A,"&lt;"&amp;$J1874+7))</f>
        <v/>
      </c>
      <c r="D1874">
        <f>IF($J1874="","",SUMIFS('Hours Log'!$D:$D,'Hours Log'!$A:$A,"&gt;="&amp;$J1874,'Hours Log'!$A:$A,"&lt;"&amp;$J1874+7))</f>
        <v/>
      </c>
      <c r="E1874">
        <f>IF($J1874="","",IFERROR(C1874/(B1874*40),0))</f>
        <v/>
      </c>
      <c r="F1874">
        <f>IF($J1874="","",0)</f>
        <v/>
      </c>
      <c r="G1874">
        <f>IF($J1874="","",SUMIFS('Hours Log'!$E:$E,'Hours Log'!$A:$A,"&gt;="&amp;$J1874,'Hours Log'!$A:$A,"&lt;"&amp;$J1874+7))</f>
        <v/>
      </c>
      <c r="J1874">
        <f>IF(COUNT('Hours Log'!$A$4:$A$5000)=0,"",IF(MIN('Hours Log'!$A$4:$A$5000)+7*(ROW()-10)&gt;MAX('Hours Log'!$A$4:$A$5000),"",MIN('Hours Log'!$A$4:$A$5000)+7*(ROW()-10)))</f>
        <v/>
      </c>
    </row>
    <row r="1875">
      <c r="A1875">
        <f>IF($J1875="","",YEAR($J1875-WEEKDAY($J1875,2)+4)&amp;"-W"&amp;TEXT(WEEKNUM($J1875,21),"00"))</f>
        <v/>
      </c>
      <c r="B1875" s="41">
        <f>IF($J1875="","",COUNTIFS(Roster!$D$4:$D$500,"Active",Roster!$C$4:$C$500,"&lt;="&amp;$J1875))</f>
        <v/>
      </c>
      <c r="C1875">
        <f>IF($J1875="","",SUMIFS('Hours Log'!$C:$C,'Hours Log'!$A:$A,"&gt;="&amp;$J1875,'Hours Log'!$A:$A,"&lt;"&amp;$J1875+7)+SUMIFS('Hours Log'!$D:$D,'Hours Log'!$A:$A,"&gt;="&amp;$J1875,'Hours Log'!$A:$A,"&lt;"&amp;$J1875+7))</f>
        <v/>
      </c>
      <c r="D1875">
        <f>IF($J1875="","",SUMIFS('Hours Log'!$D:$D,'Hours Log'!$A:$A,"&gt;="&amp;$J1875,'Hours Log'!$A:$A,"&lt;"&amp;$J1875+7))</f>
        <v/>
      </c>
      <c r="E1875">
        <f>IF($J1875="","",IFERROR(C1875/(B1875*40),0))</f>
        <v/>
      </c>
      <c r="F1875">
        <f>IF($J1875="","",0)</f>
        <v/>
      </c>
      <c r="G1875">
        <f>IF($J1875="","",SUMIFS('Hours Log'!$E:$E,'Hours Log'!$A:$A,"&gt;="&amp;$J1875,'Hours Log'!$A:$A,"&lt;"&amp;$J1875+7))</f>
        <v/>
      </c>
      <c r="J1875">
        <f>IF(COUNT('Hours Log'!$A$4:$A$5000)=0,"",IF(MIN('Hours Log'!$A$4:$A$5000)+7*(ROW()-10)&gt;MAX('Hours Log'!$A$4:$A$5000),"",MIN('Hours Log'!$A$4:$A$5000)+7*(ROW()-10)))</f>
        <v/>
      </c>
    </row>
    <row r="1876">
      <c r="A1876">
        <f>IF($J1876="","",YEAR($J1876-WEEKDAY($J1876,2)+4)&amp;"-W"&amp;TEXT(WEEKNUM($J1876,21),"00"))</f>
        <v/>
      </c>
      <c r="B1876" s="41">
        <f>IF($J1876="","",COUNTIFS(Roster!$D$4:$D$500,"Active",Roster!$C$4:$C$500,"&lt;="&amp;$J1876))</f>
        <v/>
      </c>
      <c r="C1876">
        <f>IF($J1876="","",SUMIFS('Hours Log'!$C:$C,'Hours Log'!$A:$A,"&gt;="&amp;$J1876,'Hours Log'!$A:$A,"&lt;"&amp;$J1876+7)+SUMIFS('Hours Log'!$D:$D,'Hours Log'!$A:$A,"&gt;="&amp;$J1876,'Hours Log'!$A:$A,"&lt;"&amp;$J1876+7))</f>
        <v/>
      </c>
      <c r="D1876">
        <f>IF($J1876="","",SUMIFS('Hours Log'!$D:$D,'Hours Log'!$A:$A,"&gt;="&amp;$J1876,'Hours Log'!$A:$A,"&lt;"&amp;$J1876+7))</f>
        <v/>
      </c>
      <c r="E1876">
        <f>IF($J1876="","",IFERROR(C1876/(B1876*40),0))</f>
        <v/>
      </c>
      <c r="F1876">
        <f>IF($J1876="","",0)</f>
        <v/>
      </c>
      <c r="G1876">
        <f>IF($J1876="","",SUMIFS('Hours Log'!$E:$E,'Hours Log'!$A:$A,"&gt;="&amp;$J1876,'Hours Log'!$A:$A,"&lt;"&amp;$J1876+7))</f>
        <v/>
      </c>
      <c r="J1876">
        <f>IF(COUNT('Hours Log'!$A$4:$A$5000)=0,"",IF(MIN('Hours Log'!$A$4:$A$5000)+7*(ROW()-10)&gt;MAX('Hours Log'!$A$4:$A$5000),"",MIN('Hours Log'!$A$4:$A$5000)+7*(ROW()-10)))</f>
        <v/>
      </c>
    </row>
    <row r="1877">
      <c r="A1877">
        <f>IF($J1877="","",YEAR($J1877-WEEKDAY($J1877,2)+4)&amp;"-W"&amp;TEXT(WEEKNUM($J1877,21),"00"))</f>
        <v/>
      </c>
      <c r="B1877" s="41">
        <f>IF($J1877="","",COUNTIFS(Roster!$D$4:$D$500,"Active",Roster!$C$4:$C$500,"&lt;="&amp;$J1877))</f>
        <v/>
      </c>
      <c r="C1877">
        <f>IF($J1877="","",SUMIFS('Hours Log'!$C:$C,'Hours Log'!$A:$A,"&gt;="&amp;$J1877,'Hours Log'!$A:$A,"&lt;"&amp;$J1877+7)+SUMIFS('Hours Log'!$D:$D,'Hours Log'!$A:$A,"&gt;="&amp;$J1877,'Hours Log'!$A:$A,"&lt;"&amp;$J1877+7))</f>
        <v/>
      </c>
      <c r="D1877">
        <f>IF($J1877="","",SUMIFS('Hours Log'!$D:$D,'Hours Log'!$A:$A,"&gt;="&amp;$J1877,'Hours Log'!$A:$A,"&lt;"&amp;$J1877+7))</f>
        <v/>
      </c>
      <c r="E1877">
        <f>IF($J1877="","",IFERROR(C1877/(B1877*40),0))</f>
        <v/>
      </c>
      <c r="F1877">
        <f>IF($J1877="","",0)</f>
        <v/>
      </c>
      <c r="G1877">
        <f>IF($J1877="","",SUMIFS('Hours Log'!$E:$E,'Hours Log'!$A:$A,"&gt;="&amp;$J1877,'Hours Log'!$A:$A,"&lt;"&amp;$J1877+7))</f>
        <v/>
      </c>
      <c r="J1877">
        <f>IF(COUNT('Hours Log'!$A$4:$A$5000)=0,"",IF(MIN('Hours Log'!$A$4:$A$5000)+7*(ROW()-10)&gt;MAX('Hours Log'!$A$4:$A$5000),"",MIN('Hours Log'!$A$4:$A$5000)+7*(ROW()-10)))</f>
        <v/>
      </c>
    </row>
    <row r="1878">
      <c r="A1878">
        <f>IF($J1878="","",YEAR($J1878-WEEKDAY($J1878,2)+4)&amp;"-W"&amp;TEXT(WEEKNUM($J1878,21),"00"))</f>
        <v/>
      </c>
      <c r="B1878" s="41">
        <f>IF($J1878="","",COUNTIFS(Roster!$D$4:$D$500,"Active",Roster!$C$4:$C$500,"&lt;="&amp;$J1878))</f>
        <v/>
      </c>
      <c r="C1878">
        <f>IF($J1878="","",SUMIFS('Hours Log'!$C:$C,'Hours Log'!$A:$A,"&gt;="&amp;$J1878,'Hours Log'!$A:$A,"&lt;"&amp;$J1878+7)+SUMIFS('Hours Log'!$D:$D,'Hours Log'!$A:$A,"&gt;="&amp;$J1878,'Hours Log'!$A:$A,"&lt;"&amp;$J1878+7))</f>
        <v/>
      </c>
      <c r="D1878">
        <f>IF($J1878="","",SUMIFS('Hours Log'!$D:$D,'Hours Log'!$A:$A,"&gt;="&amp;$J1878,'Hours Log'!$A:$A,"&lt;"&amp;$J1878+7))</f>
        <v/>
      </c>
      <c r="E1878">
        <f>IF($J1878="","",IFERROR(C1878/(B1878*40),0))</f>
        <v/>
      </c>
      <c r="F1878">
        <f>IF($J1878="","",0)</f>
        <v/>
      </c>
      <c r="G1878">
        <f>IF($J1878="","",SUMIFS('Hours Log'!$E:$E,'Hours Log'!$A:$A,"&gt;="&amp;$J1878,'Hours Log'!$A:$A,"&lt;"&amp;$J1878+7))</f>
        <v/>
      </c>
      <c r="J1878">
        <f>IF(COUNT('Hours Log'!$A$4:$A$5000)=0,"",IF(MIN('Hours Log'!$A$4:$A$5000)+7*(ROW()-10)&gt;MAX('Hours Log'!$A$4:$A$5000),"",MIN('Hours Log'!$A$4:$A$5000)+7*(ROW()-10)))</f>
        <v/>
      </c>
    </row>
    <row r="1879">
      <c r="A1879">
        <f>IF($J1879="","",YEAR($J1879-WEEKDAY($J1879,2)+4)&amp;"-W"&amp;TEXT(WEEKNUM($J1879,21),"00"))</f>
        <v/>
      </c>
      <c r="B1879" s="41">
        <f>IF($J1879="","",COUNTIFS(Roster!$D$4:$D$500,"Active",Roster!$C$4:$C$500,"&lt;="&amp;$J1879))</f>
        <v/>
      </c>
      <c r="C1879">
        <f>IF($J1879="","",SUMIFS('Hours Log'!$C:$C,'Hours Log'!$A:$A,"&gt;="&amp;$J1879,'Hours Log'!$A:$A,"&lt;"&amp;$J1879+7)+SUMIFS('Hours Log'!$D:$D,'Hours Log'!$A:$A,"&gt;="&amp;$J1879,'Hours Log'!$A:$A,"&lt;"&amp;$J1879+7))</f>
        <v/>
      </c>
      <c r="D1879">
        <f>IF($J1879="","",SUMIFS('Hours Log'!$D:$D,'Hours Log'!$A:$A,"&gt;="&amp;$J1879,'Hours Log'!$A:$A,"&lt;"&amp;$J1879+7))</f>
        <v/>
      </c>
      <c r="E1879">
        <f>IF($J1879="","",IFERROR(C1879/(B1879*40),0))</f>
        <v/>
      </c>
      <c r="F1879">
        <f>IF($J1879="","",0)</f>
        <v/>
      </c>
      <c r="G1879">
        <f>IF($J1879="","",SUMIFS('Hours Log'!$E:$E,'Hours Log'!$A:$A,"&gt;="&amp;$J1879,'Hours Log'!$A:$A,"&lt;"&amp;$J1879+7))</f>
        <v/>
      </c>
      <c r="J1879">
        <f>IF(COUNT('Hours Log'!$A$4:$A$5000)=0,"",IF(MIN('Hours Log'!$A$4:$A$5000)+7*(ROW()-10)&gt;MAX('Hours Log'!$A$4:$A$5000),"",MIN('Hours Log'!$A$4:$A$5000)+7*(ROW()-10)))</f>
        <v/>
      </c>
    </row>
    <row r="1880">
      <c r="A1880">
        <f>IF($J1880="","",YEAR($J1880-WEEKDAY($J1880,2)+4)&amp;"-W"&amp;TEXT(WEEKNUM($J1880,21),"00"))</f>
        <v/>
      </c>
      <c r="B1880" s="41">
        <f>IF($J1880="","",COUNTIFS(Roster!$D$4:$D$500,"Active",Roster!$C$4:$C$500,"&lt;="&amp;$J1880))</f>
        <v/>
      </c>
      <c r="C1880">
        <f>IF($J1880="","",SUMIFS('Hours Log'!$C:$C,'Hours Log'!$A:$A,"&gt;="&amp;$J1880,'Hours Log'!$A:$A,"&lt;"&amp;$J1880+7)+SUMIFS('Hours Log'!$D:$D,'Hours Log'!$A:$A,"&gt;="&amp;$J1880,'Hours Log'!$A:$A,"&lt;"&amp;$J1880+7))</f>
        <v/>
      </c>
      <c r="D1880">
        <f>IF($J1880="","",SUMIFS('Hours Log'!$D:$D,'Hours Log'!$A:$A,"&gt;="&amp;$J1880,'Hours Log'!$A:$A,"&lt;"&amp;$J1880+7))</f>
        <v/>
      </c>
      <c r="E1880">
        <f>IF($J1880="","",IFERROR(C1880/(B1880*40),0))</f>
        <v/>
      </c>
      <c r="F1880">
        <f>IF($J1880="","",0)</f>
        <v/>
      </c>
      <c r="G1880">
        <f>IF($J1880="","",SUMIFS('Hours Log'!$E:$E,'Hours Log'!$A:$A,"&gt;="&amp;$J1880,'Hours Log'!$A:$A,"&lt;"&amp;$J1880+7))</f>
        <v/>
      </c>
      <c r="J1880">
        <f>IF(COUNT('Hours Log'!$A$4:$A$5000)=0,"",IF(MIN('Hours Log'!$A$4:$A$5000)+7*(ROW()-10)&gt;MAX('Hours Log'!$A$4:$A$5000),"",MIN('Hours Log'!$A$4:$A$5000)+7*(ROW()-10)))</f>
        <v/>
      </c>
    </row>
    <row r="1881">
      <c r="A1881">
        <f>IF($J1881="","",YEAR($J1881-WEEKDAY($J1881,2)+4)&amp;"-W"&amp;TEXT(WEEKNUM($J1881,21),"00"))</f>
        <v/>
      </c>
      <c r="B1881" s="41">
        <f>IF($J1881="","",COUNTIFS(Roster!$D$4:$D$500,"Active",Roster!$C$4:$C$500,"&lt;="&amp;$J1881))</f>
        <v/>
      </c>
      <c r="C1881">
        <f>IF($J1881="","",SUMIFS('Hours Log'!$C:$C,'Hours Log'!$A:$A,"&gt;="&amp;$J1881,'Hours Log'!$A:$A,"&lt;"&amp;$J1881+7)+SUMIFS('Hours Log'!$D:$D,'Hours Log'!$A:$A,"&gt;="&amp;$J1881,'Hours Log'!$A:$A,"&lt;"&amp;$J1881+7))</f>
        <v/>
      </c>
      <c r="D1881">
        <f>IF($J1881="","",SUMIFS('Hours Log'!$D:$D,'Hours Log'!$A:$A,"&gt;="&amp;$J1881,'Hours Log'!$A:$A,"&lt;"&amp;$J1881+7))</f>
        <v/>
      </c>
      <c r="E1881">
        <f>IF($J1881="","",IFERROR(C1881/(B1881*40),0))</f>
        <v/>
      </c>
      <c r="F1881">
        <f>IF($J1881="","",0)</f>
        <v/>
      </c>
      <c r="G1881">
        <f>IF($J1881="","",SUMIFS('Hours Log'!$E:$E,'Hours Log'!$A:$A,"&gt;="&amp;$J1881,'Hours Log'!$A:$A,"&lt;"&amp;$J1881+7))</f>
        <v/>
      </c>
      <c r="J1881">
        <f>IF(COUNT('Hours Log'!$A$4:$A$5000)=0,"",IF(MIN('Hours Log'!$A$4:$A$5000)+7*(ROW()-10)&gt;MAX('Hours Log'!$A$4:$A$5000),"",MIN('Hours Log'!$A$4:$A$5000)+7*(ROW()-10)))</f>
        <v/>
      </c>
    </row>
    <row r="1882">
      <c r="A1882">
        <f>IF($J1882="","",YEAR($J1882-WEEKDAY($J1882,2)+4)&amp;"-W"&amp;TEXT(WEEKNUM($J1882,21),"00"))</f>
        <v/>
      </c>
      <c r="B1882" s="41">
        <f>IF($J1882="","",COUNTIFS(Roster!$D$4:$D$500,"Active",Roster!$C$4:$C$500,"&lt;="&amp;$J1882))</f>
        <v/>
      </c>
      <c r="C1882">
        <f>IF($J1882="","",SUMIFS('Hours Log'!$C:$C,'Hours Log'!$A:$A,"&gt;="&amp;$J1882,'Hours Log'!$A:$A,"&lt;"&amp;$J1882+7)+SUMIFS('Hours Log'!$D:$D,'Hours Log'!$A:$A,"&gt;="&amp;$J1882,'Hours Log'!$A:$A,"&lt;"&amp;$J1882+7))</f>
        <v/>
      </c>
      <c r="D1882">
        <f>IF($J1882="","",SUMIFS('Hours Log'!$D:$D,'Hours Log'!$A:$A,"&gt;="&amp;$J1882,'Hours Log'!$A:$A,"&lt;"&amp;$J1882+7))</f>
        <v/>
      </c>
      <c r="E1882">
        <f>IF($J1882="","",IFERROR(C1882/(B1882*40),0))</f>
        <v/>
      </c>
      <c r="F1882">
        <f>IF($J1882="","",0)</f>
        <v/>
      </c>
      <c r="G1882">
        <f>IF($J1882="","",SUMIFS('Hours Log'!$E:$E,'Hours Log'!$A:$A,"&gt;="&amp;$J1882,'Hours Log'!$A:$A,"&lt;"&amp;$J1882+7))</f>
        <v/>
      </c>
      <c r="J1882">
        <f>IF(COUNT('Hours Log'!$A$4:$A$5000)=0,"",IF(MIN('Hours Log'!$A$4:$A$5000)+7*(ROW()-10)&gt;MAX('Hours Log'!$A$4:$A$5000),"",MIN('Hours Log'!$A$4:$A$5000)+7*(ROW()-10)))</f>
        <v/>
      </c>
    </row>
    <row r="1883">
      <c r="A1883">
        <f>IF($J1883="","",YEAR($J1883-WEEKDAY($J1883,2)+4)&amp;"-W"&amp;TEXT(WEEKNUM($J1883,21),"00"))</f>
        <v/>
      </c>
      <c r="B1883" s="41">
        <f>IF($J1883="","",COUNTIFS(Roster!$D$4:$D$500,"Active",Roster!$C$4:$C$500,"&lt;="&amp;$J1883))</f>
        <v/>
      </c>
      <c r="C1883">
        <f>IF($J1883="","",SUMIFS('Hours Log'!$C:$C,'Hours Log'!$A:$A,"&gt;="&amp;$J1883,'Hours Log'!$A:$A,"&lt;"&amp;$J1883+7)+SUMIFS('Hours Log'!$D:$D,'Hours Log'!$A:$A,"&gt;="&amp;$J1883,'Hours Log'!$A:$A,"&lt;"&amp;$J1883+7))</f>
        <v/>
      </c>
      <c r="D1883">
        <f>IF($J1883="","",SUMIFS('Hours Log'!$D:$D,'Hours Log'!$A:$A,"&gt;="&amp;$J1883,'Hours Log'!$A:$A,"&lt;"&amp;$J1883+7))</f>
        <v/>
      </c>
      <c r="E1883">
        <f>IF($J1883="","",IFERROR(C1883/(B1883*40),0))</f>
        <v/>
      </c>
      <c r="F1883">
        <f>IF($J1883="","",0)</f>
        <v/>
      </c>
      <c r="G1883">
        <f>IF($J1883="","",SUMIFS('Hours Log'!$E:$E,'Hours Log'!$A:$A,"&gt;="&amp;$J1883,'Hours Log'!$A:$A,"&lt;"&amp;$J1883+7))</f>
        <v/>
      </c>
      <c r="J1883">
        <f>IF(COUNT('Hours Log'!$A$4:$A$5000)=0,"",IF(MIN('Hours Log'!$A$4:$A$5000)+7*(ROW()-10)&gt;MAX('Hours Log'!$A$4:$A$5000),"",MIN('Hours Log'!$A$4:$A$5000)+7*(ROW()-10)))</f>
        <v/>
      </c>
    </row>
    <row r="1884">
      <c r="A1884">
        <f>IF($J1884="","",YEAR($J1884-WEEKDAY($J1884,2)+4)&amp;"-W"&amp;TEXT(WEEKNUM($J1884,21),"00"))</f>
        <v/>
      </c>
      <c r="B1884" s="41">
        <f>IF($J1884="","",COUNTIFS(Roster!$D$4:$D$500,"Active",Roster!$C$4:$C$500,"&lt;="&amp;$J1884))</f>
        <v/>
      </c>
      <c r="C1884">
        <f>IF($J1884="","",SUMIFS('Hours Log'!$C:$C,'Hours Log'!$A:$A,"&gt;="&amp;$J1884,'Hours Log'!$A:$A,"&lt;"&amp;$J1884+7)+SUMIFS('Hours Log'!$D:$D,'Hours Log'!$A:$A,"&gt;="&amp;$J1884,'Hours Log'!$A:$A,"&lt;"&amp;$J1884+7))</f>
        <v/>
      </c>
      <c r="D1884">
        <f>IF($J1884="","",SUMIFS('Hours Log'!$D:$D,'Hours Log'!$A:$A,"&gt;="&amp;$J1884,'Hours Log'!$A:$A,"&lt;"&amp;$J1884+7))</f>
        <v/>
      </c>
      <c r="E1884">
        <f>IF($J1884="","",IFERROR(C1884/(B1884*40),0))</f>
        <v/>
      </c>
      <c r="F1884">
        <f>IF($J1884="","",0)</f>
        <v/>
      </c>
      <c r="G1884">
        <f>IF($J1884="","",SUMIFS('Hours Log'!$E:$E,'Hours Log'!$A:$A,"&gt;="&amp;$J1884,'Hours Log'!$A:$A,"&lt;"&amp;$J1884+7))</f>
        <v/>
      </c>
      <c r="J1884">
        <f>IF(COUNT('Hours Log'!$A$4:$A$5000)=0,"",IF(MIN('Hours Log'!$A$4:$A$5000)+7*(ROW()-10)&gt;MAX('Hours Log'!$A$4:$A$5000),"",MIN('Hours Log'!$A$4:$A$5000)+7*(ROW()-10)))</f>
        <v/>
      </c>
    </row>
    <row r="1885">
      <c r="A1885">
        <f>IF($J1885="","",YEAR($J1885-WEEKDAY($J1885,2)+4)&amp;"-W"&amp;TEXT(WEEKNUM($J1885,21),"00"))</f>
        <v/>
      </c>
      <c r="B1885" s="41">
        <f>IF($J1885="","",COUNTIFS(Roster!$D$4:$D$500,"Active",Roster!$C$4:$C$500,"&lt;="&amp;$J1885))</f>
        <v/>
      </c>
      <c r="C1885">
        <f>IF($J1885="","",SUMIFS('Hours Log'!$C:$C,'Hours Log'!$A:$A,"&gt;="&amp;$J1885,'Hours Log'!$A:$A,"&lt;"&amp;$J1885+7)+SUMIFS('Hours Log'!$D:$D,'Hours Log'!$A:$A,"&gt;="&amp;$J1885,'Hours Log'!$A:$A,"&lt;"&amp;$J1885+7))</f>
        <v/>
      </c>
      <c r="D1885">
        <f>IF($J1885="","",SUMIFS('Hours Log'!$D:$D,'Hours Log'!$A:$A,"&gt;="&amp;$J1885,'Hours Log'!$A:$A,"&lt;"&amp;$J1885+7))</f>
        <v/>
      </c>
      <c r="E1885">
        <f>IF($J1885="","",IFERROR(C1885/(B1885*40),0))</f>
        <v/>
      </c>
      <c r="F1885">
        <f>IF($J1885="","",0)</f>
        <v/>
      </c>
      <c r="G1885">
        <f>IF($J1885="","",SUMIFS('Hours Log'!$E:$E,'Hours Log'!$A:$A,"&gt;="&amp;$J1885,'Hours Log'!$A:$A,"&lt;"&amp;$J1885+7))</f>
        <v/>
      </c>
      <c r="J1885">
        <f>IF(COUNT('Hours Log'!$A$4:$A$5000)=0,"",IF(MIN('Hours Log'!$A$4:$A$5000)+7*(ROW()-10)&gt;MAX('Hours Log'!$A$4:$A$5000),"",MIN('Hours Log'!$A$4:$A$5000)+7*(ROW()-10)))</f>
        <v/>
      </c>
    </row>
    <row r="1886">
      <c r="A1886">
        <f>IF($J1886="","",YEAR($J1886-WEEKDAY($J1886,2)+4)&amp;"-W"&amp;TEXT(WEEKNUM($J1886,21),"00"))</f>
        <v/>
      </c>
      <c r="B1886" s="41">
        <f>IF($J1886="","",COUNTIFS(Roster!$D$4:$D$500,"Active",Roster!$C$4:$C$500,"&lt;="&amp;$J1886))</f>
        <v/>
      </c>
      <c r="C1886">
        <f>IF($J1886="","",SUMIFS('Hours Log'!$C:$C,'Hours Log'!$A:$A,"&gt;="&amp;$J1886,'Hours Log'!$A:$A,"&lt;"&amp;$J1886+7)+SUMIFS('Hours Log'!$D:$D,'Hours Log'!$A:$A,"&gt;="&amp;$J1886,'Hours Log'!$A:$A,"&lt;"&amp;$J1886+7))</f>
        <v/>
      </c>
      <c r="D1886">
        <f>IF($J1886="","",SUMIFS('Hours Log'!$D:$D,'Hours Log'!$A:$A,"&gt;="&amp;$J1886,'Hours Log'!$A:$A,"&lt;"&amp;$J1886+7))</f>
        <v/>
      </c>
      <c r="E1886">
        <f>IF($J1886="","",IFERROR(C1886/(B1886*40),0))</f>
        <v/>
      </c>
      <c r="F1886">
        <f>IF($J1886="","",0)</f>
        <v/>
      </c>
      <c r="G1886">
        <f>IF($J1886="","",SUMIFS('Hours Log'!$E:$E,'Hours Log'!$A:$A,"&gt;="&amp;$J1886,'Hours Log'!$A:$A,"&lt;"&amp;$J1886+7))</f>
        <v/>
      </c>
      <c r="J1886">
        <f>IF(COUNT('Hours Log'!$A$4:$A$5000)=0,"",IF(MIN('Hours Log'!$A$4:$A$5000)+7*(ROW()-10)&gt;MAX('Hours Log'!$A$4:$A$5000),"",MIN('Hours Log'!$A$4:$A$5000)+7*(ROW()-10)))</f>
        <v/>
      </c>
    </row>
    <row r="1887">
      <c r="A1887">
        <f>IF($J1887="","",YEAR($J1887-WEEKDAY($J1887,2)+4)&amp;"-W"&amp;TEXT(WEEKNUM($J1887,21),"00"))</f>
        <v/>
      </c>
      <c r="B1887" s="41">
        <f>IF($J1887="","",COUNTIFS(Roster!$D$4:$D$500,"Active",Roster!$C$4:$C$500,"&lt;="&amp;$J1887))</f>
        <v/>
      </c>
      <c r="C1887">
        <f>IF($J1887="","",SUMIFS('Hours Log'!$C:$C,'Hours Log'!$A:$A,"&gt;="&amp;$J1887,'Hours Log'!$A:$A,"&lt;"&amp;$J1887+7)+SUMIFS('Hours Log'!$D:$D,'Hours Log'!$A:$A,"&gt;="&amp;$J1887,'Hours Log'!$A:$A,"&lt;"&amp;$J1887+7))</f>
        <v/>
      </c>
      <c r="D1887">
        <f>IF($J1887="","",SUMIFS('Hours Log'!$D:$D,'Hours Log'!$A:$A,"&gt;="&amp;$J1887,'Hours Log'!$A:$A,"&lt;"&amp;$J1887+7))</f>
        <v/>
      </c>
      <c r="E1887">
        <f>IF($J1887="","",IFERROR(C1887/(B1887*40),0))</f>
        <v/>
      </c>
      <c r="F1887">
        <f>IF($J1887="","",0)</f>
        <v/>
      </c>
      <c r="G1887">
        <f>IF($J1887="","",SUMIFS('Hours Log'!$E:$E,'Hours Log'!$A:$A,"&gt;="&amp;$J1887,'Hours Log'!$A:$A,"&lt;"&amp;$J1887+7))</f>
        <v/>
      </c>
      <c r="J1887">
        <f>IF(COUNT('Hours Log'!$A$4:$A$5000)=0,"",IF(MIN('Hours Log'!$A$4:$A$5000)+7*(ROW()-10)&gt;MAX('Hours Log'!$A$4:$A$5000),"",MIN('Hours Log'!$A$4:$A$5000)+7*(ROW()-10)))</f>
        <v/>
      </c>
    </row>
    <row r="1888">
      <c r="A1888">
        <f>IF($J1888="","",YEAR($J1888-WEEKDAY($J1888,2)+4)&amp;"-W"&amp;TEXT(WEEKNUM($J1888,21),"00"))</f>
        <v/>
      </c>
      <c r="B1888" s="41">
        <f>IF($J1888="","",COUNTIFS(Roster!$D$4:$D$500,"Active",Roster!$C$4:$C$500,"&lt;="&amp;$J1888))</f>
        <v/>
      </c>
      <c r="C1888">
        <f>IF($J1888="","",SUMIFS('Hours Log'!$C:$C,'Hours Log'!$A:$A,"&gt;="&amp;$J1888,'Hours Log'!$A:$A,"&lt;"&amp;$J1888+7)+SUMIFS('Hours Log'!$D:$D,'Hours Log'!$A:$A,"&gt;="&amp;$J1888,'Hours Log'!$A:$A,"&lt;"&amp;$J1888+7))</f>
        <v/>
      </c>
      <c r="D1888">
        <f>IF($J1888="","",SUMIFS('Hours Log'!$D:$D,'Hours Log'!$A:$A,"&gt;="&amp;$J1888,'Hours Log'!$A:$A,"&lt;"&amp;$J1888+7))</f>
        <v/>
      </c>
      <c r="E1888">
        <f>IF($J1888="","",IFERROR(C1888/(B1888*40),0))</f>
        <v/>
      </c>
      <c r="F1888">
        <f>IF($J1888="","",0)</f>
        <v/>
      </c>
      <c r="G1888">
        <f>IF($J1888="","",SUMIFS('Hours Log'!$E:$E,'Hours Log'!$A:$A,"&gt;="&amp;$J1888,'Hours Log'!$A:$A,"&lt;"&amp;$J1888+7))</f>
        <v/>
      </c>
      <c r="J1888">
        <f>IF(COUNT('Hours Log'!$A$4:$A$5000)=0,"",IF(MIN('Hours Log'!$A$4:$A$5000)+7*(ROW()-10)&gt;MAX('Hours Log'!$A$4:$A$5000),"",MIN('Hours Log'!$A$4:$A$5000)+7*(ROW()-10)))</f>
        <v/>
      </c>
    </row>
    <row r="1889">
      <c r="A1889">
        <f>IF($J1889="","",YEAR($J1889-WEEKDAY($J1889,2)+4)&amp;"-W"&amp;TEXT(WEEKNUM($J1889,21),"00"))</f>
        <v/>
      </c>
      <c r="B1889" s="41">
        <f>IF($J1889="","",COUNTIFS(Roster!$D$4:$D$500,"Active",Roster!$C$4:$C$500,"&lt;="&amp;$J1889))</f>
        <v/>
      </c>
      <c r="C1889">
        <f>IF($J1889="","",SUMIFS('Hours Log'!$C:$C,'Hours Log'!$A:$A,"&gt;="&amp;$J1889,'Hours Log'!$A:$A,"&lt;"&amp;$J1889+7)+SUMIFS('Hours Log'!$D:$D,'Hours Log'!$A:$A,"&gt;="&amp;$J1889,'Hours Log'!$A:$A,"&lt;"&amp;$J1889+7))</f>
        <v/>
      </c>
      <c r="D1889">
        <f>IF($J1889="","",SUMIFS('Hours Log'!$D:$D,'Hours Log'!$A:$A,"&gt;="&amp;$J1889,'Hours Log'!$A:$A,"&lt;"&amp;$J1889+7))</f>
        <v/>
      </c>
      <c r="E1889">
        <f>IF($J1889="","",IFERROR(C1889/(B1889*40),0))</f>
        <v/>
      </c>
      <c r="F1889">
        <f>IF($J1889="","",0)</f>
        <v/>
      </c>
      <c r="G1889">
        <f>IF($J1889="","",SUMIFS('Hours Log'!$E:$E,'Hours Log'!$A:$A,"&gt;="&amp;$J1889,'Hours Log'!$A:$A,"&lt;"&amp;$J1889+7))</f>
        <v/>
      </c>
      <c r="J1889">
        <f>IF(COUNT('Hours Log'!$A$4:$A$5000)=0,"",IF(MIN('Hours Log'!$A$4:$A$5000)+7*(ROW()-10)&gt;MAX('Hours Log'!$A$4:$A$5000),"",MIN('Hours Log'!$A$4:$A$5000)+7*(ROW()-10)))</f>
        <v/>
      </c>
    </row>
    <row r="1890">
      <c r="A1890">
        <f>IF($J1890="","",YEAR($J1890-WEEKDAY($J1890,2)+4)&amp;"-W"&amp;TEXT(WEEKNUM($J1890,21),"00"))</f>
        <v/>
      </c>
      <c r="B1890" s="41">
        <f>IF($J1890="","",COUNTIFS(Roster!$D$4:$D$500,"Active",Roster!$C$4:$C$500,"&lt;="&amp;$J1890))</f>
        <v/>
      </c>
      <c r="C1890">
        <f>IF($J1890="","",SUMIFS('Hours Log'!$C:$C,'Hours Log'!$A:$A,"&gt;="&amp;$J1890,'Hours Log'!$A:$A,"&lt;"&amp;$J1890+7)+SUMIFS('Hours Log'!$D:$D,'Hours Log'!$A:$A,"&gt;="&amp;$J1890,'Hours Log'!$A:$A,"&lt;"&amp;$J1890+7))</f>
        <v/>
      </c>
      <c r="D1890">
        <f>IF($J1890="","",SUMIFS('Hours Log'!$D:$D,'Hours Log'!$A:$A,"&gt;="&amp;$J1890,'Hours Log'!$A:$A,"&lt;"&amp;$J1890+7))</f>
        <v/>
      </c>
      <c r="E1890">
        <f>IF($J1890="","",IFERROR(C1890/(B1890*40),0))</f>
        <v/>
      </c>
      <c r="F1890">
        <f>IF($J1890="","",0)</f>
        <v/>
      </c>
      <c r="G1890">
        <f>IF($J1890="","",SUMIFS('Hours Log'!$E:$E,'Hours Log'!$A:$A,"&gt;="&amp;$J1890,'Hours Log'!$A:$A,"&lt;"&amp;$J1890+7))</f>
        <v/>
      </c>
      <c r="J1890">
        <f>IF(COUNT('Hours Log'!$A$4:$A$5000)=0,"",IF(MIN('Hours Log'!$A$4:$A$5000)+7*(ROW()-10)&gt;MAX('Hours Log'!$A$4:$A$5000),"",MIN('Hours Log'!$A$4:$A$5000)+7*(ROW()-10)))</f>
        <v/>
      </c>
    </row>
    <row r="1891">
      <c r="A1891">
        <f>IF($J1891="","",YEAR($J1891-WEEKDAY($J1891,2)+4)&amp;"-W"&amp;TEXT(WEEKNUM($J1891,21),"00"))</f>
        <v/>
      </c>
      <c r="B1891" s="41">
        <f>IF($J1891="","",COUNTIFS(Roster!$D$4:$D$500,"Active",Roster!$C$4:$C$500,"&lt;="&amp;$J1891))</f>
        <v/>
      </c>
      <c r="C1891">
        <f>IF($J1891="","",SUMIFS('Hours Log'!$C:$C,'Hours Log'!$A:$A,"&gt;="&amp;$J1891,'Hours Log'!$A:$A,"&lt;"&amp;$J1891+7)+SUMIFS('Hours Log'!$D:$D,'Hours Log'!$A:$A,"&gt;="&amp;$J1891,'Hours Log'!$A:$A,"&lt;"&amp;$J1891+7))</f>
        <v/>
      </c>
      <c r="D1891">
        <f>IF($J1891="","",SUMIFS('Hours Log'!$D:$D,'Hours Log'!$A:$A,"&gt;="&amp;$J1891,'Hours Log'!$A:$A,"&lt;"&amp;$J1891+7))</f>
        <v/>
      </c>
      <c r="E1891">
        <f>IF($J1891="","",IFERROR(C1891/(B1891*40),0))</f>
        <v/>
      </c>
      <c r="F1891">
        <f>IF($J1891="","",0)</f>
        <v/>
      </c>
      <c r="G1891">
        <f>IF($J1891="","",SUMIFS('Hours Log'!$E:$E,'Hours Log'!$A:$A,"&gt;="&amp;$J1891,'Hours Log'!$A:$A,"&lt;"&amp;$J1891+7))</f>
        <v/>
      </c>
      <c r="J1891">
        <f>IF(COUNT('Hours Log'!$A$4:$A$5000)=0,"",IF(MIN('Hours Log'!$A$4:$A$5000)+7*(ROW()-10)&gt;MAX('Hours Log'!$A$4:$A$5000),"",MIN('Hours Log'!$A$4:$A$5000)+7*(ROW()-10)))</f>
        <v/>
      </c>
    </row>
    <row r="1892">
      <c r="A1892">
        <f>IF($J1892="","",YEAR($J1892-WEEKDAY($J1892,2)+4)&amp;"-W"&amp;TEXT(WEEKNUM($J1892,21),"00"))</f>
        <v/>
      </c>
      <c r="B1892" s="41">
        <f>IF($J1892="","",COUNTIFS(Roster!$D$4:$D$500,"Active",Roster!$C$4:$C$500,"&lt;="&amp;$J1892))</f>
        <v/>
      </c>
      <c r="C1892">
        <f>IF($J1892="","",SUMIFS('Hours Log'!$C:$C,'Hours Log'!$A:$A,"&gt;="&amp;$J1892,'Hours Log'!$A:$A,"&lt;"&amp;$J1892+7)+SUMIFS('Hours Log'!$D:$D,'Hours Log'!$A:$A,"&gt;="&amp;$J1892,'Hours Log'!$A:$A,"&lt;"&amp;$J1892+7))</f>
        <v/>
      </c>
      <c r="D1892">
        <f>IF($J1892="","",SUMIFS('Hours Log'!$D:$D,'Hours Log'!$A:$A,"&gt;="&amp;$J1892,'Hours Log'!$A:$A,"&lt;"&amp;$J1892+7))</f>
        <v/>
      </c>
      <c r="E1892">
        <f>IF($J1892="","",IFERROR(C1892/(B1892*40),0))</f>
        <v/>
      </c>
      <c r="F1892">
        <f>IF($J1892="","",0)</f>
        <v/>
      </c>
      <c r="G1892">
        <f>IF($J1892="","",SUMIFS('Hours Log'!$E:$E,'Hours Log'!$A:$A,"&gt;="&amp;$J1892,'Hours Log'!$A:$A,"&lt;"&amp;$J1892+7))</f>
        <v/>
      </c>
      <c r="J1892">
        <f>IF(COUNT('Hours Log'!$A$4:$A$5000)=0,"",IF(MIN('Hours Log'!$A$4:$A$5000)+7*(ROW()-10)&gt;MAX('Hours Log'!$A$4:$A$5000),"",MIN('Hours Log'!$A$4:$A$5000)+7*(ROW()-10)))</f>
        <v/>
      </c>
    </row>
    <row r="1893">
      <c r="A1893">
        <f>IF($J1893="","",YEAR($J1893-WEEKDAY($J1893,2)+4)&amp;"-W"&amp;TEXT(WEEKNUM($J1893,21),"00"))</f>
        <v/>
      </c>
      <c r="B1893" s="41">
        <f>IF($J1893="","",COUNTIFS(Roster!$D$4:$D$500,"Active",Roster!$C$4:$C$500,"&lt;="&amp;$J1893))</f>
        <v/>
      </c>
      <c r="C1893">
        <f>IF($J1893="","",SUMIFS('Hours Log'!$C:$C,'Hours Log'!$A:$A,"&gt;="&amp;$J1893,'Hours Log'!$A:$A,"&lt;"&amp;$J1893+7)+SUMIFS('Hours Log'!$D:$D,'Hours Log'!$A:$A,"&gt;="&amp;$J1893,'Hours Log'!$A:$A,"&lt;"&amp;$J1893+7))</f>
        <v/>
      </c>
      <c r="D1893">
        <f>IF($J1893="","",SUMIFS('Hours Log'!$D:$D,'Hours Log'!$A:$A,"&gt;="&amp;$J1893,'Hours Log'!$A:$A,"&lt;"&amp;$J1893+7))</f>
        <v/>
      </c>
      <c r="E1893">
        <f>IF($J1893="","",IFERROR(C1893/(B1893*40),0))</f>
        <v/>
      </c>
      <c r="F1893">
        <f>IF($J1893="","",0)</f>
        <v/>
      </c>
      <c r="G1893">
        <f>IF($J1893="","",SUMIFS('Hours Log'!$E:$E,'Hours Log'!$A:$A,"&gt;="&amp;$J1893,'Hours Log'!$A:$A,"&lt;"&amp;$J1893+7))</f>
        <v/>
      </c>
      <c r="J1893">
        <f>IF(COUNT('Hours Log'!$A$4:$A$5000)=0,"",IF(MIN('Hours Log'!$A$4:$A$5000)+7*(ROW()-10)&gt;MAX('Hours Log'!$A$4:$A$5000),"",MIN('Hours Log'!$A$4:$A$5000)+7*(ROW()-10)))</f>
        <v/>
      </c>
    </row>
    <row r="1894">
      <c r="A1894">
        <f>IF($J1894="","",YEAR($J1894-WEEKDAY($J1894,2)+4)&amp;"-W"&amp;TEXT(WEEKNUM($J1894,21),"00"))</f>
        <v/>
      </c>
      <c r="B1894" s="41">
        <f>IF($J1894="","",COUNTIFS(Roster!$D$4:$D$500,"Active",Roster!$C$4:$C$500,"&lt;="&amp;$J1894))</f>
        <v/>
      </c>
      <c r="C1894">
        <f>IF($J1894="","",SUMIFS('Hours Log'!$C:$C,'Hours Log'!$A:$A,"&gt;="&amp;$J1894,'Hours Log'!$A:$A,"&lt;"&amp;$J1894+7)+SUMIFS('Hours Log'!$D:$D,'Hours Log'!$A:$A,"&gt;="&amp;$J1894,'Hours Log'!$A:$A,"&lt;"&amp;$J1894+7))</f>
        <v/>
      </c>
      <c r="D1894">
        <f>IF($J1894="","",SUMIFS('Hours Log'!$D:$D,'Hours Log'!$A:$A,"&gt;="&amp;$J1894,'Hours Log'!$A:$A,"&lt;"&amp;$J1894+7))</f>
        <v/>
      </c>
      <c r="E1894">
        <f>IF($J1894="","",IFERROR(C1894/(B1894*40),0))</f>
        <v/>
      </c>
      <c r="F1894">
        <f>IF($J1894="","",0)</f>
        <v/>
      </c>
      <c r="G1894">
        <f>IF($J1894="","",SUMIFS('Hours Log'!$E:$E,'Hours Log'!$A:$A,"&gt;="&amp;$J1894,'Hours Log'!$A:$A,"&lt;"&amp;$J1894+7))</f>
        <v/>
      </c>
      <c r="J1894">
        <f>IF(COUNT('Hours Log'!$A$4:$A$5000)=0,"",IF(MIN('Hours Log'!$A$4:$A$5000)+7*(ROW()-10)&gt;MAX('Hours Log'!$A$4:$A$5000),"",MIN('Hours Log'!$A$4:$A$5000)+7*(ROW()-10)))</f>
        <v/>
      </c>
    </row>
    <row r="1895">
      <c r="A1895">
        <f>IF($J1895="","",YEAR($J1895-WEEKDAY($J1895,2)+4)&amp;"-W"&amp;TEXT(WEEKNUM($J1895,21),"00"))</f>
        <v/>
      </c>
      <c r="B1895" s="41">
        <f>IF($J1895="","",COUNTIFS(Roster!$D$4:$D$500,"Active",Roster!$C$4:$C$500,"&lt;="&amp;$J1895))</f>
        <v/>
      </c>
      <c r="C1895">
        <f>IF($J1895="","",SUMIFS('Hours Log'!$C:$C,'Hours Log'!$A:$A,"&gt;="&amp;$J1895,'Hours Log'!$A:$A,"&lt;"&amp;$J1895+7)+SUMIFS('Hours Log'!$D:$D,'Hours Log'!$A:$A,"&gt;="&amp;$J1895,'Hours Log'!$A:$A,"&lt;"&amp;$J1895+7))</f>
        <v/>
      </c>
      <c r="D1895">
        <f>IF($J1895="","",SUMIFS('Hours Log'!$D:$D,'Hours Log'!$A:$A,"&gt;="&amp;$J1895,'Hours Log'!$A:$A,"&lt;"&amp;$J1895+7))</f>
        <v/>
      </c>
      <c r="E1895">
        <f>IF($J1895="","",IFERROR(C1895/(B1895*40),0))</f>
        <v/>
      </c>
      <c r="F1895">
        <f>IF($J1895="","",0)</f>
        <v/>
      </c>
      <c r="G1895">
        <f>IF($J1895="","",SUMIFS('Hours Log'!$E:$E,'Hours Log'!$A:$A,"&gt;="&amp;$J1895,'Hours Log'!$A:$A,"&lt;"&amp;$J1895+7))</f>
        <v/>
      </c>
      <c r="J1895">
        <f>IF(COUNT('Hours Log'!$A$4:$A$5000)=0,"",IF(MIN('Hours Log'!$A$4:$A$5000)+7*(ROW()-10)&gt;MAX('Hours Log'!$A$4:$A$5000),"",MIN('Hours Log'!$A$4:$A$5000)+7*(ROW()-10)))</f>
        <v/>
      </c>
    </row>
    <row r="1896">
      <c r="A1896">
        <f>IF($J1896="","",YEAR($J1896-WEEKDAY($J1896,2)+4)&amp;"-W"&amp;TEXT(WEEKNUM($J1896,21),"00"))</f>
        <v/>
      </c>
      <c r="B1896" s="41">
        <f>IF($J1896="","",COUNTIFS(Roster!$D$4:$D$500,"Active",Roster!$C$4:$C$500,"&lt;="&amp;$J1896))</f>
        <v/>
      </c>
      <c r="C1896">
        <f>IF($J1896="","",SUMIFS('Hours Log'!$C:$C,'Hours Log'!$A:$A,"&gt;="&amp;$J1896,'Hours Log'!$A:$A,"&lt;"&amp;$J1896+7)+SUMIFS('Hours Log'!$D:$D,'Hours Log'!$A:$A,"&gt;="&amp;$J1896,'Hours Log'!$A:$A,"&lt;"&amp;$J1896+7))</f>
        <v/>
      </c>
      <c r="D1896">
        <f>IF($J1896="","",SUMIFS('Hours Log'!$D:$D,'Hours Log'!$A:$A,"&gt;="&amp;$J1896,'Hours Log'!$A:$A,"&lt;"&amp;$J1896+7))</f>
        <v/>
      </c>
      <c r="E1896">
        <f>IF($J1896="","",IFERROR(C1896/(B1896*40),0))</f>
        <v/>
      </c>
      <c r="F1896">
        <f>IF($J1896="","",0)</f>
        <v/>
      </c>
      <c r="G1896">
        <f>IF($J1896="","",SUMIFS('Hours Log'!$E:$E,'Hours Log'!$A:$A,"&gt;="&amp;$J1896,'Hours Log'!$A:$A,"&lt;"&amp;$J1896+7))</f>
        <v/>
      </c>
      <c r="J1896">
        <f>IF(COUNT('Hours Log'!$A$4:$A$5000)=0,"",IF(MIN('Hours Log'!$A$4:$A$5000)+7*(ROW()-10)&gt;MAX('Hours Log'!$A$4:$A$5000),"",MIN('Hours Log'!$A$4:$A$5000)+7*(ROW()-10)))</f>
        <v/>
      </c>
    </row>
    <row r="1897">
      <c r="A1897">
        <f>IF($J1897="","",YEAR($J1897-WEEKDAY($J1897,2)+4)&amp;"-W"&amp;TEXT(WEEKNUM($J1897,21),"00"))</f>
        <v/>
      </c>
      <c r="B1897" s="41">
        <f>IF($J1897="","",COUNTIFS(Roster!$D$4:$D$500,"Active",Roster!$C$4:$C$500,"&lt;="&amp;$J1897))</f>
        <v/>
      </c>
      <c r="C1897">
        <f>IF($J1897="","",SUMIFS('Hours Log'!$C:$C,'Hours Log'!$A:$A,"&gt;="&amp;$J1897,'Hours Log'!$A:$A,"&lt;"&amp;$J1897+7)+SUMIFS('Hours Log'!$D:$D,'Hours Log'!$A:$A,"&gt;="&amp;$J1897,'Hours Log'!$A:$A,"&lt;"&amp;$J1897+7))</f>
        <v/>
      </c>
      <c r="D1897">
        <f>IF($J1897="","",SUMIFS('Hours Log'!$D:$D,'Hours Log'!$A:$A,"&gt;="&amp;$J1897,'Hours Log'!$A:$A,"&lt;"&amp;$J1897+7))</f>
        <v/>
      </c>
      <c r="E1897">
        <f>IF($J1897="","",IFERROR(C1897/(B1897*40),0))</f>
        <v/>
      </c>
      <c r="F1897">
        <f>IF($J1897="","",0)</f>
        <v/>
      </c>
      <c r="G1897">
        <f>IF($J1897="","",SUMIFS('Hours Log'!$E:$E,'Hours Log'!$A:$A,"&gt;="&amp;$J1897,'Hours Log'!$A:$A,"&lt;"&amp;$J1897+7))</f>
        <v/>
      </c>
      <c r="J1897">
        <f>IF(COUNT('Hours Log'!$A$4:$A$5000)=0,"",IF(MIN('Hours Log'!$A$4:$A$5000)+7*(ROW()-10)&gt;MAX('Hours Log'!$A$4:$A$5000),"",MIN('Hours Log'!$A$4:$A$5000)+7*(ROW()-10)))</f>
        <v/>
      </c>
    </row>
    <row r="1898">
      <c r="A1898">
        <f>IF($J1898="","",YEAR($J1898-WEEKDAY($J1898,2)+4)&amp;"-W"&amp;TEXT(WEEKNUM($J1898,21),"00"))</f>
        <v/>
      </c>
      <c r="B1898" s="41">
        <f>IF($J1898="","",COUNTIFS(Roster!$D$4:$D$500,"Active",Roster!$C$4:$C$500,"&lt;="&amp;$J1898))</f>
        <v/>
      </c>
      <c r="C1898">
        <f>IF($J1898="","",SUMIFS('Hours Log'!$C:$C,'Hours Log'!$A:$A,"&gt;="&amp;$J1898,'Hours Log'!$A:$A,"&lt;"&amp;$J1898+7)+SUMIFS('Hours Log'!$D:$D,'Hours Log'!$A:$A,"&gt;="&amp;$J1898,'Hours Log'!$A:$A,"&lt;"&amp;$J1898+7))</f>
        <v/>
      </c>
      <c r="D1898">
        <f>IF($J1898="","",SUMIFS('Hours Log'!$D:$D,'Hours Log'!$A:$A,"&gt;="&amp;$J1898,'Hours Log'!$A:$A,"&lt;"&amp;$J1898+7))</f>
        <v/>
      </c>
      <c r="E1898">
        <f>IF($J1898="","",IFERROR(C1898/(B1898*40),0))</f>
        <v/>
      </c>
      <c r="F1898">
        <f>IF($J1898="","",0)</f>
        <v/>
      </c>
      <c r="G1898">
        <f>IF($J1898="","",SUMIFS('Hours Log'!$E:$E,'Hours Log'!$A:$A,"&gt;="&amp;$J1898,'Hours Log'!$A:$A,"&lt;"&amp;$J1898+7))</f>
        <v/>
      </c>
      <c r="J1898">
        <f>IF(COUNT('Hours Log'!$A$4:$A$5000)=0,"",IF(MIN('Hours Log'!$A$4:$A$5000)+7*(ROW()-10)&gt;MAX('Hours Log'!$A$4:$A$5000),"",MIN('Hours Log'!$A$4:$A$5000)+7*(ROW()-10)))</f>
        <v/>
      </c>
    </row>
    <row r="1899">
      <c r="A1899">
        <f>IF($J1899="","",YEAR($J1899-WEEKDAY($J1899,2)+4)&amp;"-W"&amp;TEXT(WEEKNUM($J1899,21),"00"))</f>
        <v/>
      </c>
      <c r="B1899" s="41">
        <f>IF($J1899="","",COUNTIFS(Roster!$D$4:$D$500,"Active",Roster!$C$4:$C$500,"&lt;="&amp;$J1899))</f>
        <v/>
      </c>
      <c r="C1899">
        <f>IF($J1899="","",SUMIFS('Hours Log'!$C:$C,'Hours Log'!$A:$A,"&gt;="&amp;$J1899,'Hours Log'!$A:$A,"&lt;"&amp;$J1899+7)+SUMIFS('Hours Log'!$D:$D,'Hours Log'!$A:$A,"&gt;="&amp;$J1899,'Hours Log'!$A:$A,"&lt;"&amp;$J1899+7))</f>
        <v/>
      </c>
      <c r="D1899">
        <f>IF($J1899="","",SUMIFS('Hours Log'!$D:$D,'Hours Log'!$A:$A,"&gt;="&amp;$J1899,'Hours Log'!$A:$A,"&lt;"&amp;$J1899+7))</f>
        <v/>
      </c>
      <c r="E1899">
        <f>IF($J1899="","",IFERROR(C1899/(B1899*40),0))</f>
        <v/>
      </c>
      <c r="F1899">
        <f>IF($J1899="","",0)</f>
        <v/>
      </c>
      <c r="G1899">
        <f>IF($J1899="","",SUMIFS('Hours Log'!$E:$E,'Hours Log'!$A:$A,"&gt;="&amp;$J1899,'Hours Log'!$A:$A,"&lt;"&amp;$J1899+7))</f>
        <v/>
      </c>
      <c r="J1899">
        <f>IF(COUNT('Hours Log'!$A$4:$A$5000)=0,"",IF(MIN('Hours Log'!$A$4:$A$5000)+7*(ROW()-10)&gt;MAX('Hours Log'!$A$4:$A$5000),"",MIN('Hours Log'!$A$4:$A$5000)+7*(ROW()-10)))</f>
        <v/>
      </c>
    </row>
    <row r="1900">
      <c r="A1900">
        <f>IF($J1900="","",YEAR($J1900-WEEKDAY($J1900,2)+4)&amp;"-W"&amp;TEXT(WEEKNUM($J1900,21),"00"))</f>
        <v/>
      </c>
      <c r="B1900" s="41">
        <f>IF($J1900="","",COUNTIFS(Roster!$D$4:$D$500,"Active",Roster!$C$4:$C$500,"&lt;="&amp;$J1900))</f>
        <v/>
      </c>
      <c r="C1900">
        <f>IF($J1900="","",SUMIFS('Hours Log'!$C:$C,'Hours Log'!$A:$A,"&gt;="&amp;$J1900,'Hours Log'!$A:$A,"&lt;"&amp;$J1900+7)+SUMIFS('Hours Log'!$D:$D,'Hours Log'!$A:$A,"&gt;="&amp;$J1900,'Hours Log'!$A:$A,"&lt;"&amp;$J1900+7))</f>
        <v/>
      </c>
      <c r="D1900">
        <f>IF($J1900="","",SUMIFS('Hours Log'!$D:$D,'Hours Log'!$A:$A,"&gt;="&amp;$J1900,'Hours Log'!$A:$A,"&lt;"&amp;$J1900+7))</f>
        <v/>
      </c>
      <c r="E1900">
        <f>IF($J1900="","",IFERROR(C1900/(B1900*40),0))</f>
        <v/>
      </c>
      <c r="F1900">
        <f>IF($J1900="","",0)</f>
        <v/>
      </c>
      <c r="G1900">
        <f>IF($J1900="","",SUMIFS('Hours Log'!$E:$E,'Hours Log'!$A:$A,"&gt;="&amp;$J1900,'Hours Log'!$A:$A,"&lt;"&amp;$J1900+7))</f>
        <v/>
      </c>
      <c r="J1900">
        <f>IF(COUNT('Hours Log'!$A$4:$A$5000)=0,"",IF(MIN('Hours Log'!$A$4:$A$5000)+7*(ROW()-10)&gt;MAX('Hours Log'!$A$4:$A$5000),"",MIN('Hours Log'!$A$4:$A$5000)+7*(ROW()-10)))</f>
        <v/>
      </c>
    </row>
    <row r="1901">
      <c r="A1901">
        <f>IF($J1901="","",YEAR($J1901-WEEKDAY($J1901,2)+4)&amp;"-W"&amp;TEXT(WEEKNUM($J1901,21),"00"))</f>
        <v/>
      </c>
      <c r="B1901" s="41">
        <f>IF($J1901="","",COUNTIFS(Roster!$D$4:$D$500,"Active",Roster!$C$4:$C$500,"&lt;="&amp;$J1901))</f>
        <v/>
      </c>
      <c r="C1901">
        <f>IF($J1901="","",SUMIFS('Hours Log'!$C:$C,'Hours Log'!$A:$A,"&gt;="&amp;$J1901,'Hours Log'!$A:$A,"&lt;"&amp;$J1901+7)+SUMIFS('Hours Log'!$D:$D,'Hours Log'!$A:$A,"&gt;="&amp;$J1901,'Hours Log'!$A:$A,"&lt;"&amp;$J1901+7))</f>
        <v/>
      </c>
      <c r="D1901">
        <f>IF($J1901="","",SUMIFS('Hours Log'!$D:$D,'Hours Log'!$A:$A,"&gt;="&amp;$J1901,'Hours Log'!$A:$A,"&lt;"&amp;$J1901+7))</f>
        <v/>
      </c>
      <c r="E1901">
        <f>IF($J1901="","",IFERROR(C1901/(B1901*40),0))</f>
        <v/>
      </c>
      <c r="F1901">
        <f>IF($J1901="","",0)</f>
        <v/>
      </c>
      <c r="G1901">
        <f>IF($J1901="","",SUMIFS('Hours Log'!$E:$E,'Hours Log'!$A:$A,"&gt;="&amp;$J1901,'Hours Log'!$A:$A,"&lt;"&amp;$J1901+7))</f>
        <v/>
      </c>
      <c r="J1901">
        <f>IF(COUNT('Hours Log'!$A$4:$A$5000)=0,"",IF(MIN('Hours Log'!$A$4:$A$5000)+7*(ROW()-10)&gt;MAX('Hours Log'!$A$4:$A$5000),"",MIN('Hours Log'!$A$4:$A$5000)+7*(ROW()-10)))</f>
        <v/>
      </c>
    </row>
    <row r="1902">
      <c r="A1902">
        <f>IF($J1902="","",YEAR($J1902-WEEKDAY($J1902,2)+4)&amp;"-W"&amp;TEXT(WEEKNUM($J1902,21),"00"))</f>
        <v/>
      </c>
      <c r="B1902" s="41">
        <f>IF($J1902="","",COUNTIFS(Roster!$D$4:$D$500,"Active",Roster!$C$4:$C$500,"&lt;="&amp;$J1902))</f>
        <v/>
      </c>
      <c r="C1902">
        <f>IF($J1902="","",SUMIFS('Hours Log'!$C:$C,'Hours Log'!$A:$A,"&gt;="&amp;$J1902,'Hours Log'!$A:$A,"&lt;"&amp;$J1902+7)+SUMIFS('Hours Log'!$D:$D,'Hours Log'!$A:$A,"&gt;="&amp;$J1902,'Hours Log'!$A:$A,"&lt;"&amp;$J1902+7))</f>
        <v/>
      </c>
      <c r="D1902">
        <f>IF($J1902="","",SUMIFS('Hours Log'!$D:$D,'Hours Log'!$A:$A,"&gt;="&amp;$J1902,'Hours Log'!$A:$A,"&lt;"&amp;$J1902+7))</f>
        <v/>
      </c>
      <c r="E1902">
        <f>IF($J1902="","",IFERROR(C1902/(B1902*40),0))</f>
        <v/>
      </c>
      <c r="F1902">
        <f>IF($J1902="","",0)</f>
        <v/>
      </c>
      <c r="G1902">
        <f>IF($J1902="","",SUMIFS('Hours Log'!$E:$E,'Hours Log'!$A:$A,"&gt;="&amp;$J1902,'Hours Log'!$A:$A,"&lt;"&amp;$J1902+7))</f>
        <v/>
      </c>
      <c r="J1902">
        <f>IF(COUNT('Hours Log'!$A$4:$A$5000)=0,"",IF(MIN('Hours Log'!$A$4:$A$5000)+7*(ROW()-10)&gt;MAX('Hours Log'!$A$4:$A$5000),"",MIN('Hours Log'!$A$4:$A$5000)+7*(ROW()-10)))</f>
        <v/>
      </c>
    </row>
    <row r="1903">
      <c r="A1903">
        <f>IF($J1903="","",YEAR($J1903-WEEKDAY($J1903,2)+4)&amp;"-W"&amp;TEXT(WEEKNUM($J1903,21),"00"))</f>
        <v/>
      </c>
      <c r="B1903" s="41">
        <f>IF($J1903="","",COUNTIFS(Roster!$D$4:$D$500,"Active",Roster!$C$4:$C$500,"&lt;="&amp;$J1903))</f>
        <v/>
      </c>
      <c r="C1903">
        <f>IF($J1903="","",SUMIFS('Hours Log'!$C:$C,'Hours Log'!$A:$A,"&gt;="&amp;$J1903,'Hours Log'!$A:$A,"&lt;"&amp;$J1903+7)+SUMIFS('Hours Log'!$D:$D,'Hours Log'!$A:$A,"&gt;="&amp;$J1903,'Hours Log'!$A:$A,"&lt;"&amp;$J1903+7))</f>
        <v/>
      </c>
      <c r="D1903">
        <f>IF($J1903="","",SUMIFS('Hours Log'!$D:$D,'Hours Log'!$A:$A,"&gt;="&amp;$J1903,'Hours Log'!$A:$A,"&lt;"&amp;$J1903+7))</f>
        <v/>
      </c>
      <c r="E1903">
        <f>IF($J1903="","",IFERROR(C1903/(B1903*40),0))</f>
        <v/>
      </c>
      <c r="F1903">
        <f>IF($J1903="","",0)</f>
        <v/>
      </c>
      <c r="G1903">
        <f>IF($J1903="","",SUMIFS('Hours Log'!$E:$E,'Hours Log'!$A:$A,"&gt;="&amp;$J1903,'Hours Log'!$A:$A,"&lt;"&amp;$J1903+7))</f>
        <v/>
      </c>
      <c r="J1903">
        <f>IF(COUNT('Hours Log'!$A$4:$A$5000)=0,"",IF(MIN('Hours Log'!$A$4:$A$5000)+7*(ROW()-10)&gt;MAX('Hours Log'!$A$4:$A$5000),"",MIN('Hours Log'!$A$4:$A$5000)+7*(ROW()-10)))</f>
        <v/>
      </c>
    </row>
    <row r="1904">
      <c r="A1904">
        <f>IF($J1904="","",YEAR($J1904-WEEKDAY($J1904,2)+4)&amp;"-W"&amp;TEXT(WEEKNUM($J1904,21),"00"))</f>
        <v/>
      </c>
      <c r="B1904" s="41">
        <f>IF($J1904="","",COUNTIFS(Roster!$D$4:$D$500,"Active",Roster!$C$4:$C$500,"&lt;="&amp;$J1904))</f>
        <v/>
      </c>
      <c r="C1904">
        <f>IF($J1904="","",SUMIFS('Hours Log'!$C:$C,'Hours Log'!$A:$A,"&gt;="&amp;$J1904,'Hours Log'!$A:$A,"&lt;"&amp;$J1904+7)+SUMIFS('Hours Log'!$D:$D,'Hours Log'!$A:$A,"&gt;="&amp;$J1904,'Hours Log'!$A:$A,"&lt;"&amp;$J1904+7))</f>
        <v/>
      </c>
      <c r="D1904">
        <f>IF($J1904="","",SUMIFS('Hours Log'!$D:$D,'Hours Log'!$A:$A,"&gt;="&amp;$J1904,'Hours Log'!$A:$A,"&lt;"&amp;$J1904+7))</f>
        <v/>
      </c>
      <c r="E1904">
        <f>IF($J1904="","",IFERROR(C1904/(B1904*40),0))</f>
        <v/>
      </c>
      <c r="F1904">
        <f>IF($J1904="","",0)</f>
        <v/>
      </c>
      <c r="G1904">
        <f>IF($J1904="","",SUMIFS('Hours Log'!$E:$E,'Hours Log'!$A:$A,"&gt;="&amp;$J1904,'Hours Log'!$A:$A,"&lt;"&amp;$J1904+7))</f>
        <v/>
      </c>
      <c r="J1904">
        <f>IF(COUNT('Hours Log'!$A$4:$A$5000)=0,"",IF(MIN('Hours Log'!$A$4:$A$5000)+7*(ROW()-10)&gt;MAX('Hours Log'!$A$4:$A$5000),"",MIN('Hours Log'!$A$4:$A$5000)+7*(ROW()-10)))</f>
        <v/>
      </c>
    </row>
    <row r="1905">
      <c r="A1905">
        <f>IF($J1905="","",YEAR($J1905-WEEKDAY($J1905,2)+4)&amp;"-W"&amp;TEXT(WEEKNUM($J1905,21),"00"))</f>
        <v/>
      </c>
      <c r="B1905" s="41">
        <f>IF($J1905="","",COUNTIFS(Roster!$D$4:$D$500,"Active",Roster!$C$4:$C$500,"&lt;="&amp;$J1905))</f>
        <v/>
      </c>
      <c r="C1905">
        <f>IF($J1905="","",SUMIFS('Hours Log'!$C:$C,'Hours Log'!$A:$A,"&gt;="&amp;$J1905,'Hours Log'!$A:$A,"&lt;"&amp;$J1905+7)+SUMIFS('Hours Log'!$D:$D,'Hours Log'!$A:$A,"&gt;="&amp;$J1905,'Hours Log'!$A:$A,"&lt;"&amp;$J1905+7))</f>
        <v/>
      </c>
      <c r="D1905">
        <f>IF($J1905="","",SUMIFS('Hours Log'!$D:$D,'Hours Log'!$A:$A,"&gt;="&amp;$J1905,'Hours Log'!$A:$A,"&lt;"&amp;$J1905+7))</f>
        <v/>
      </c>
      <c r="E1905">
        <f>IF($J1905="","",IFERROR(C1905/(B1905*40),0))</f>
        <v/>
      </c>
      <c r="F1905">
        <f>IF($J1905="","",0)</f>
        <v/>
      </c>
      <c r="G1905">
        <f>IF($J1905="","",SUMIFS('Hours Log'!$E:$E,'Hours Log'!$A:$A,"&gt;="&amp;$J1905,'Hours Log'!$A:$A,"&lt;"&amp;$J1905+7))</f>
        <v/>
      </c>
      <c r="J1905">
        <f>IF(COUNT('Hours Log'!$A$4:$A$5000)=0,"",IF(MIN('Hours Log'!$A$4:$A$5000)+7*(ROW()-10)&gt;MAX('Hours Log'!$A$4:$A$5000),"",MIN('Hours Log'!$A$4:$A$5000)+7*(ROW()-10)))</f>
        <v/>
      </c>
    </row>
    <row r="1906">
      <c r="A1906">
        <f>IF($J1906="","",YEAR($J1906-WEEKDAY($J1906,2)+4)&amp;"-W"&amp;TEXT(WEEKNUM($J1906,21),"00"))</f>
        <v/>
      </c>
      <c r="B1906" s="41">
        <f>IF($J1906="","",COUNTIFS(Roster!$D$4:$D$500,"Active",Roster!$C$4:$C$500,"&lt;="&amp;$J1906))</f>
        <v/>
      </c>
      <c r="C1906">
        <f>IF($J1906="","",SUMIFS('Hours Log'!$C:$C,'Hours Log'!$A:$A,"&gt;="&amp;$J1906,'Hours Log'!$A:$A,"&lt;"&amp;$J1906+7)+SUMIFS('Hours Log'!$D:$D,'Hours Log'!$A:$A,"&gt;="&amp;$J1906,'Hours Log'!$A:$A,"&lt;"&amp;$J1906+7))</f>
        <v/>
      </c>
      <c r="D1906">
        <f>IF($J1906="","",SUMIFS('Hours Log'!$D:$D,'Hours Log'!$A:$A,"&gt;="&amp;$J1906,'Hours Log'!$A:$A,"&lt;"&amp;$J1906+7))</f>
        <v/>
      </c>
      <c r="E1906">
        <f>IF($J1906="","",IFERROR(C1906/(B1906*40),0))</f>
        <v/>
      </c>
      <c r="F1906">
        <f>IF($J1906="","",0)</f>
        <v/>
      </c>
      <c r="G1906">
        <f>IF($J1906="","",SUMIFS('Hours Log'!$E:$E,'Hours Log'!$A:$A,"&gt;="&amp;$J1906,'Hours Log'!$A:$A,"&lt;"&amp;$J1906+7))</f>
        <v/>
      </c>
      <c r="J1906">
        <f>IF(COUNT('Hours Log'!$A$4:$A$5000)=0,"",IF(MIN('Hours Log'!$A$4:$A$5000)+7*(ROW()-10)&gt;MAX('Hours Log'!$A$4:$A$5000),"",MIN('Hours Log'!$A$4:$A$5000)+7*(ROW()-10)))</f>
        <v/>
      </c>
    </row>
    <row r="1907">
      <c r="A1907">
        <f>IF($J1907="","",YEAR($J1907-WEEKDAY($J1907,2)+4)&amp;"-W"&amp;TEXT(WEEKNUM($J1907,21),"00"))</f>
        <v/>
      </c>
      <c r="B1907" s="41">
        <f>IF($J1907="","",COUNTIFS(Roster!$D$4:$D$500,"Active",Roster!$C$4:$C$500,"&lt;="&amp;$J1907))</f>
        <v/>
      </c>
      <c r="C1907">
        <f>IF($J1907="","",SUMIFS('Hours Log'!$C:$C,'Hours Log'!$A:$A,"&gt;="&amp;$J1907,'Hours Log'!$A:$A,"&lt;"&amp;$J1907+7)+SUMIFS('Hours Log'!$D:$D,'Hours Log'!$A:$A,"&gt;="&amp;$J1907,'Hours Log'!$A:$A,"&lt;"&amp;$J1907+7))</f>
        <v/>
      </c>
      <c r="D1907">
        <f>IF($J1907="","",SUMIFS('Hours Log'!$D:$D,'Hours Log'!$A:$A,"&gt;="&amp;$J1907,'Hours Log'!$A:$A,"&lt;"&amp;$J1907+7))</f>
        <v/>
      </c>
      <c r="E1907">
        <f>IF($J1907="","",IFERROR(C1907/(B1907*40),0))</f>
        <v/>
      </c>
      <c r="F1907">
        <f>IF($J1907="","",0)</f>
        <v/>
      </c>
      <c r="G1907">
        <f>IF($J1907="","",SUMIFS('Hours Log'!$E:$E,'Hours Log'!$A:$A,"&gt;="&amp;$J1907,'Hours Log'!$A:$A,"&lt;"&amp;$J1907+7))</f>
        <v/>
      </c>
      <c r="J1907">
        <f>IF(COUNT('Hours Log'!$A$4:$A$5000)=0,"",IF(MIN('Hours Log'!$A$4:$A$5000)+7*(ROW()-10)&gt;MAX('Hours Log'!$A$4:$A$5000),"",MIN('Hours Log'!$A$4:$A$5000)+7*(ROW()-10)))</f>
        <v/>
      </c>
    </row>
    <row r="1908">
      <c r="A1908">
        <f>IF($J1908="","",YEAR($J1908-WEEKDAY($J1908,2)+4)&amp;"-W"&amp;TEXT(WEEKNUM($J1908,21),"00"))</f>
        <v/>
      </c>
      <c r="B1908" s="41">
        <f>IF($J1908="","",COUNTIFS(Roster!$D$4:$D$500,"Active",Roster!$C$4:$C$500,"&lt;="&amp;$J1908))</f>
        <v/>
      </c>
      <c r="C1908">
        <f>IF($J1908="","",SUMIFS('Hours Log'!$C:$C,'Hours Log'!$A:$A,"&gt;="&amp;$J1908,'Hours Log'!$A:$A,"&lt;"&amp;$J1908+7)+SUMIFS('Hours Log'!$D:$D,'Hours Log'!$A:$A,"&gt;="&amp;$J1908,'Hours Log'!$A:$A,"&lt;"&amp;$J1908+7))</f>
        <v/>
      </c>
      <c r="D1908">
        <f>IF($J1908="","",SUMIFS('Hours Log'!$D:$D,'Hours Log'!$A:$A,"&gt;="&amp;$J1908,'Hours Log'!$A:$A,"&lt;"&amp;$J1908+7))</f>
        <v/>
      </c>
      <c r="E1908">
        <f>IF($J1908="","",IFERROR(C1908/(B1908*40),0))</f>
        <v/>
      </c>
      <c r="F1908">
        <f>IF($J1908="","",0)</f>
        <v/>
      </c>
      <c r="G1908">
        <f>IF($J1908="","",SUMIFS('Hours Log'!$E:$E,'Hours Log'!$A:$A,"&gt;="&amp;$J1908,'Hours Log'!$A:$A,"&lt;"&amp;$J1908+7))</f>
        <v/>
      </c>
      <c r="J1908">
        <f>IF(COUNT('Hours Log'!$A$4:$A$5000)=0,"",IF(MIN('Hours Log'!$A$4:$A$5000)+7*(ROW()-10)&gt;MAX('Hours Log'!$A$4:$A$5000),"",MIN('Hours Log'!$A$4:$A$5000)+7*(ROW()-10)))</f>
        <v/>
      </c>
    </row>
    <row r="1909">
      <c r="A1909">
        <f>IF($J1909="","",YEAR($J1909-WEEKDAY($J1909,2)+4)&amp;"-W"&amp;TEXT(WEEKNUM($J1909,21),"00"))</f>
        <v/>
      </c>
      <c r="B1909" s="41">
        <f>IF($J1909="","",COUNTIFS(Roster!$D$4:$D$500,"Active",Roster!$C$4:$C$500,"&lt;="&amp;$J1909))</f>
        <v/>
      </c>
      <c r="C1909">
        <f>IF($J1909="","",SUMIFS('Hours Log'!$C:$C,'Hours Log'!$A:$A,"&gt;="&amp;$J1909,'Hours Log'!$A:$A,"&lt;"&amp;$J1909+7)+SUMIFS('Hours Log'!$D:$D,'Hours Log'!$A:$A,"&gt;="&amp;$J1909,'Hours Log'!$A:$A,"&lt;"&amp;$J1909+7))</f>
        <v/>
      </c>
      <c r="D1909">
        <f>IF($J1909="","",SUMIFS('Hours Log'!$D:$D,'Hours Log'!$A:$A,"&gt;="&amp;$J1909,'Hours Log'!$A:$A,"&lt;"&amp;$J1909+7))</f>
        <v/>
      </c>
      <c r="E1909">
        <f>IF($J1909="","",IFERROR(C1909/(B1909*40),0))</f>
        <v/>
      </c>
      <c r="F1909">
        <f>IF($J1909="","",0)</f>
        <v/>
      </c>
      <c r="G1909">
        <f>IF($J1909="","",SUMIFS('Hours Log'!$E:$E,'Hours Log'!$A:$A,"&gt;="&amp;$J1909,'Hours Log'!$A:$A,"&lt;"&amp;$J1909+7))</f>
        <v/>
      </c>
      <c r="J1909">
        <f>IF(COUNT('Hours Log'!$A$4:$A$5000)=0,"",IF(MIN('Hours Log'!$A$4:$A$5000)+7*(ROW()-10)&gt;MAX('Hours Log'!$A$4:$A$5000),"",MIN('Hours Log'!$A$4:$A$5000)+7*(ROW()-10)))</f>
        <v/>
      </c>
    </row>
    <row r="1910">
      <c r="A1910">
        <f>IF($J1910="","",YEAR($J1910-WEEKDAY($J1910,2)+4)&amp;"-W"&amp;TEXT(WEEKNUM($J1910,21),"00"))</f>
        <v/>
      </c>
      <c r="B1910" s="41">
        <f>IF($J1910="","",COUNTIFS(Roster!$D$4:$D$500,"Active",Roster!$C$4:$C$500,"&lt;="&amp;$J1910))</f>
        <v/>
      </c>
      <c r="C1910">
        <f>IF($J1910="","",SUMIFS('Hours Log'!$C:$C,'Hours Log'!$A:$A,"&gt;="&amp;$J1910,'Hours Log'!$A:$A,"&lt;"&amp;$J1910+7)+SUMIFS('Hours Log'!$D:$D,'Hours Log'!$A:$A,"&gt;="&amp;$J1910,'Hours Log'!$A:$A,"&lt;"&amp;$J1910+7))</f>
        <v/>
      </c>
      <c r="D1910">
        <f>IF($J1910="","",SUMIFS('Hours Log'!$D:$D,'Hours Log'!$A:$A,"&gt;="&amp;$J1910,'Hours Log'!$A:$A,"&lt;"&amp;$J1910+7))</f>
        <v/>
      </c>
      <c r="E1910">
        <f>IF($J1910="","",IFERROR(C1910/(B1910*40),0))</f>
        <v/>
      </c>
      <c r="F1910">
        <f>IF($J1910="","",0)</f>
        <v/>
      </c>
      <c r="G1910">
        <f>IF($J1910="","",SUMIFS('Hours Log'!$E:$E,'Hours Log'!$A:$A,"&gt;="&amp;$J1910,'Hours Log'!$A:$A,"&lt;"&amp;$J1910+7))</f>
        <v/>
      </c>
      <c r="J1910">
        <f>IF(COUNT('Hours Log'!$A$4:$A$5000)=0,"",IF(MIN('Hours Log'!$A$4:$A$5000)+7*(ROW()-10)&gt;MAX('Hours Log'!$A$4:$A$5000),"",MIN('Hours Log'!$A$4:$A$5000)+7*(ROW()-10)))</f>
        <v/>
      </c>
    </row>
    <row r="1911">
      <c r="A1911">
        <f>IF($J1911="","",YEAR($J1911-WEEKDAY($J1911,2)+4)&amp;"-W"&amp;TEXT(WEEKNUM($J1911,21),"00"))</f>
        <v/>
      </c>
      <c r="B1911" s="41">
        <f>IF($J1911="","",COUNTIFS(Roster!$D$4:$D$500,"Active",Roster!$C$4:$C$500,"&lt;="&amp;$J1911))</f>
        <v/>
      </c>
      <c r="C1911">
        <f>IF($J1911="","",SUMIFS('Hours Log'!$C:$C,'Hours Log'!$A:$A,"&gt;="&amp;$J1911,'Hours Log'!$A:$A,"&lt;"&amp;$J1911+7)+SUMIFS('Hours Log'!$D:$D,'Hours Log'!$A:$A,"&gt;="&amp;$J1911,'Hours Log'!$A:$A,"&lt;"&amp;$J1911+7))</f>
        <v/>
      </c>
      <c r="D1911">
        <f>IF($J1911="","",SUMIFS('Hours Log'!$D:$D,'Hours Log'!$A:$A,"&gt;="&amp;$J1911,'Hours Log'!$A:$A,"&lt;"&amp;$J1911+7))</f>
        <v/>
      </c>
      <c r="E1911">
        <f>IF($J1911="","",IFERROR(C1911/(B1911*40),0))</f>
        <v/>
      </c>
      <c r="F1911">
        <f>IF($J1911="","",0)</f>
        <v/>
      </c>
      <c r="G1911">
        <f>IF($J1911="","",SUMIFS('Hours Log'!$E:$E,'Hours Log'!$A:$A,"&gt;="&amp;$J1911,'Hours Log'!$A:$A,"&lt;"&amp;$J1911+7))</f>
        <v/>
      </c>
      <c r="J1911">
        <f>IF(COUNT('Hours Log'!$A$4:$A$5000)=0,"",IF(MIN('Hours Log'!$A$4:$A$5000)+7*(ROW()-10)&gt;MAX('Hours Log'!$A$4:$A$5000),"",MIN('Hours Log'!$A$4:$A$5000)+7*(ROW()-10)))</f>
        <v/>
      </c>
    </row>
    <row r="1912">
      <c r="A1912">
        <f>IF($J1912="","",YEAR($J1912-WEEKDAY($J1912,2)+4)&amp;"-W"&amp;TEXT(WEEKNUM($J1912,21),"00"))</f>
        <v/>
      </c>
      <c r="B1912" s="41">
        <f>IF($J1912="","",COUNTIFS(Roster!$D$4:$D$500,"Active",Roster!$C$4:$C$500,"&lt;="&amp;$J1912))</f>
        <v/>
      </c>
      <c r="C1912">
        <f>IF($J1912="","",SUMIFS('Hours Log'!$C:$C,'Hours Log'!$A:$A,"&gt;="&amp;$J1912,'Hours Log'!$A:$A,"&lt;"&amp;$J1912+7)+SUMIFS('Hours Log'!$D:$D,'Hours Log'!$A:$A,"&gt;="&amp;$J1912,'Hours Log'!$A:$A,"&lt;"&amp;$J1912+7))</f>
        <v/>
      </c>
      <c r="D1912">
        <f>IF($J1912="","",SUMIFS('Hours Log'!$D:$D,'Hours Log'!$A:$A,"&gt;="&amp;$J1912,'Hours Log'!$A:$A,"&lt;"&amp;$J1912+7))</f>
        <v/>
      </c>
      <c r="E1912">
        <f>IF($J1912="","",IFERROR(C1912/(B1912*40),0))</f>
        <v/>
      </c>
      <c r="F1912">
        <f>IF($J1912="","",0)</f>
        <v/>
      </c>
      <c r="G1912">
        <f>IF($J1912="","",SUMIFS('Hours Log'!$E:$E,'Hours Log'!$A:$A,"&gt;="&amp;$J1912,'Hours Log'!$A:$A,"&lt;"&amp;$J1912+7))</f>
        <v/>
      </c>
      <c r="J1912">
        <f>IF(COUNT('Hours Log'!$A$4:$A$5000)=0,"",IF(MIN('Hours Log'!$A$4:$A$5000)+7*(ROW()-10)&gt;MAX('Hours Log'!$A$4:$A$5000),"",MIN('Hours Log'!$A$4:$A$5000)+7*(ROW()-10)))</f>
        <v/>
      </c>
    </row>
    <row r="1913">
      <c r="A1913">
        <f>IF($J1913="","",YEAR($J1913-WEEKDAY($J1913,2)+4)&amp;"-W"&amp;TEXT(WEEKNUM($J1913,21),"00"))</f>
        <v/>
      </c>
      <c r="B1913" s="41">
        <f>IF($J1913="","",COUNTIFS(Roster!$D$4:$D$500,"Active",Roster!$C$4:$C$500,"&lt;="&amp;$J1913))</f>
        <v/>
      </c>
      <c r="C1913">
        <f>IF($J1913="","",SUMIFS('Hours Log'!$C:$C,'Hours Log'!$A:$A,"&gt;="&amp;$J1913,'Hours Log'!$A:$A,"&lt;"&amp;$J1913+7)+SUMIFS('Hours Log'!$D:$D,'Hours Log'!$A:$A,"&gt;="&amp;$J1913,'Hours Log'!$A:$A,"&lt;"&amp;$J1913+7))</f>
        <v/>
      </c>
      <c r="D1913">
        <f>IF($J1913="","",SUMIFS('Hours Log'!$D:$D,'Hours Log'!$A:$A,"&gt;="&amp;$J1913,'Hours Log'!$A:$A,"&lt;"&amp;$J1913+7))</f>
        <v/>
      </c>
      <c r="E1913">
        <f>IF($J1913="","",IFERROR(C1913/(B1913*40),0))</f>
        <v/>
      </c>
      <c r="F1913">
        <f>IF($J1913="","",0)</f>
        <v/>
      </c>
      <c r="G1913">
        <f>IF($J1913="","",SUMIFS('Hours Log'!$E:$E,'Hours Log'!$A:$A,"&gt;="&amp;$J1913,'Hours Log'!$A:$A,"&lt;"&amp;$J1913+7))</f>
        <v/>
      </c>
      <c r="J1913">
        <f>IF(COUNT('Hours Log'!$A$4:$A$5000)=0,"",IF(MIN('Hours Log'!$A$4:$A$5000)+7*(ROW()-10)&gt;MAX('Hours Log'!$A$4:$A$5000),"",MIN('Hours Log'!$A$4:$A$5000)+7*(ROW()-10)))</f>
        <v/>
      </c>
    </row>
    <row r="1914">
      <c r="A1914">
        <f>IF($J1914="","",YEAR($J1914-WEEKDAY($J1914,2)+4)&amp;"-W"&amp;TEXT(WEEKNUM($J1914,21),"00"))</f>
        <v/>
      </c>
      <c r="B1914" s="41">
        <f>IF($J1914="","",COUNTIFS(Roster!$D$4:$D$500,"Active",Roster!$C$4:$C$500,"&lt;="&amp;$J1914))</f>
        <v/>
      </c>
      <c r="C1914">
        <f>IF($J1914="","",SUMIFS('Hours Log'!$C:$C,'Hours Log'!$A:$A,"&gt;="&amp;$J1914,'Hours Log'!$A:$A,"&lt;"&amp;$J1914+7)+SUMIFS('Hours Log'!$D:$D,'Hours Log'!$A:$A,"&gt;="&amp;$J1914,'Hours Log'!$A:$A,"&lt;"&amp;$J1914+7))</f>
        <v/>
      </c>
      <c r="D1914">
        <f>IF($J1914="","",SUMIFS('Hours Log'!$D:$D,'Hours Log'!$A:$A,"&gt;="&amp;$J1914,'Hours Log'!$A:$A,"&lt;"&amp;$J1914+7))</f>
        <v/>
      </c>
      <c r="E1914">
        <f>IF($J1914="","",IFERROR(C1914/(B1914*40),0))</f>
        <v/>
      </c>
      <c r="F1914">
        <f>IF($J1914="","",0)</f>
        <v/>
      </c>
      <c r="G1914">
        <f>IF($J1914="","",SUMIFS('Hours Log'!$E:$E,'Hours Log'!$A:$A,"&gt;="&amp;$J1914,'Hours Log'!$A:$A,"&lt;"&amp;$J1914+7))</f>
        <v/>
      </c>
      <c r="J1914">
        <f>IF(COUNT('Hours Log'!$A$4:$A$5000)=0,"",IF(MIN('Hours Log'!$A$4:$A$5000)+7*(ROW()-10)&gt;MAX('Hours Log'!$A$4:$A$5000),"",MIN('Hours Log'!$A$4:$A$5000)+7*(ROW()-10)))</f>
        <v/>
      </c>
    </row>
    <row r="1915">
      <c r="A1915">
        <f>IF($J1915="","",YEAR($J1915-WEEKDAY($J1915,2)+4)&amp;"-W"&amp;TEXT(WEEKNUM($J1915,21),"00"))</f>
        <v/>
      </c>
      <c r="B1915" s="41">
        <f>IF($J1915="","",COUNTIFS(Roster!$D$4:$D$500,"Active",Roster!$C$4:$C$500,"&lt;="&amp;$J1915))</f>
        <v/>
      </c>
      <c r="C1915">
        <f>IF($J1915="","",SUMIFS('Hours Log'!$C:$C,'Hours Log'!$A:$A,"&gt;="&amp;$J1915,'Hours Log'!$A:$A,"&lt;"&amp;$J1915+7)+SUMIFS('Hours Log'!$D:$D,'Hours Log'!$A:$A,"&gt;="&amp;$J1915,'Hours Log'!$A:$A,"&lt;"&amp;$J1915+7))</f>
        <v/>
      </c>
      <c r="D1915">
        <f>IF($J1915="","",SUMIFS('Hours Log'!$D:$D,'Hours Log'!$A:$A,"&gt;="&amp;$J1915,'Hours Log'!$A:$A,"&lt;"&amp;$J1915+7))</f>
        <v/>
      </c>
      <c r="E1915">
        <f>IF($J1915="","",IFERROR(C1915/(B1915*40),0))</f>
        <v/>
      </c>
      <c r="F1915">
        <f>IF($J1915="","",0)</f>
        <v/>
      </c>
      <c r="G1915">
        <f>IF($J1915="","",SUMIFS('Hours Log'!$E:$E,'Hours Log'!$A:$A,"&gt;="&amp;$J1915,'Hours Log'!$A:$A,"&lt;"&amp;$J1915+7))</f>
        <v/>
      </c>
      <c r="J1915">
        <f>IF(COUNT('Hours Log'!$A$4:$A$5000)=0,"",IF(MIN('Hours Log'!$A$4:$A$5000)+7*(ROW()-10)&gt;MAX('Hours Log'!$A$4:$A$5000),"",MIN('Hours Log'!$A$4:$A$5000)+7*(ROW()-10)))</f>
        <v/>
      </c>
    </row>
    <row r="1916">
      <c r="A1916">
        <f>IF($J1916="","",YEAR($J1916-WEEKDAY($J1916,2)+4)&amp;"-W"&amp;TEXT(WEEKNUM($J1916,21),"00"))</f>
        <v/>
      </c>
      <c r="B1916" s="41">
        <f>IF($J1916="","",COUNTIFS(Roster!$D$4:$D$500,"Active",Roster!$C$4:$C$500,"&lt;="&amp;$J1916))</f>
        <v/>
      </c>
      <c r="C1916">
        <f>IF($J1916="","",SUMIFS('Hours Log'!$C:$C,'Hours Log'!$A:$A,"&gt;="&amp;$J1916,'Hours Log'!$A:$A,"&lt;"&amp;$J1916+7)+SUMIFS('Hours Log'!$D:$D,'Hours Log'!$A:$A,"&gt;="&amp;$J1916,'Hours Log'!$A:$A,"&lt;"&amp;$J1916+7))</f>
        <v/>
      </c>
      <c r="D1916">
        <f>IF($J1916="","",SUMIFS('Hours Log'!$D:$D,'Hours Log'!$A:$A,"&gt;="&amp;$J1916,'Hours Log'!$A:$A,"&lt;"&amp;$J1916+7))</f>
        <v/>
      </c>
      <c r="E1916">
        <f>IF($J1916="","",IFERROR(C1916/(B1916*40),0))</f>
        <v/>
      </c>
      <c r="F1916">
        <f>IF($J1916="","",0)</f>
        <v/>
      </c>
      <c r="G1916">
        <f>IF($J1916="","",SUMIFS('Hours Log'!$E:$E,'Hours Log'!$A:$A,"&gt;="&amp;$J1916,'Hours Log'!$A:$A,"&lt;"&amp;$J1916+7))</f>
        <v/>
      </c>
      <c r="J1916">
        <f>IF(COUNT('Hours Log'!$A$4:$A$5000)=0,"",IF(MIN('Hours Log'!$A$4:$A$5000)+7*(ROW()-10)&gt;MAX('Hours Log'!$A$4:$A$5000),"",MIN('Hours Log'!$A$4:$A$5000)+7*(ROW()-10)))</f>
        <v/>
      </c>
    </row>
    <row r="1917">
      <c r="A1917">
        <f>IF($J1917="","",YEAR($J1917-WEEKDAY($J1917,2)+4)&amp;"-W"&amp;TEXT(WEEKNUM($J1917,21),"00"))</f>
        <v/>
      </c>
      <c r="B1917" s="41">
        <f>IF($J1917="","",COUNTIFS(Roster!$D$4:$D$500,"Active",Roster!$C$4:$C$500,"&lt;="&amp;$J1917))</f>
        <v/>
      </c>
      <c r="C1917">
        <f>IF($J1917="","",SUMIFS('Hours Log'!$C:$C,'Hours Log'!$A:$A,"&gt;="&amp;$J1917,'Hours Log'!$A:$A,"&lt;"&amp;$J1917+7)+SUMIFS('Hours Log'!$D:$D,'Hours Log'!$A:$A,"&gt;="&amp;$J1917,'Hours Log'!$A:$A,"&lt;"&amp;$J1917+7))</f>
        <v/>
      </c>
      <c r="D1917">
        <f>IF($J1917="","",SUMIFS('Hours Log'!$D:$D,'Hours Log'!$A:$A,"&gt;="&amp;$J1917,'Hours Log'!$A:$A,"&lt;"&amp;$J1917+7))</f>
        <v/>
      </c>
      <c r="E1917">
        <f>IF($J1917="","",IFERROR(C1917/(B1917*40),0))</f>
        <v/>
      </c>
      <c r="F1917">
        <f>IF($J1917="","",0)</f>
        <v/>
      </c>
      <c r="G1917">
        <f>IF($J1917="","",SUMIFS('Hours Log'!$E:$E,'Hours Log'!$A:$A,"&gt;="&amp;$J1917,'Hours Log'!$A:$A,"&lt;"&amp;$J1917+7))</f>
        <v/>
      </c>
      <c r="J1917">
        <f>IF(COUNT('Hours Log'!$A$4:$A$5000)=0,"",IF(MIN('Hours Log'!$A$4:$A$5000)+7*(ROW()-10)&gt;MAX('Hours Log'!$A$4:$A$5000),"",MIN('Hours Log'!$A$4:$A$5000)+7*(ROW()-10)))</f>
        <v/>
      </c>
    </row>
    <row r="1918">
      <c r="A1918">
        <f>IF($J1918="","",YEAR($J1918-WEEKDAY($J1918,2)+4)&amp;"-W"&amp;TEXT(WEEKNUM($J1918,21),"00"))</f>
        <v/>
      </c>
      <c r="B1918" s="41">
        <f>IF($J1918="","",COUNTIFS(Roster!$D$4:$D$500,"Active",Roster!$C$4:$C$500,"&lt;="&amp;$J1918))</f>
        <v/>
      </c>
      <c r="C1918">
        <f>IF($J1918="","",SUMIFS('Hours Log'!$C:$C,'Hours Log'!$A:$A,"&gt;="&amp;$J1918,'Hours Log'!$A:$A,"&lt;"&amp;$J1918+7)+SUMIFS('Hours Log'!$D:$D,'Hours Log'!$A:$A,"&gt;="&amp;$J1918,'Hours Log'!$A:$A,"&lt;"&amp;$J1918+7))</f>
        <v/>
      </c>
      <c r="D1918">
        <f>IF($J1918="","",SUMIFS('Hours Log'!$D:$D,'Hours Log'!$A:$A,"&gt;="&amp;$J1918,'Hours Log'!$A:$A,"&lt;"&amp;$J1918+7))</f>
        <v/>
      </c>
      <c r="E1918">
        <f>IF($J1918="","",IFERROR(C1918/(B1918*40),0))</f>
        <v/>
      </c>
      <c r="F1918">
        <f>IF($J1918="","",0)</f>
        <v/>
      </c>
      <c r="G1918">
        <f>IF($J1918="","",SUMIFS('Hours Log'!$E:$E,'Hours Log'!$A:$A,"&gt;="&amp;$J1918,'Hours Log'!$A:$A,"&lt;"&amp;$J1918+7))</f>
        <v/>
      </c>
      <c r="J1918">
        <f>IF(COUNT('Hours Log'!$A$4:$A$5000)=0,"",IF(MIN('Hours Log'!$A$4:$A$5000)+7*(ROW()-10)&gt;MAX('Hours Log'!$A$4:$A$5000),"",MIN('Hours Log'!$A$4:$A$5000)+7*(ROW()-10)))</f>
        <v/>
      </c>
    </row>
    <row r="1919">
      <c r="A1919">
        <f>IF($J1919="","",YEAR($J1919-WEEKDAY($J1919,2)+4)&amp;"-W"&amp;TEXT(WEEKNUM($J1919,21),"00"))</f>
        <v/>
      </c>
      <c r="B1919" s="41">
        <f>IF($J1919="","",COUNTIFS(Roster!$D$4:$D$500,"Active",Roster!$C$4:$C$500,"&lt;="&amp;$J1919))</f>
        <v/>
      </c>
      <c r="C1919">
        <f>IF($J1919="","",SUMIFS('Hours Log'!$C:$C,'Hours Log'!$A:$A,"&gt;="&amp;$J1919,'Hours Log'!$A:$A,"&lt;"&amp;$J1919+7)+SUMIFS('Hours Log'!$D:$D,'Hours Log'!$A:$A,"&gt;="&amp;$J1919,'Hours Log'!$A:$A,"&lt;"&amp;$J1919+7))</f>
        <v/>
      </c>
      <c r="D1919">
        <f>IF($J1919="","",SUMIFS('Hours Log'!$D:$D,'Hours Log'!$A:$A,"&gt;="&amp;$J1919,'Hours Log'!$A:$A,"&lt;"&amp;$J1919+7))</f>
        <v/>
      </c>
      <c r="E1919">
        <f>IF($J1919="","",IFERROR(C1919/(B1919*40),0))</f>
        <v/>
      </c>
      <c r="F1919">
        <f>IF($J1919="","",0)</f>
        <v/>
      </c>
      <c r="G1919">
        <f>IF($J1919="","",SUMIFS('Hours Log'!$E:$E,'Hours Log'!$A:$A,"&gt;="&amp;$J1919,'Hours Log'!$A:$A,"&lt;"&amp;$J1919+7))</f>
        <v/>
      </c>
      <c r="J1919">
        <f>IF(COUNT('Hours Log'!$A$4:$A$5000)=0,"",IF(MIN('Hours Log'!$A$4:$A$5000)+7*(ROW()-10)&gt;MAX('Hours Log'!$A$4:$A$5000),"",MIN('Hours Log'!$A$4:$A$5000)+7*(ROW()-10)))</f>
        <v/>
      </c>
    </row>
    <row r="1920">
      <c r="A1920">
        <f>IF($J1920="","",YEAR($J1920-WEEKDAY($J1920,2)+4)&amp;"-W"&amp;TEXT(WEEKNUM($J1920,21),"00"))</f>
        <v/>
      </c>
      <c r="B1920" s="41">
        <f>IF($J1920="","",COUNTIFS(Roster!$D$4:$D$500,"Active",Roster!$C$4:$C$500,"&lt;="&amp;$J1920))</f>
        <v/>
      </c>
      <c r="C1920">
        <f>IF($J1920="","",SUMIFS('Hours Log'!$C:$C,'Hours Log'!$A:$A,"&gt;="&amp;$J1920,'Hours Log'!$A:$A,"&lt;"&amp;$J1920+7)+SUMIFS('Hours Log'!$D:$D,'Hours Log'!$A:$A,"&gt;="&amp;$J1920,'Hours Log'!$A:$A,"&lt;"&amp;$J1920+7))</f>
        <v/>
      </c>
      <c r="D1920">
        <f>IF($J1920="","",SUMIFS('Hours Log'!$D:$D,'Hours Log'!$A:$A,"&gt;="&amp;$J1920,'Hours Log'!$A:$A,"&lt;"&amp;$J1920+7))</f>
        <v/>
      </c>
      <c r="E1920">
        <f>IF($J1920="","",IFERROR(C1920/(B1920*40),0))</f>
        <v/>
      </c>
      <c r="F1920">
        <f>IF($J1920="","",0)</f>
        <v/>
      </c>
      <c r="G1920">
        <f>IF($J1920="","",SUMIFS('Hours Log'!$E:$E,'Hours Log'!$A:$A,"&gt;="&amp;$J1920,'Hours Log'!$A:$A,"&lt;"&amp;$J1920+7))</f>
        <v/>
      </c>
      <c r="J1920">
        <f>IF(COUNT('Hours Log'!$A$4:$A$5000)=0,"",IF(MIN('Hours Log'!$A$4:$A$5000)+7*(ROW()-10)&gt;MAX('Hours Log'!$A$4:$A$5000),"",MIN('Hours Log'!$A$4:$A$5000)+7*(ROW()-10)))</f>
        <v/>
      </c>
    </row>
    <row r="1921">
      <c r="A1921">
        <f>IF($J1921="","",YEAR($J1921-WEEKDAY($J1921,2)+4)&amp;"-W"&amp;TEXT(WEEKNUM($J1921,21),"00"))</f>
        <v/>
      </c>
      <c r="B1921" s="41">
        <f>IF($J1921="","",COUNTIFS(Roster!$D$4:$D$500,"Active",Roster!$C$4:$C$500,"&lt;="&amp;$J1921))</f>
        <v/>
      </c>
      <c r="C1921">
        <f>IF($J1921="","",SUMIFS('Hours Log'!$C:$C,'Hours Log'!$A:$A,"&gt;="&amp;$J1921,'Hours Log'!$A:$A,"&lt;"&amp;$J1921+7)+SUMIFS('Hours Log'!$D:$D,'Hours Log'!$A:$A,"&gt;="&amp;$J1921,'Hours Log'!$A:$A,"&lt;"&amp;$J1921+7))</f>
        <v/>
      </c>
      <c r="D1921">
        <f>IF($J1921="","",SUMIFS('Hours Log'!$D:$D,'Hours Log'!$A:$A,"&gt;="&amp;$J1921,'Hours Log'!$A:$A,"&lt;"&amp;$J1921+7))</f>
        <v/>
      </c>
      <c r="E1921">
        <f>IF($J1921="","",IFERROR(C1921/(B1921*40),0))</f>
        <v/>
      </c>
      <c r="F1921">
        <f>IF($J1921="","",0)</f>
        <v/>
      </c>
      <c r="G1921">
        <f>IF($J1921="","",SUMIFS('Hours Log'!$E:$E,'Hours Log'!$A:$A,"&gt;="&amp;$J1921,'Hours Log'!$A:$A,"&lt;"&amp;$J1921+7))</f>
        <v/>
      </c>
      <c r="J1921">
        <f>IF(COUNT('Hours Log'!$A$4:$A$5000)=0,"",IF(MIN('Hours Log'!$A$4:$A$5000)+7*(ROW()-10)&gt;MAX('Hours Log'!$A$4:$A$5000),"",MIN('Hours Log'!$A$4:$A$5000)+7*(ROW()-10)))</f>
        <v/>
      </c>
    </row>
    <row r="1922">
      <c r="A1922">
        <f>IF($J1922="","",YEAR($J1922-WEEKDAY($J1922,2)+4)&amp;"-W"&amp;TEXT(WEEKNUM($J1922,21),"00"))</f>
        <v/>
      </c>
      <c r="B1922" s="41">
        <f>IF($J1922="","",COUNTIFS(Roster!$D$4:$D$500,"Active",Roster!$C$4:$C$500,"&lt;="&amp;$J1922))</f>
        <v/>
      </c>
      <c r="C1922">
        <f>IF($J1922="","",SUMIFS('Hours Log'!$C:$C,'Hours Log'!$A:$A,"&gt;="&amp;$J1922,'Hours Log'!$A:$A,"&lt;"&amp;$J1922+7)+SUMIFS('Hours Log'!$D:$D,'Hours Log'!$A:$A,"&gt;="&amp;$J1922,'Hours Log'!$A:$A,"&lt;"&amp;$J1922+7))</f>
        <v/>
      </c>
      <c r="D1922">
        <f>IF($J1922="","",SUMIFS('Hours Log'!$D:$D,'Hours Log'!$A:$A,"&gt;="&amp;$J1922,'Hours Log'!$A:$A,"&lt;"&amp;$J1922+7))</f>
        <v/>
      </c>
      <c r="E1922">
        <f>IF($J1922="","",IFERROR(C1922/(B1922*40),0))</f>
        <v/>
      </c>
      <c r="F1922">
        <f>IF($J1922="","",0)</f>
        <v/>
      </c>
      <c r="G1922">
        <f>IF($J1922="","",SUMIFS('Hours Log'!$E:$E,'Hours Log'!$A:$A,"&gt;="&amp;$J1922,'Hours Log'!$A:$A,"&lt;"&amp;$J1922+7))</f>
        <v/>
      </c>
      <c r="J1922">
        <f>IF(COUNT('Hours Log'!$A$4:$A$5000)=0,"",IF(MIN('Hours Log'!$A$4:$A$5000)+7*(ROW()-10)&gt;MAX('Hours Log'!$A$4:$A$5000),"",MIN('Hours Log'!$A$4:$A$5000)+7*(ROW()-10)))</f>
        <v/>
      </c>
    </row>
    <row r="1923">
      <c r="A1923">
        <f>IF($J1923="","",YEAR($J1923-WEEKDAY($J1923,2)+4)&amp;"-W"&amp;TEXT(WEEKNUM($J1923,21),"00"))</f>
        <v/>
      </c>
      <c r="B1923" s="41">
        <f>IF($J1923="","",COUNTIFS(Roster!$D$4:$D$500,"Active",Roster!$C$4:$C$500,"&lt;="&amp;$J1923))</f>
        <v/>
      </c>
      <c r="C1923">
        <f>IF($J1923="","",SUMIFS('Hours Log'!$C:$C,'Hours Log'!$A:$A,"&gt;="&amp;$J1923,'Hours Log'!$A:$A,"&lt;"&amp;$J1923+7)+SUMIFS('Hours Log'!$D:$D,'Hours Log'!$A:$A,"&gt;="&amp;$J1923,'Hours Log'!$A:$A,"&lt;"&amp;$J1923+7))</f>
        <v/>
      </c>
      <c r="D1923">
        <f>IF($J1923="","",SUMIFS('Hours Log'!$D:$D,'Hours Log'!$A:$A,"&gt;="&amp;$J1923,'Hours Log'!$A:$A,"&lt;"&amp;$J1923+7))</f>
        <v/>
      </c>
      <c r="E1923">
        <f>IF($J1923="","",IFERROR(C1923/(B1923*40),0))</f>
        <v/>
      </c>
      <c r="F1923">
        <f>IF($J1923="","",0)</f>
        <v/>
      </c>
      <c r="G1923">
        <f>IF($J1923="","",SUMIFS('Hours Log'!$E:$E,'Hours Log'!$A:$A,"&gt;="&amp;$J1923,'Hours Log'!$A:$A,"&lt;"&amp;$J1923+7))</f>
        <v/>
      </c>
      <c r="J1923">
        <f>IF(COUNT('Hours Log'!$A$4:$A$5000)=0,"",IF(MIN('Hours Log'!$A$4:$A$5000)+7*(ROW()-10)&gt;MAX('Hours Log'!$A$4:$A$5000),"",MIN('Hours Log'!$A$4:$A$5000)+7*(ROW()-10)))</f>
        <v/>
      </c>
    </row>
    <row r="1924">
      <c r="A1924">
        <f>IF($J1924="","",YEAR($J1924-WEEKDAY($J1924,2)+4)&amp;"-W"&amp;TEXT(WEEKNUM($J1924,21),"00"))</f>
        <v/>
      </c>
      <c r="B1924" s="41">
        <f>IF($J1924="","",COUNTIFS(Roster!$D$4:$D$500,"Active",Roster!$C$4:$C$500,"&lt;="&amp;$J1924))</f>
        <v/>
      </c>
      <c r="C1924">
        <f>IF($J1924="","",SUMIFS('Hours Log'!$C:$C,'Hours Log'!$A:$A,"&gt;="&amp;$J1924,'Hours Log'!$A:$A,"&lt;"&amp;$J1924+7)+SUMIFS('Hours Log'!$D:$D,'Hours Log'!$A:$A,"&gt;="&amp;$J1924,'Hours Log'!$A:$A,"&lt;"&amp;$J1924+7))</f>
        <v/>
      </c>
      <c r="D1924">
        <f>IF($J1924="","",SUMIFS('Hours Log'!$D:$D,'Hours Log'!$A:$A,"&gt;="&amp;$J1924,'Hours Log'!$A:$A,"&lt;"&amp;$J1924+7))</f>
        <v/>
      </c>
      <c r="E1924">
        <f>IF($J1924="","",IFERROR(C1924/(B1924*40),0))</f>
        <v/>
      </c>
      <c r="F1924">
        <f>IF($J1924="","",0)</f>
        <v/>
      </c>
      <c r="G1924">
        <f>IF($J1924="","",SUMIFS('Hours Log'!$E:$E,'Hours Log'!$A:$A,"&gt;="&amp;$J1924,'Hours Log'!$A:$A,"&lt;"&amp;$J1924+7))</f>
        <v/>
      </c>
      <c r="J1924">
        <f>IF(COUNT('Hours Log'!$A$4:$A$5000)=0,"",IF(MIN('Hours Log'!$A$4:$A$5000)+7*(ROW()-10)&gt;MAX('Hours Log'!$A$4:$A$5000),"",MIN('Hours Log'!$A$4:$A$5000)+7*(ROW()-10)))</f>
        <v/>
      </c>
    </row>
    <row r="1925">
      <c r="A1925">
        <f>IF($J1925="","",YEAR($J1925-WEEKDAY($J1925,2)+4)&amp;"-W"&amp;TEXT(WEEKNUM($J1925,21),"00"))</f>
        <v/>
      </c>
      <c r="B1925" s="41">
        <f>IF($J1925="","",COUNTIFS(Roster!$D$4:$D$500,"Active",Roster!$C$4:$C$500,"&lt;="&amp;$J1925))</f>
        <v/>
      </c>
      <c r="C1925">
        <f>IF($J1925="","",SUMIFS('Hours Log'!$C:$C,'Hours Log'!$A:$A,"&gt;="&amp;$J1925,'Hours Log'!$A:$A,"&lt;"&amp;$J1925+7)+SUMIFS('Hours Log'!$D:$D,'Hours Log'!$A:$A,"&gt;="&amp;$J1925,'Hours Log'!$A:$A,"&lt;"&amp;$J1925+7))</f>
        <v/>
      </c>
      <c r="D1925">
        <f>IF($J1925="","",SUMIFS('Hours Log'!$D:$D,'Hours Log'!$A:$A,"&gt;="&amp;$J1925,'Hours Log'!$A:$A,"&lt;"&amp;$J1925+7))</f>
        <v/>
      </c>
      <c r="E1925">
        <f>IF($J1925="","",IFERROR(C1925/(B1925*40),0))</f>
        <v/>
      </c>
      <c r="F1925">
        <f>IF($J1925="","",0)</f>
        <v/>
      </c>
      <c r="G1925">
        <f>IF($J1925="","",SUMIFS('Hours Log'!$E:$E,'Hours Log'!$A:$A,"&gt;="&amp;$J1925,'Hours Log'!$A:$A,"&lt;"&amp;$J1925+7))</f>
        <v/>
      </c>
      <c r="J1925">
        <f>IF(COUNT('Hours Log'!$A$4:$A$5000)=0,"",IF(MIN('Hours Log'!$A$4:$A$5000)+7*(ROW()-10)&gt;MAX('Hours Log'!$A$4:$A$5000),"",MIN('Hours Log'!$A$4:$A$5000)+7*(ROW()-10)))</f>
        <v/>
      </c>
    </row>
    <row r="1926">
      <c r="A1926">
        <f>IF($J1926="","",YEAR($J1926-WEEKDAY($J1926,2)+4)&amp;"-W"&amp;TEXT(WEEKNUM($J1926,21),"00"))</f>
        <v/>
      </c>
      <c r="B1926" s="41">
        <f>IF($J1926="","",COUNTIFS(Roster!$D$4:$D$500,"Active",Roster!$C$4:$C$500,"&lt;="&amp;$J1926))</f>
        <v/>
      </c>
      <c r="C1926">
        <f>IF($J1926="","",SUMIFS('Hours Log'!$C:$C,'Hours Log'!$A:$A,"&gt;="&amp;$J1926,'Hours Log'!$A:$A,"&lt;"&amp;$J1926+7)+SUMIFS('Hours Log'!$D:$D,'Hours Log'!$A:$A,"&gt;="&amp;$J1926,'Hours Log'!$A:$A,"&lt;"&amp;$J1926+7))</f>
        <v/>
      </c>
      <c r="D1926">
        <f>IF($J1926="","",SUMIFS('Hours Log'!$D:$D,'Hours Log'!$A:$A,"&gt;="&amp;$J1926,'Hours Log'!$A:$A,"&lt;"&amp;$J1926+7))</f>
        <v/>
      </c>
      <c r="E1926">
        <f>IF($J1926="","",IFERROR(C1926/(B1926*40),0))</f>
        <v/>
      </c>
      <c r="F1926">
        <f>IF($J1926="","",0)</f>
        <v/>
      </c>
      <c r="G1926">
        <f>IF($J1926="","",SUMIFS('Hours Log'!$E:$E,'Hours Log'!$A:$A,"&gt;="&amp;$J1926,'Hours Log'!$A:$A,"&lt;"&amp;$J1926+7))</f>
        <v/>
      </c>
      <c r="J1926">
        <f>IF(COUNT('Hours Log'!$A$4:$A$5000)=0,"",IF(MIN('Hours Log'!$A$4:$A$5000)+7*(ROW()-10)&gt;MAX('Hours Log'!$A$4:$A$5000),"",MIN('Hours Log'!$A$4:$A$5000)+7*(ROW()-10)))</f>
        <v/>
      </c>
    </row>
    <row r="1927">
      <c r="A1927">
        <f>IF($J1927="","",YEAR($J1927-WEEKDAY($J1927,2)+4)&amp;"-W"&amp;TEXT(WEEKNUM($J1927,21),"00"))</f>
        <v/>
      </c>
      <c r="B1927" s="41">
        <f>IF($J1927="","",COUNTIFS(Roster!$D$4:$D$500,"Active",Roster!$C$4:$C$500,"&lt;="&amp;$J1927))</f>
        <v/>
      </c>
      <c r="C1927">
        <f>IF($J1927="","",SUMIFS('Hours Log'!$C:$C,'Hours Log'!$A:$A,"&gt;="&amp;$J1927,'Hours Log'!$A:$A,"&lt;"&amp;$J1927+7)+SUMIFS('Hours Log'!$D:$D,'Hours Log'!$A:$A,"&gt;="&amp;$J1927,'Hours Log'!$A:$A,"&lt;"&amp;$J1927+7))</f>
        <v/>
      </c>
      <c r="D1927">
        <f>IF($J1927="","",SUMIFS('Hours Log'!$D:$D,'Hours Log'!$A:$A,"&gt;="&amp;$J1927,'Hours Log'!$A:$A,"&lt;"&amp;$J1927+7))</f>
        <v/>
      </c>
      <c r="E1927">
        <f>IF($J1927="","",IFERROR(C1927/(B1927*40),0))</f>
        <v/>
      </c>
      <c r="F1927">
        <f>IF($J1927="","",0)</f>
        <v/>
      </c>
      <c r="G1927">
        <f>IF($J1927="","",SUMIFS('Hours Log'!$E:$E,'Hours Log'!$A:$A,"&gt;="&amp;$J1927,'Hours Log'!$A:$A,"&lt;"&amp;$J1927+7))</f>
        <v/>
      </c>
      <c r="J1927">
        <f>IF(COUNT('Hours Log'!$A$4:$A$5000)=0,"",IF(MIN('Hours Log'!$A$4:$A$5000)+7*(ROW()-10)&gt;MAX('Hours Log'!$A$4:$A$5000),"",MIN('Hours Log'!$A$4:$A$5000)+7*(ROW()-10)))</f>
        <v/>
      </c>
    </row>
    <row r="1928">
      <c r="A1928">
        <f>IF($J1928="","",YEAR($J1928-WEEKDAY($J1928,2)+4)&amp;"-W"&amp;TEXT(WEEKNUM($J1928,21),"00"))</f>
        <v/>
      </c>
      <c r="B1928" s="41">
        <f>IF($J1928="","",COUNTIFS(Roster!$D$4:$D$500,"Active",Roster!$C$4:$C$500,"&lt;="&amp;$J1928))</f>
        <v/>
      </c>
      <c r="C1928">
        <f>IF($J1928="","",SUMIFS('Hours Log'!$C:$C,'Hours Log'!$A:$A,"&gt;="&amp;$J1928,'Hours Log'!$A:$A,"&lt;"&amp;$J1928+7)+SUMIFS('Hours Log'!$D:$D,'Hours Log'!$A:$A,"&gt;="&amp;$J1928,'Hours Log'!$A:$A,"&lt;"&amp;$J1928+7))</f>
        <v/>
      </c>
      <c r="D1928">
        <f>IF($J1928="","",SUMIFS('Hours Log'!$D:$D,'Hours Log'!$A:$A,"&gt;="&amp;$J1928,'Hours Log'!$A:$A,"&lt;"&amp;$J1928+7))</f>
        <v/>
      </c>
      <c r="E1928">
        <f>IF($J1928="","",IFERROR(C1928/(B1928*40),0))</f>
        <v/>
      </c>
      <c r="F1928">
        <f>IF($J1928="","",0)</f>
        <v/>
      </c>
      <c r="G1928">
        <f>IF($J1928="","",SUMIFS('Hours Log'!$E:$E,'Hours Log'!$A:$A,"&gt;="&amp;$J1928,'Hours Log'!$A:$A,"&lt;"&amp;$J1928+7))</f>
        <v/>
      </c>
      <c r="J1928">
        <f>IF(COUNT('Hours Log'!$A$4:$A$5000)=0,"",IF(MIN('Hours Log'!$A$4:$A$5000)+7*(ROW()-10)&gt;MAX('Hours Log'!$A$4:$A$5000),"",MIN('Hours Log'!$A$4:$A$5000)+7*(ROW()-10)))</f>
        <v/>
      </c>
    </row>
    <row r="1929">
      <c r="A1929">
        <f>IF($J1929="","",YEAR($J1929-WEEKDAY($J1929,2)+4)&amp;"-W"&amp;TEXT(WEEKNUM($J1929,21),"00"))</f>
        <v/>
      </c>
      <c r="B1929" s="41">
        <f>IF($J1929="","",COUNTIFS(Roster!$D$4:$D$500,"Active",Roster!$C$4:$C$500,"&lt;="&amp;$J1929))</f>
        <v/>
      </c>
      <c r="C1929">
        <f>IF($J1929="","",SUMIFS('Hours Log'!$C:$C,'Hours Log'!$A:$A,"&gt;="&amp;$J1929,'Hours Log'!$A:$A,"&lt;"&amp;$J1929+7)+SUMIFS('Hours Log'!$D:$D,'Hours Log'!$A:$A,"&gt;="&amp;$J1929,'Hours Log'!$A:$A,"&lt;"&amp;$J1929+7))</f>
        <v/>
      </c>
      <c r="D1929">
        <f>IF($J1929="","",SUMIFS('Hours Log'!$D:$D,'Hours Log'!$A:$A,"&gt;="&amp;$J1929,'Hours Log'!$A:$A,"&lt;"&amp;$J1929+7))</f>
        <v/>
      </c>
      <c r="E1929">
        <f>IF($J1929="","",IFERROR(C1929/(B1929*40),0))</f>
        <v/>
      </c>
      <c r="F1929">
        <f>IF($J1929="","",0)</f>
        <v/>
      </c>
      <c r="G1929">
        <f>IF($J1929="","",SUMIFS('Hours Log'!$E:$E,'Hours Log'!$A:$A,"&gt;="&amp;$J1929,'Hours Log'!$A:$A,"&lt;"&amp;$J1929+7))</f>
        <v/>
      </c>
      <c r="J1929">
        <f>IF(COUNT('Hours Log'!$A$4:$A$5000)=0,"",IF(MIN('Hours Log'!$A$4:$A$5000)+7*(ROW()-10)&gt;MAX('Hours Log'!$A$4:$A$5000),"",MIN('Hours Log'!$A$4:$A$5000)+7*(ROW()-10)))</f>
        <v/>
      </c>
    </row>
    <row r="1930">
      <c r="A1930">
        <f>IF($J1930="","",YEAR($J1930-WEEKDAY($J1930,2)+4)&amp;"-W"&amp;TEXT(WEEKNUM($J1930,21),"00"))</f>
        <v/>
      </c>
      <c r="B1930" s="41">
        <f>IF($J1930="","",COUNTIFS(Roster!$D$4:$D$500,"Active",Roster!$C$4:$C$500,"&lt;="&amp;$J1930))</f>
        <v/>
      </c>
      <c r="C1930">
        <f>IF($J1930="","",SUMIFS('Hours Log'!$C:$C,'Hours Log'!$A:$A,"&gt;="&amp;$J1930,'Hours Log'!$A:$A,"&lt;"&amp;$J1930+7)+SUMIFS('Hours Log'!$D:$D,'Hours Log'!$A:$A,"&gt;="&amp;$J1930,'Hours Log'!$A:$A,"&lt;"&amp;$J1930+7))</f>
        <v/>
      </c>
      <c r="D1930">
        <f>IF($J1930="","",SUMIFS('Hours Log'!$D:$D,'Hours Log'!$A:$A,"&gt;="&amp;$J1930,'Hours Log'!$A:$A,"&lt;"&amp;$J1930+7))</f>
        <v/>
      </c>
      <c r="E1930">
        <f>IF($J1930="","",IFERROR(C1930/(B1930*40),0))</f>
        <v/>
      </c>
      <c r="F1930">
        <f>IF($J1930="","",0)</f>
        <v/>
      </c>
      <c r="G1930">
        <f>IF($J1930="","",SUMIFS('Hours Log'!$E:$E,'Hours Log'!$A:$A,"&gt;="&amp;$J1930,'Hours Log'!$A:$A,"&lt;"&amp;$J1930+7))</f>
        <v/>
      </c>
      <c r="J1930">
        <f>IF(COUNT('Hours Log'!$A$4:$A$5000)=0,"",IF(MIN('Hours Log'!$A$4:$A$5000)+7*(ROW()-10)&gt;MAX('Hours Log'!$A$4:$A$5000),"",MIN('Hours Log'!$A$4:$A$5000)+7*(ROW()-10)))</f>
        <v/>
      </c>
    </row>
    <row r="1931">
      <c r="A1931">
        <f>IF($J1931="","",YEAR($J1931-WEEKDAY($J1931,2)+4)&amp;"-W"&amp;TEXT(WEEKNUM($J1931,21),"00"))</f>
        <v/>
      </c>
      <c r="B1931" s="41">
        <f>IF($J1931="","",COUNTIFS(Roster!$D$4:$D$500,"Active",Roster!$C$4:$C$500,"&lt;="&amp;$J1931))</f>
        <v/>
      </c>
      <c r="C1931">
        <f>IF($J1931="","",SUMIFS('Hours Log'!$C:$C,'Hours Log'!$A:$A,"&gt;="&amp;$J1931,'Hours Log'!$A:$A,"&lt;"&amp;$J1931+7)+SUMIFS('Hours Log'!$D:$D,'Hours Log'!$A:$A,"&gt;="&amp;$J1931,'Hours Log'!$A:$A,"&lt;"&amp;$J1931+7))</f>
        <v/>
      </c>
      <c r="D1931">
        <f>IF($J1931="","",SUMIFS('Hours Log'!$D:$D,'Hours Log'!$A:$A,"&gt;="&amp;$J1931,'Hours Log'!$A:$A,"&lt;"&amp;$J1931+7))</f>
        <v/>
      </c>
      <c r="E1931">
        <f>IF($J1931="","",IFERROR(C1931/(B1931*40),0))</f>
        <v/>
      </c>
      <c r="F1931">
        <f>IF($J1931="","",0)</f>
        <v/>
      </c>
      <c r="G1931">
        <f>IF($J1931="","",SUMIFS('Hours Log'!$E:$E,'Hours Log'!$A:$A,"&gt;="&amp;$J1931,'Hours Log'!$A:$A,"&lt;"&amp;$J1931+7))</f>
        <v/>
      </c>
      <c r="J1931">
        <f>IF(COUNT('Hours Log'!$A$4:$A$5000)=0,"",IF(MIN('Hours Log'!$A$4:$A$5000)+7*(ROW()-10)&gt;MAX('Hours Log'!$A$4:$A$5000),"",MIN('Hours Log'!$A$4:$A$5000)+7*(ROW()-10)))</f>
        <v/>
      </c>
    </row>
    <row r="1932">
      <c r="A1932">
        <f>IF($J1932="","",YEAR($J1932-WEEKDAY($J1932,2)+4)&amp;"-W"&amp;TEXT(WEEKNUM($J1932,21),"00"))</f>
        <v/>
      </c>
      <c r="B1932" s="41">
        <f>IF($J1932="","",COUNTIFS(Roster!$D$4:$D$500,"Active",Roster!$C$4:$C$500,"&lt;="&amp;$J1932))</f>
        <v/>
      </c>
      <c r="C1932">
        <f>IF($J1932="","",SUMIFS('Hours Log'!$C:$C,'Hours Log'!$A:$A,"&gt;="&amp;$J1932,'Hours Log'!$A:$A,"&lt;"&amp;$J1932+7)+SUMIFS('Hours Log'!$D:$D,'Hours Log'!$A:$A,"&gt;="&amp;$J1932,'Hours Log'!$A:$A,"&lt;"&amp;$J1932+7))</f>
        <v/>
      </c>
      <c r="D1932">
        <f>IF($J1932="","",SUMIFS('Hours Log'!$D:$D,'Hours Log'!$A:$A,"&gt;="&amp;$J1932,'Hours Log'!$A:$A,"&lt;"&amp;$J1932+7))</f>
        <v/>
      </c>
      <c r="E1932">
        <f>IF($J1932="","",IFERROR(C1932/(B1932*40),0))</f>
        <v/>
      </c>
      <c r="F1932">
        <f>IF($J1932="","",0)</f>
        <v/>
      </c>
      <c r="G1932">
        <f>IF($J1932="","",SUMIFS('Hours Log'!$E:$E,'Hours Log'!$A:$A,"&gt;="&amp;$J1932,'Hours Log'!$A:$A,"&lt;"&amp;$J1932+7))</f>
        <v/>
      </c>
      <c r="J1932">
        <f>IF(COUNT('Hours Log'!$A$4:$A$5000)=0,"",IF(MIN('Hours Log'!$A$4:$A$5000)+7*(ROW()-10)&gt;MAX('Hours Log'!$A$4:$A$5000),"",MIN('Hours Log'!$A$4:$A$5000)+7*(ROW()-10)))</f>
        <v/>
      </c>
    </row>
    <row r="1933">
      <c r="A1933">
        <f>IF($J1933="","",YEAR($J1933-WEEKDAY($J1933,2)+4)&amp;"-W"&amp;TEXT(WEEKNUM($J1933,21),"00"))</f>
        <v/>
      </c>
      <c r="B1933" s="41">
        <f>IF($J1933="","",COUNTIFS(Roster!$D$4:$D$500,"Active",Roster!$C$4:$C$500,"&lt;="&amp;$J1933))</f>
        <v/>
      </c>
      <c r="C1933">
        <f>IF($J1933="","",SUMIFS('Hours Log'!$C:$C,'Hours Log'!$A:$A,"&gt;="&amp;$J1933,'Hours Log'!$A:$A,"&lt;"&amp;$J1933+7)+SUMIFS('Hours Log'!$D:$D,'Hours Log'!$A:$A,"&gt;="&amp;$J1933,'Hours Log'!$A:$A,"&lt;"&amp;$J1933+7))</f>
        <v/>
      </c>
      <c r="D1933">
        <f>IF($J1933="","",SUMIFS('Hours Log'!$D:$D,'Hours Log'!$A:$A,"&gt;="&amp;$J1933,'Hours Log'!$A:$A,"&lt;"&amp;$J1933+7))</f>
        <v/>
      </c>
      <c r="E1933">
        <f>IF($J1933="","",IFERROR(C1933/(B1933*40),0))</f>
        <v/>
      </c>
      <c r="F1933">
        <f>IF($J1933="","",0)</f>
        <v/>
      </c>
      <c r="G1933">
        <f>IF($J1933="","",SUMIFS('Hours Log'!$E:$E,'Hours Log'!$A:$A,"&gt;="&amp;$J1933,'Hours Log'!$A:$A,"&lt;"&amp;$J1933+7))</f>
        <v/>
      </c>
      <c r="J1933">
        <f>IF(COUNT('Hours Log'!$A$4:$A$5000)=0,"",IF(MIN('Hours Log'!$A$4:$A$5000)+7*(ROW()-10)&gt;MAX('Hours Log'!$A$4:$A$5000),"",MIN('Hours Log'!$A$4:$A$5000)+7*(ROW()-10)))</f>
        <v/>
      </c>
    </row>
    <row r="1934">
      <c r="A1934">
        <f>IF($J1934="","",YEAR($J1934-WEEKDAY($J1934,2)+4)&amp;"-W"&amp;TEXT(WEEKNUM($J1934,21),"00"))</f>
        <v/>
      </c>
      <c r="B1934" s="41">
        <f>IF($J1934="","",COUNTIFS(Roster!$D$4:$D$500,"Active",Roster!$C$4:$C$500,"&lt;="&amp;$J1934))</f>
        <v/>
      </c>
      <c r="C1934">
        <f>IF($J1934="","",SUMIFS('Hours Log'!$C:$C,'Hours Log'!$A:$A,"&gt;="&amp;$J1934,'Hours Log'!$A:$A,"&lt;"&amp;$J1934+7)+SUMIFS('Hours Log'!$D:$D,'Hours Log'!$A:$A,"&gt;="&amp;$J1934,'Hours Log'!$A:$A,"&lt;"&amp;$J1934+7))</f>
        <v/>
      </c>
      <c r="D1934">
        <f>IF($J1934="","",SUMIFS('Hours Log'!$D:$D,'Hours Log'!$A:$A,"&gt;="&amp;$J1934,'Hours Log'!$A:$A,"&lt;"&amp;$J1934+7))</f>
        <v/>
      </c>
      <c r="E1934">
        <f>IF($J1934="","",IFERROR(C1934/(B1934*40),0))</f>
        <v/>
      </c>
      <c r="F1934">
        <f>IF($J1934="","",0)</f>
        <v/>
      </c>
      <c r="G1934">
        <f>IF($J1934="","",SUMIFS('Hours Log'!$E:$E,'Hours Log'!$A:$A,"&gt;="&amp;$J1934,'Hours Log'!$A:$A,"&lt;"&amp;$J1934+7))</f>
        <v/>
      </c>
      <c r="J1934">
        <f>IF(COUNT('Hours Log'!$A$4:$A$5000)=0,"",IF(MIN('Hours Log'!$A$4:$A$5000)+7*(ROW()-10)&gt;MAX('Hours Log'!$A$4:$A$5000),"",MIN('Hours Log'!$A$4:$A$5000)+7*(ROW()-10)))</f>
        <v/>
      </c>
    </row>
    <row r="1935">
      <c r="A1935">
        <f>IF($J1935="","",YEAR($J1935-WEEKDAY($J1935,2)+4)&amp;"-W"&amp;TEXT(WEEKNUM($J1935,21),"00"))</f>
        <v/>
      </c>
      <c r="B1935" s="41">
        <f>IF($J1935="","",COUNTIFS(Roster!$D$4:$D$500,"Active",Roster!$C$4:$C$500,"&lt;="&amp;$J1935))</f>
        <v/>
      </c>
      <c r="C1935">
        <f>IF($J1935="","",SUMIFS('Hours Log'!$C:$C,'Hours Log'!$A:$A,"&gt;="&amp;$J1935,'Hours Log'!$A:$A,"&lt;"&amp;$J1935+7)+SUMIFS('Hours Log'!$D:$D,'Hours Log'!$A:$A,"&gt;="&amp;$J1935,'Hours Log'!$A:$A,"&lt;"&amp;$J1935+7))</f>
        <v/>
      </c>
      <c r="D1935">
        <f>IF($J1935="","",SUMIFS('Hours Log'!$D:$D,'Hours Log'!$A:$A,"&gt;="&amp;$J1935,'Hours Log'!$A:$A,"&lt;"&amp;$J1935+7))</f>
        <v/>
      </c>
      <c r="E1935">
        <f>IF($J1935="","",IFERROR(C1935/(B1935*40),0))</f>
        <v/>
      </c>
      <c r="F1935">
        <f>IF($J1935="","",0)</f>
        <v/>
      </c>
      <c r="G1935">
        <f>IF($J1935="","",SUMIFS('Hours Log'!$E:$E,'Hours Log'!$A:$A,"&gt;="&amp;$J1935,'Hours Log'!$A:$A,"&lt;"&amp;$J1935+7))</f>
        <v/>
      </c>
      <c r="J1935">
        <f>IF(COUNT('Hours Log'!$A$4:$A$5000)=0,"",IF(MIN('Hours Log'!$A$4:$A$5000)+7*(ROW()-10)&gt;MAX('Hours Log'!$A$4:$A$5000),"",MIN('Hours Log'!$A$4:$A$5000)+7*(ROW()-10)))</f>
        <v/>
      </c>
    </row>
    <row r="1936">
      <c r="A1936">
        <f>IF($J1936="","",YEAR($J1936-WEEKDAY($J1936,2)+4)&amp;"-W"&amp;TEXT(WEEKNUM($J1936,21),"00"))</f>
        <v/>
      </c>
      <c r="B1936" s="41">
        <f>IF($J1936="","",COUNTIFS(Roster!$D$4:$D$500,"Active",Roster!$C$4:$C$500,"&lt;="&amp;$J1936))</f>
        <v/>
      </c>
      <c r="C1936">
        <f>IF($J1936="","",SUMIFS('Hours Log'!$C:$C,'Hours Log'!$A:$A,"&gt;="&amp;$J1936,'Hours Log'!$A:$A,"&lt;"&amp;$J1936+7)+SUMIFS('Hours Log'!$D:$D,'Hours Log'!$A:$A,"&gt;="&amp;$J1936,'Hours Log'!$A:$A,"&lt;"&amp;$J1936+7))</f>
        <v/>
      </c>
      <c r="D1936">
        <f>IF($J1936="","",SUMIFS('Hours Log'!$D:$D,'Hours Log'!$A:$A,"&gt;="&amp;$J1936,'Hours Log'!$A:$A,"&lt;"&amp;$J1936+7))</f>
        <v/>
      </c>
      <c r="E1936">
        <f>IF($J1936="","",IFERROR(C1936/(B1936*40),0))</f>
        <v/>
      </c>
      <c r="F1936">
        <f>IF($J1936="","",0)</f>
        <v/>
      </c>
      <c r="G1936">
        <f>IF($J1936="","",SUMIFS('Hours Log'!$E:$E,'Hours Log'!$A:$A,"&gt;="&amp;$J1936,'Hours Log'!$A:$A,"&lt;"&amp;$J1936+7))</f>
        <v/>
      </c>
      <c r="J1936">
        <f>IF(COUNT('Hours Log'!$A$4:$A$5000)=0,"",IF(MIN('Hours Log'!$A$4:$A$5000)+7*(ROW()-10)&gt;MAX('Hours Log'!$A$4:$A$5000),"",MIN('Hours Log'!$A$4:$A$5000)+7*(ROW()-10)))</f>
        <v/>
      </c>
    </row>
    <row r="1937">
      <c r="A1937">
        <f>IF($J1937="","",YEAR($J1937-WEEKDAY($J1937,2)+4)&amp;"-W"&amp;TEXT(WEEKNUM($J1937,21),"00"))</f>
        <v/>
      </c>
      <c r="B1937" s="41">
        <f>IF($J1937="","",COUNTIFS(Roster!$D$4:$D$500,"Active",Roster!$C$4:$C$500,"&lt;="&amp;$J1937))</f>
        <v/>
      </c>
      <c r="C1937">
        <f>IF($J1937="","",SUMIFS('Hours Log'!$C:$C,'Hours Log'!$A:$A,"&gt;="&amp;$J1937,'Hours Log'!$A:$A,"&lt;"&amp;$J1937+7)+SUMIFS('Hours Log'!$D:$D,'Hours Log'!$A:$A,"&gt;="&amp;$J1937,'Hours Log'!$A:$A,"&lt;"&amp;$J1937+7))</f>
        <v/>
      </c>
      <c r="D1937">
        <f>IF($J1937="","",SUMIFS('Hours Log'!$D:$D,'Hours Log'!$A:$A,"&gt;="&amp;$J1937,'Hours Log'!$A:$A,"&lt;"&amp;$J1937+7))</f>
        <v/>
      </c>
      <c r="E1937">
        <f>IF($J1937="","",IFERROR(C1937/(B1937*40),0))</f>
        <v/>
      </c>
      <c r="F1937">
        <f>IF($J1937="","",0)</f>
        <v/>
      </c>
      <c r="G1937">
        <f>IF($J1937="","",SUMIFS('Hours Log'!$E:$E,'Hours Log'!$A:$A,"&gt;="&amp;$J1937,'Hours Log'!$A:$A,"&lt;"&amp;$J1937+7))</f>
        <v/>
      </c>
      <c r="J1937">
        <f>IF(COUNT('Hours Log'!$A$4:$A$5000)=0,"",IF(MIN('Hours Log'!$A$4:$A$5000)+7*(ROW()-10)&gt;MAX('Hours Log'!$A$4:$A$5000),"",MIN('Hours Log'!$A$4:$A$5000)+7*(ROW()-10)))</f>
        <v/>
      </c>
    </row>
    <row r="1938">
      <c r="A1938">
        <f>IF($J1938="","",YEAR($J1938-WEEKDAY($J1938,2)+4)&amp;"-W"&amp;TEXT(WEEKNUM($J1938,21),"00"))</f>
        <v/>
      </c>
      <c r="B1938" s="41">
        <f>IF($J1938="","",COUNTIFS(Roster!$D$4:$D$500,"Active",Roster!$C$4:$C$500,"&lt;="&amp;$J1938))</f>
        <v/>
      </c>
      <c r="C1938">
        <f>IF($J1938="","",SUMIFS('Hours Log'!$C:$C,'Hours Log'!$A:$A,"&gt;="&amp;$J1938,'Hours Log'!$A:$A,"&lt;"&amp;$J1938+7)+SUMIFS('Hours Log'!$D:$D,'Hours Log'!$A:$A,"&gt;="&amp;$J1938,'Hours Log'!$A:$A,"&lt;"&amp;$J1938+7))</f>
        <v/>
      </c>
      <c r="D1938">
        <f>IF($J1938="","",SUMIFS('Hours Log'!$D:$D,'Hours Log'!$A:$A,"&gt;="&amp;$J1938,'Hours Log'!$A:$A,"&lt;"&amp;$J1938+7))</f>
        <v/>
      </c>
      <c r="E1938">
        <f>IF($J1938="","",IFERROR(C1938/(B1938*40),0))</f>
        <v/>
      </c>
      <c r="F1938">
        <f>IF($J1938="","",0)</f>
        <v/>
      </c>
      <c r="G1938">
        <f>IF($J1938="","",SUMIFS('Hours Log'!$E:$E,'Hours Log'!$A:$A,"&gt;="&amp;$J1938,'Hours Log'!$A:$A,"&lt;"&amp;$J1938+7))</f>
        <v/>
      </c>
      <c r="J1938">
        <f>IF(COUNT('Hours Log'!$A$4:$A$5000)=0,"",IF(MIN('Hours Log'!$A$4:$A$5000)+7*(ROW()-10)&gt;MAX('Hours Log'!$A$4:$A$5000),"",MIN('Hours Log'!$A$4:$A$5000)+7*(ROW()-10)))</f>
        <v/>
      </c>
    </row>
    <row r="1939">
      <c r="A1939">
        <f>IF($J1939="","",YEAR($J1939-WEEKDAY($J1939,2)+4)&amp;"-W"&amp;TEXT(WEEKNUM($J1939,21),"00"))</f>
        <v/>
      </c>
      <c r="B1939" s="41">
        <f>IF($J1939="","",COUNTIFS(Roster!$D$4:$D$500,"Active",Roster!$C$4:$C$500,"&lt;="&amp;$J1939))</f>
        <v/>
      </c>
      <c r="C1939">
        <f>IF($J1939="","",SUMIFS('Hours Log'!$C:$C,'Hours Log'!$A:$A,"&gt;="&amp;$J1939,'Hours Log'!$A:$A,"&lt;"&amp;$J1939+7)+SUMIFS('Hours Log'!$D:$D,'Hours Log'!$A:$A,"&gt;="&amp;$J1939,'Hours Log'!$A:$A,"&lt;"&amp;$J1939+7))</f>
        <v/>
      </c>
      <c r="D1939">
        <f>IF($J1939="","",SUMIFS('Hours Log'!$D:$D,'Hours Log'!$A:$A,"&gt;="&amp;$J1939,'Hours Log'!$A:$A,"&lt;"&amp;$J1939+7))</f>
        <v/>
      </c>
      <c r="E1939">
        <f>IF($J1939="","",IFERROR(C1939/(B1939*40),0))</f>
        <v/>
      </c>
      <c r="F1939">
        <f>IF($J1939="","",0)</f>
        <v/>
      </c>
      <c r="G1939">
        <f>IF($J1939="","",SUMIFS('Hours Log'!$E:$E,'Hours Log'!$A:$A,"&gt;="&amp;$J1939,'Hours Log'!$A:$A,"&lt;"&amp;$J1939+7))</f>
        <v/>
      </c>
      <c r="J1939">
        <f>IF(COUNT('Hours Log'!$A$4:$A$5000)=0,"",IF(MIN('Hours Log'!$A$4:$A$5000)+7*(ROW()-10)&gt;MAX('Hours Log'!$A$4:$A$5000),"",MIN('Hours Log'!$A$4:$A$5000)+7*(ROW()-10)))</f>
        <v/>
      </c>
    </row>
    <row r="1940">
      <c r="A1940">
        <f>IF($J1940="","",YEAR($J1940-WEEKDAY($J1940,2)+4)&amp;"-W"&amp;TEXT(WEEKNUM($J1940,21),"00"))</f>
        <v/>
      </c>
      <c r="B1940" s="41">
        <f>IF($J1940="","",COUNTIFS(Roster!$D$4:$D$500,"Active",Roster!$C$4:$C$500,"&lt;="&amp;$J1940))</f>
        <v/>
      </c>
      <c r="C1940">
        <f>IF($J1940="","",SUMIFS('Hours Log'!$C:$C,'Hours Log'!$A:$A,"&gt;="&amp;$J1940,'Hours Log'!$A:$A,"&lt;"&amp;$J1940+7)+SUMIFS('Hours Log'!$D:$D,'Hours Log'!$A:$A,"&gt;="&amp;$J1940,'Hours Log'!$A:$A,"&lt;"&amp;$J1940+7))</f>
        <v/>
      </c>
      <c r="D1940">
        <f>IF($J1940="","",SUMIFS('Hours Log'!$D:$D,'Hours Log'!$A:$A,"&gt;="&amp;$J1940,'Hours Log'!$A:$A,"&lt;"&amp;$J1940+7))</f>
        <v/>
      </c>
      <c r="E1940">
        <f>IF($J1940="","",IFERROR(C1940/(B1940*40),0))</f>
        <v/>
      </c>
      <c r="F1940">
        <f>IF($J1940="","",0)</f>
        <v/>
      </c>
      <c r="G1940">
        <f>IF($J1940="","",SUMIFS('Hours Log'!$E:$E,'Hours Log'!$A:$A,"&gt;="&amp;$J1940,'Hours Log'!$A:$A,"&lt;"&amp;$J1940+7))</f>
        <v/>
      </c>
      <c r="J1940">
        <f>IF(COUNT('Hours Log'!$A$4:$A$5000)=0,"",IF(MIN('Hours Log'!$A$4:$A$5000)+7*(ROW()-10)&gt;MAX('Hours Log'!$A$4:$A$5000),"",MIN('Hours Log'!$A$4:$A$5000)+7*(ROW()-10)))</f>
        <v/>
      </c>
    </row>
    <row r="1941">
      <c r="A1941">
        <f>IF($J1941="","",YEAR($J1941-WEEKDAY($J1941,2)+4)&amp;"-W"&amp;TEXT(WEEKNUM($J1941,21),"00"))</f>
        <v/>
      </c>
      <c r="B1941" s="41">
        <f>IF($J1941="","",COUNTIFS(Roster!$D$4:$D$500,"Active",Roster!$C$4:$C$500,"&lt;="&amp;$J1941))</f>
        <v/>
      </c>
      <c r="C1941">
        <f>IF($J1941="","",SUMIFS('Hours Log'!$C:$C,'Hours Log'!$A:$A,"&gt;="&amp;$J1941,'Hours Log'!$A:$A,"&lt;"&amp;$J1941+7)+SUMIFS('Hours Log'!$D:$D,'Hours Log'!$A:$A,"&gt;="&amp;$J1941,'Hours Log'!$A:$A,"&lt;"&amp;$J1941+7))</f>
        <v/>
      </c>
      <c r="D1941">
        <f>IF($J1941="","",SUMIFS('Hours Log'!$D:$D,'Hours Log'!$A:$A,"&gt;="&amp;$J1941,'Hours Log'!$A:$A,"&lt;"&amp;$J1941+7))</f>
        <v/>
      </c>
      <c r="E1941">
        <f>IF($J1941="","",IFERROR(C1941/(B1941*40),0))</f>
        <v/>
      </c>
      <c r="F1941">
        <f>IF($J1941="","",0)</f>
        <v/>
      </c>
      <c r="G1941">
        <f>IF($J1941="","",SUMIFS('Hours Log'!$E:$E,'Hours Log'!$A:$A,"&gt;="&amp;$J1941,'Hours Log'!$A:$A,"&lt;"&amp;$J1941+7))</f>
        <v/>
      </c>
      <c r="J1941">
        <f>IF(COUNT('Hours Log'!$A$4:$A$5000)=0,"",IF(MIN('Hours Log'!$A$4:$A$5000)+7*(ROW()-10)&gt;MAX('Hours Log'!$A$4:$A$5000),"",MIN('Hours Log'!$A$4:$A$5000)+7*(ROW()-10)))</f>
        <v/>
      </c>
    </row>
    <row r="1942">
      <c r="A1942">
        <f>IF($J1942="","",YEAR($J1942-WEEKDAY($J1942,2)+4)&amp;"-W"&amp;TEXT(WEEKNUM($J1942,21),"00"))</f>
        <v/>
      </c>
      <c r="B1942" s="41">
        <f>IF($J1942="","",COUNTIFS(Roster!$D$4:$D$500,"Active",Roster!$C$4:$C$500,"&lt;="&amp;$J1942))</f>
        <v/>
      </c>
      <c r="C1942">
        <f>IF($J1942="","",SUMIFS('Hours Log'!$C:$C,'Hours Log'!$A:$A,"&gt;="&amp;$J1942,'Hours Log'!$A:$A,"&lt;"&amp;$J1942+7)+SUMIFS('Hours Log'!$D:$D,'Hours Log'!$A:$A,"&gt;="&amp;$J1942,'Hours Log'!$A:$A,"&lt;"&amp;$J1942+7))</f>
        <v/>
      </c>
      <c r="D1942">
        <f>IF($J1942="","",SUMIFS('Hours Log'!$D:$D,'Hours Log'!$A:$A,"&gt;="&amp;$J1942,'Hours Log'!$A:$A,"&lt;"&amp;$J1942+7))</f>
        <v/>
      </c>
      <c r="E1942">
        <f>IF($J1942="","",IFERROR(C1942/(B1942*40),0))</f>
        <v/>
      </c>
      <c r="F1942">
        <f>IF($J1942="","",0)</f>
        <v/>
      </c>
      <c r="G1942">
        <f>IF($J1942="","",SUMIFS('Hours Log'!$E:$E,'Hours Log'!$A:$A,"&gt;="&amp;$J1942,'Hours Log'!$A:$A,"&lt;"&amp;$J1942+7))</f>
        <v/>
      </c>
      <c r="J1942">
        <f>IF(COUNT('Hours Log'!$A$4:$A$5000)=0,"",IF(MIN('Hours Log'!$A$4:$A$5000)+7*(ROW()-10)&gt;MAX('Hours Log'!$A$4:$A$5000),"",MIN('Hours Log'!$A$4:$A$5000)+7*(ROW()-10)))</f>
        <v/>
      </c>
    </row>
    <row r="1943">
      <c r="A1943">
        <f>IF($J1943="","",YEAR($J1943-WEEKDAY($J1943,2)+4)&amp;"-W"&amp;TEXT(WEEKNUM($J1943,21),"00"))</f>
        <v/>
      </c>
      <c r="B1943" s="41">
        <f>IF($J1943="","",COUNTIFS(Roster!$D$4:$D$500,"Active",Roster!$C$4:$C$500,"&lt;="&amp;$J1943))</f>
        <v/>
      </c>
      <c r="C1943">
        <f>IF($J1943="","",SUMIFS('Hours Log'!$C:$C,'Hours Log'!$A:$A,"&gt;="&amp;$J1943,'Hours Log'!$A:$A,"&lt;"&amp;$J1943+7)+SUMIFS('Hours Log'!$D:$D,'Hours Log'!$A:$A,"&gt;="&amp;$J1943,'Hours Log'!$A:$A,"&lt;"&amp;$J1943+7))</f>
        <v/>
      </c>
      <c r="D1943">
        <f>IF($J1943="","",SUMIFS('Hours Log'!$D:$D,'Hours Log'!$A:$A,"&gt;="&amp;$J1943,'Hours Log'!$A:$A,"&lt;"&amp;$J1943+7))</f>
        <v/>
      </c>
      <c r="E1943">
        <f>IF($J1943="","",IFERROR(C1943/(B1943*40),0))</f>
        <v/>
      </c>
      <c r="F1943">
        <f>IF($J1943="","",0)</f>
        <v/>
      </c>
      <c r="G1943">
        <f>IF($J1943="","",SUMIFS('Hours Log'!$E:$E,'Hours Log'!$A:$A,"&gt;="&amp;$J1943,'Hours Log'!$A:$A,"&lt;"&amp;$J1943+7))</f>
        <v/>
      </c>
      <c r="J1943">
        <f>IF(COUNT('Hours Log'!$A$4:$A$5000)=0,"",IF(MIN('Hours Log'!$A$4:$A$5000)+7*(ROW()-10)&gt;MAX('Hours Log'!$A$4:$A$5000),"",MIN('Hours Log'!$A$4:$A$5000)+7*(ROW()-10)))</f>
        <v/>
      </c>
    </row>
    <row r="1944">
      <c r="A1944">
        <f>IF($J1944="","",YEAR($J1944-WEEKDAY($J1944,2)+4)&amp;"-W"&amp;TEXT(WEEKNUM($J1944,21),"00"))</f>
        <v/>
      </c>
      <c r="B1944" s="41">
        <f>IF($J1944="","",COUNTIFS(Roster!$D$4:$D$500,"Active",Roster!$C$4:$C$500,"&lt;="&amp;$J1944))</f>
        <v/>
      </c>
      <c r="C1944">
        <f>IF($J1944="","",SUMIFS('Hours Log'!$C:$C,'Hours Log'!$A:$A,"&gt;="&amp;$J1944,'Hours Log'!$A:$A,"&lt;"&amp;$J1944+7)+SUMIFS('Hours Log'!$D:$D,'Hours Log'!$A:$A,"&gt;="&amp;$J1944,'Hours Log'!$A:$A,"&lt;"&amp;$J1944+7))</f>
        <v/>
      </c>
      <c r="D1944">
        <f>IF($J1944="","",SUMIFS('Hours Log'!$D:$D,'Hours Log'!$A:$A,"&gt;="&amp;$J1944,'Hours Log'!$A:$A,"&lt;"&amp;$J1944+7))</f>
        <v/>
      </c>
      <c r="E1944">
        <f>IF($J1944="","",IFERROR(C1944/(B1944*40),0))</f>
        <v/>
      </c>
      <c r="F1944">
        <f>IF($J1944="","",0)</f>
        <v/>
      </c>
      <c r="G1944">
        <f>IF($J1944="","",SUMIFS('Hours Log'!$E:$E,'Hours Log'!$A:$A,"&gt;="&amp;$J1944,'Hours Log'!$A:$A,"&lt;"&amp;$J1944+7))</f>
        <v/>
      </c>
      <c r="J1944">
        <f>IF(COUNT('Hours Log'!$A$4:$A$5000)=0,"",IF(MIN('Hours Log'!$A$4:$A$5000)+7*(ROW()-10)&gt;MAX('Hours Log'!$A$4:$A$5000),"",MIN('Hours Log'!$A$4:$A$5000)+7*(ROW()-10)))</f>
        <v/>
      </c>
    </row>
    <row r="1945">
      <c r="A1945">
        <f>IF($J1945="","",YEAR($J1945-WEEKDAY($J1945,2)+4)&amp;"-W"&amp;TEXT(WEEKNUM($J1945,21),"00"))</f>
        <v/>
      </c>
      <c r="B1945" s="41">
        <f>IF($J1945="","",COUNTIFS(Roster!$D$4:$D$500,"Active",Roster!$C$4:$C$500,"&lt;="&amp;$J1945))</f>
        <v/>
      </c>
      <c r="C1945">
        <f>IF($J1945="","",SUMIFS('Hours Log'!$C:$C,'Hours Log'!$A:$A,"&gt;="&amp;$J1945,'Hours Log'!$A:$A,"&lt;"&amp;$J1945+7)+SUMIFS('Hours Log'!$D:$D,'Hours Log'!$A:$A,"&gt;="&amp;$J1945,'Hours Log'!$A:$A,"&lt;"&amp;$J1945+7))</f>
        <v/>
      </c>
      <c r="D1945">
        <f>IF($J1945="","",SUMIFS('Hours Log'!$D:$D,'Hours Log'!$A:$A,"&gt;="&amp;$J1945,'Hours Log'!$A:$A,"&lt;"&amp;$J1945+7))</f>
        <v/>
      </c>
      <c r="E1945">
        <f>IF($J1945="","",IFERROR(C1945/(B1945*40),0))</f>
        <v/>
      </c>
      <c r="F1945">
        <f>IF($J1945="","",0)</f>
        <v/>
      </c>
      <c r="G1945">
        <f>IF($J1945="","",SUMIFS('Hours Log'!$E:$E,'Hours Log'!$A:$A,"&gt;="&amp;$J1945,'Hours Log'!$A:$A,"&lt;"&amp;$J1945+7))</f>
        <v/>
      </c>
      <c r="J1945">
        <f>IF(COUNT('Hours Log'!$A$4:$A$5000)=0,"",IF(MIN('Hours Log'!$A$4:$A$5000)+7*(ROW()-10)&gt;MAX('Hours Log'!$A$4:$A$5000),"",MIN('Hours Log'!$A$4:$A$5000)+7*(ROW()-10)))</f>
        <v/>
      </c>
    </row>
    <row r="1946">
      <c r="A1946">
        <f>IF($J1946="","",YEAR($J1946-WEEKDAY($J1946,2)+4)&amp;"-W"&amp;TEXT(WEEKNUM($J1946,21),"00"))</f>
        <v/>
      </c>
      <c r="B1946" s="41">
        <f>IF($J1946="","",COUNTIFS(Roster!$D$4:$D$500,"Active",Roster!$C$4:$C$500,"&lt;="&amp;$J1946))</f>
        <v/>
      </c>
      <c r="C1946">
        <f>IF($J1946="","",SUMIFS('Hours Log'!$C:$C,'Hours Log'!$A:$A,"&gt;="&amp;$J1946,'Hours Log'!$A:$A,"&lt;"&amp;$J1946+7)+SUMIFS('Hours Log'!$D:$D,'Hours Log'!$A:$A,"&gt;="&amp;$J1946,'Hours Log'!$A:$A,"&lt;"&amp;$J1946+7))</f>
        <v/>
      </c>
      <c r="D1946">
        <f>IF($J1946="","",SUMIFS('Hours Log'!$D:$D,'Hours Log'!$A:$A,"&gt;="&amp;$J1946,'Hours Log'!$A:$A,"&lt;"&amp;$J1946+7))</f>
        <v/>
      </c>
      <c r="E1946">
        <f>IF($J1946="","",IFERROR(C1946/(B1946*40),0))</f>
        <v/>
      </c>
      <c r="F1946">
        <f>IF($J1946="","",0)</f>
        <v/>
      </c>
      <c r="G1946">
        <f>IF($J1946="","",SUMIFS('Hours Log'!$E:$E,'Hours Log'!$A:$A,"&gt;="&amp;$J1946,'Hours Log'!$A:$A,"&lt;"&amp;$J1946+7))</f>
        <v/>
      </c>
      <c r="J1946">
        <f>IF(COUNT('Hours Log'!$A$4:$A$5000)=0,"",IF(MIN('Hours Log'!$A$4:$A$5000)+7*(ROW()-10)&gt;MAX('Hours Log'!$A$4:$A$5000),"",MIN('Hours Log'!$A$4:$A$5000)+7*(ROW()-10)))</f>
        <v/>
      </c>
    </row>
    <row r="1947">
      <c r="A1947">
        <f>IF($J1947="","",YEAR($J1947-WEEKDAY($J1947,2)+4)&amp;"-W"&amp;TEXT(WEEKNUM($J1947,21),"00"))</f>
        <v/>
      </c>
      <c r="B1947" s="41">
        <f>IF($J1947="","",COUNTIFS(Roster!$D$4:$D$500,"Active",Roster!$C$4:$C$500,"&lt;="&amp;$J1947))</f>
        <v/>
      </c>
      <c r="C1947">
        <f>IF($J1947="","",SUMIFS('Hours Log'!$C:$C,'Hours Log'!$A:$A,"&gt;="&amp;$J1947,'Hours Log'!$A:$A,"&lt;"&amp;$J1947+7)+SUMIFS('Hours Log'!$D:$D,'Hours Log'!$A:$A,"&gt;="&amp;$J1947,'Hours Log'!$A:$A,"&lt;"&amp;$J1947+7))</f>
        <v/>
      </c>
      <c r="D1947">
        <f>IF($J1947="","",SUMIFS('Hours Log'!$D:$D,'Hours Log'!$A:$A,"&gt;="&amp;$J1947,'Hours Log'!$A:$A,"&lt;"&amp;$J1947+7))</f>
        <v/>
      </c>
      <c r="E1947">
        <f>IF($J1947="","",IFERROR(C1947/(B1947*40),0))</f>
        <v/>
      </c>
      <c r="F1947">
        <f>IF($J1947="","",0)</f>
        <v/>
      </c>
      <c r="G1947">
        <f>IF($J1947="","",SUMIFS('Hours Log'!$E:$E,'Hours Log'!$A:$A,"&gt;="&amp;$J1947,'Hours Log'!$A:$A,"&lt;"&amp;$J1947+7))</f>
        <v/>
      </c>
      <c r="J1947">
        <f>IF(COUNT('Hours Log'!$A$4:$A$5000)=0,"",IF(MIN('Hours Log'!$A$4:$A$5000)+7*(ROW()-10)&gt;MAX('Hours Log'!$A$4:$A$5000),"",MIN('Hours Log'!$A$4:$A$5000)+7*(ROW()-10)))</f>
        <v/>
      </c>
    </row>
    <row r="1948">
      <c r="A1948">
        <f>IF($J1948="","",YEAR($J1948-WEEKDAY($J1948,2)+4)&amp;"-W"&amp;TEXT(WEEKNUM($J1948,21),"00"))</f>
        <v/>
      </c>
      <c r="B1948" s="41">
        <f>IF($J1948="","",COUNTIFS(Roster!$D$4:$D$500,"Active",Roster!$C$4:$C$500,"&lt;="&amp;$J1948))</f>
        <v/>
      </c>
      <c r="C1948">
        <f>IF($J1948="","",SUMIFS('Hours Log'!$C:$C,'Hours Log'!$A:$A,"&gt;="&amp;$J1948,'Hours Log'!$A:$A,"&lt;"&amp;$J1948+7)+SUMIFS('Hours Log'!$D:$D,'Hours Log'!$A:$A,"&gt;="&amp;$J1948,'Hours Log'!$A:$A,"&lt;"&amp;$J1948+7))</f>
        <v/>
      </c>
      <c r="D1948">
        <f>IF($J1948="","",SUMIFS('Hours Log'!$D:$D,'Hours Log'!$A:$A,"&gt;="&amp;$J1948,'Hours Log'!$A:$A,"&lt;"&amp;$J1948+7))</f>
        <v/>
      </c>
      <c r="E1948">
        <f>IF($J1948="","",IFERROR(C1948/(B1948*40),0))</f>
        <v/>
      </c>
      <c r="F1948">
        <f>IF($J1948="","",0)</f>
        <v/>
      </c>
      <c r="G1948">
        <f>IF($J1948="","",SUMIFS('Hours Log'!$E:$E,'Hours Log'!$A:$A,"&gt;="&amp;$J1948,'Hours Log'!$A:$A,"&lt;"&amp;$J1948+7))</f>
        <v/>
      </c>
      <c r="J1948">
        <f>IF(COUNT('Hours Log'!$A$4:$A$5000)=0,"",IF(MIN('Hours Log'!$A$4:$A$5000)+7*(ROW()-10)&gt;MAX('Hours Log'!$A$4:$A$5000),"",MIN('Hours Log'!$A$4:$A$5000)+7*(ROW()-10)))</f>
        <v/>
      </c>
    </row>
    <row r="1949">
      <c r="A1949">
        <f>IF($J1949="","",YEAR($J1949-WEEKDAY($J1949,2)+4)&amp;"-W"&amp;TEXT(WEEKNUM($J1949,21),"00"))</f>
        <v/>
      </c>
      <c r="B1949" s="41">
        <f>IF($J1949="","",COUNTIFS(Roster!$D$4:$D$500,"Active",Roster!$C$4:$C$500,"&lt;="&amp;$J1949))</f>
        <v/>
      </c>
      <c r="C1949">
        <f>IF($J1949="","",SUMIFS('Hours Log'!$C:$C,'Hours Log'!$A:$A,"&gt;="&amp;$J1949,'Hours Log'!$A:$A,"&lt;"&amp;$J1949+7)+SUMIFS('Hours Log'!$D:$D,'Hours Log'!$A:$A,"&gt;="&amp;$J1949,'Hours Log'!$A:$A,"&lt;"&amp;$J1949+7))</f>
        <v/>
      </c>
      <c r="D1949">
        <f>IF($J1949="","",SUMIFS('Hours Log'!$D:$D,'Hours Log'!$A:$A,"&gt;="&amp;$J1949,'Hours Log'!$A:$A,"&lt;"&amp;$J1949+7))</f>
        <v/>
      </c>
      <c r="E1949">
        <f>IF($J1949="","",IFERROR(C1949/(B1949*40),0))</f>
        <v/>
      </c>
      <c r="F1949">
        <f>IF($J1949="","",0)</f>
        <v/>
      </c>
      <c r="G1949">
        <f>IF($J1949="","",SUMIFS('Hours Log'!$E:$E,'Hours Log'!$A:$A,"&gt;="&amp;$J1949,'Hours Log'!$A:$A,"&lt;"&amp;$J1949+7))</f>
        <v/>
      </c>
      <c r="J1949">
        <f>IF(COUNT('Hours Log'!$A$4:$A$5000)=0,"",IF(MIN('Hours Log'!$A$4:$A$5000)+7*(ROW()-10)&gt;MAX('Hours Log'!$A$4:$A$5000),"",MIN('Hours Log'!$A$4:$A$5000)+7*(ROW()-10)))</f>
        <v/>
      </c>
    </row>
    <row r="1950">
      <c r="A1950">
        <f>IF($J1950="","",YEAR($J1950-WEEKDAY($J1950,2)+4)&amp;"-W"&amp;TEXT(WEEKNUM($J1950,21),"00"))</f>
        <v/>
      </c>
      <c r="B1950" s="41">
        <f>IF($J1950="","",COUNTIFS(Roster!$D$4:$D$500,"Active",Roster!$C$4:$C$500,"&lt;="&amp;$J1950))</f>
        <v/>
      </c>
      <c r="C1950">
        <f>IF($J1950="","",SUMIFS('Hours Log'!$C:$C,'Hours Log'!$A:$A,"&gt;="&amp;$J1950,'Hours Log'!$A:$A,"&lt;"&amp;$J1950+7)+SUMIFS('Hours Log'!$D:$D,'Hours Log'!$A:$A,"&gt;="&amp;$J1950,'Hours Log'!$A:$A,"&lt;"&amp;$J1950+7))</f>
        <v/>
      </c>
      <c r="D1950">
        <f>IF($J1950="","",SUMIFS('Hours Log'!$D:$D,'Hours Log'!$A:$A,"&gt;="&amp;$J1950,'Hours Log'!$A:$A,"&lt;"&amp;$J1950+7))</f>
        <v/>
      </c>
      <c r="E1950">
        <f>IF($J1950="","",IFERROR(C1950/(B1950*40),0))</f>
        <v/>
      </c>
      <c r="F1950">
        <f>IF($J1950="","",0)</f>
        <v/>
      </c>
      <c r="G1950">
        <f>IF($J1950="","",SUMIFS('Hours Log'!$E:$E,'Hours Log'!$A:$A,"&gt;="&amp;$J1950,'Hours Log'!$A:$A,"&lt;"&amp;$J1950+7))</f>
        <v/>
      </c>
      <c r="J1950">
        <f>IF(COUNT('Hours Log'!$A$4:$A$5000)=0,"",IF(MIN('Hours Log'!$A$4:$A$5000)+7*(ROW()-10)&gt;MAX('Hours Log'!$A$4:$A$5000),"",MIN('Hours Log'!$A$4:$A$5000)+7*(ROW()-10)))</f>
        <v/>
      </c>
    </row>
    <row r="1951">
      <c r="A1951">
        <f>IF($J1951="","",YEAR($J1951-WEEKDAY($J1951,2)+4)&amp;"-W"&amp;TEXT(WEEKNUM($J1951,21),"00"))</f>
        <v/>
      </c>
      <c r="B1951" s="41">
        <f>IF($J1951="","",COUNTIFS(Roster!$D$4:$D$500,"Active",Roster!$C$4:$C$500,"&lt;="&amp;$J1951))</f>
        <v/>
      </c>
      <c r="C1951">
        <f>IF($J1951="","",SUMIFS('Hours Log'!$C:$C,'Hours Log'!$A:$A,"&gt;="&amp;$J1951,'Hours Log'!$A:$A,"&lt;"&amp;$J1951+7)+SUMIFS('Hours Log'!$D:$D,'Hours Log'!$A:$A,"&gt;="&amp;$J1951,'Hours Log'!$A:$A,"&lt;"&amp;$J1951+7))</f>
        <v/>
      </c>
      <c r="D1951">
        <f>IF($J1951="","",SUMIFS('Hours Log'!$D:$D,'Hours Log'!$A:$A,"&gt;="&amp;$J1951,'Hours Log'!$A:$A,"&lt;"&amp;$J1951+7))</f>
        <v/>
      </c>
      <c r="E1951">
        <f>IF($J1951="","",IFERROR(C1951/(B1951*40),0))</f>
        <v/>
      </c>
      <c r="F1951">
        <f>IF($J1951="","",0)</f>
        <v/>
      </c>
      <c r="G1951">
        <f>IF($J1951="","",SUMIFS('Hours Log'!$E:$E,'Hours Log'!$A:$A,"&gt;="&amp;$J1951,'Hours Log'!$A:$A,"&lt;"&amp;$J1951+7))</f>
        <v/>
      </c>
      <c r="J1951">
        <f>IF(COUNT('Hours Log'!$A$4:$A$5000)=0,"",IF(MIN('Hours Log'!$A$4:$A$5000)+7*(ROW()-10)&gt;MAX('Hours Log'!$A$4:$A$5000),"",MIN('Hours Log'!$A$4:$A$5000)+7*(ROW()-10)))</f>
        <v/>
      </c>
    </row>
    <row r="1952">
      <c r="A1952">
        <f>IF($J1952="","",YEAR($J1952-WEEKDAY($J1952,2)+4)&amp;"-W"&amp;TEXT(WEEKNUM($J1952,21),"00"))</f>
        <v/>
      </c>
      <c r="B1952" s="41">
        <f>IF($J1952="","",COUNTIFS(Roster!$D$4:$D$500,"Active",Roster!$C$4:$C$500,"&lt;="&amp;$J1952))</f>
        <v/>
      </c>
      <c r="C1952">
        <f>IF($J1952="","",SUMIFS('Hours Log'!$C:$C,'Hours Log'!$A:$A,"&gt;="&amp;$J1952,'Hours Log'!$A:$A,"&lt;"&amp;$J1952+7)+SUMIFS('Hours Log'!$D:$D,'Hours Log'!$A:$A,"&gt;="&amp;$J1952,'Hours Log'!$A:$A,"&lt;"&amp;$J1952+7))</f>
        <v/>
      </c>
      <c r="D1952">
        <f>IF($J1952="","",SUMIFS('Hours Log'!$D:$D,'Hours Log'!$A:$A,"&gt;="&amp;$J1952,'Hours Log'!$A:$A,"&lt;"&amp;$J1952+7))</f>
        <v/>
      </c>
      <c r="E1952">
        <f>IF($J1952="","",IFERROR(C1952/(B1952*40),0))</f>
        <v/>
      </c>
      <c r="F1952">
        <f>IF($J1952="","",0)</f>
        <v/>
      </c>
      <c r="G1952">
        <f>IF($J1952="","",SUMIFS('Hours Log'!$E:$E,'Hours Log'!$A:$A,"&gt;="&amp;$J1952,'Hours Log'!$A:$A,"&lt;"&amp;$J1952+7))</f>
        <v/>
      </c>
      <c r="J1952">
        <f>IF(COUNT('Hours Log'!$A$4:$A$5000)=0,"",IF(MIN('Hours Log'!$A$4:$A$5000)+7*(ROW()-10)&gt;MAX('Hours Log'!$A$4:$A$5000),"",MIN('Hours Log'!$A$4:$A$5000)+7*(ROW()-10)))</f>
        <v/>
      </c>
    </row>
    <row r="1953">
      <c r="A1953">
        <f>IF($J1953="","",YEAR($J1953-WEEKDAY($J1953,2)+4)&amp;"-W"&amp;TEXT(WEEKNUM($J1953,21),"00"))</f>
        <v/>
      </c>
      <c r="B1953" s="41">
        <f>IF($J1953="","",COUNTIFS(Roster!$D$4:$D$500,"Active",Roster!$C$4:$C$500,"&lt;="&amp;$J1953))</f>
        <v/>
      </c>
      <c r="C1953">
        <f>IF($J1953="","",SUMIFS('Hours Log'!$C:$C,'Hours Log'!$A:$A,"&gt;="&amp;$J1953,'Hours Log'!$A:$A,"&lt;"&amp;$J1953+7)+SUMIFS('Hours Log'!$D:$D,'Hours Log'!$A:$A,"&gt;="&amp;$J1953,'Hours Log'!$A:$A,"&lt;"&amp;$J1953+7))</f>
        <v/>
      </c>
      <c r="D1953">
        <f>IF($J1953="","",SUMIFS('Hours Log'!$D:$D,'Hours Log'!$A:$A,"&gt;="&amp;$J1953,'Hours Log'!$A:$A,"&lt;"&amp;$J1953+7))</f>
        <v/>
      </c>
      <c r="E1953">
        <f>IF($J1953="","",IFERROR(C1953/(B1953*40),0))</f>
        <v/>
      </c>
      <c r="F1953">
        <f>IF($J1953="","",0)</f>
        <v/>
      </c>
      <c r="G1953">
        <f>IF($J1953="","",SUMIFS('Hours Log'!$E:$E,'Hours Log'!$A:$A,"&gt;="&amp;$J1953,'Hours Log'!$A:$A,"&lt;"&amp;$J1953+7))</f>
        <v/>
      </c>
      <c r="J1953">
        <f>IF(COUNT('Hours Log'!$A$4:$A$5000)=0,"",IF(MIN('Hours Log'!$A$4:$A$5000)+7*(ROW()-10)&gt;MAX('Hours Log'!$A$4:$A$5000),"",MIN('Hours Log'!$A$4:$A$5000)+7*(ROW()-10)))</f>
        <v/>
      </c>
    </row>
    <row r="1954">
      <c r="A1954">
        <f>IF($J1954="","",YEAR($J1954-WEEKDAY($J1954,2)+4)&amp;"-W"&amp;TEXT(WEEKNUM($J1954,21),"00"))</f>
        <v/>
      </c>
      <c r="B1954" s="41">
        <f>IF($J1954="","",COUNTIFS(Roster!$D$4:$D$500,"Active",Roster!$C$4:$C$500,"&lt;="&amp;$J1954))</f>
        <v/>
      </c>
      <c r="C1954">
        <f>IF($J1954="","",SUMIFS('Hours Log'!$C:$C,'Hours Log'!$A:$A,"&gt;="&amp;$J1954,'Hours Log'!$A:$A,"&lt;"&amp;$J1954+7)+SUMIFS('Hours Log'!$D:$D,'Hours Log'!$A:$A,"&gt;="&amp;$J1954,'Hours Log'!$A:$A,"&lt;"&amp;$J1954+7))</f>
        <v/>
      </c>
      <c r="D1954">
        <f>IF($J1954="","",SUMIFS('Hours Log'!$D:$D,'Hours Log'!$A:$A,"&gt;="&amp;$J1954,'Hours Log'!$A:$A,"&lt;"&amp;$J1954+7))</f>
        <v/>
      </c>
      <c r="E1954">
        <f>IF($J1954="","",IFERROR(C1954/(B1954*40),0))</f>
        <v/>
      </c>
      <c r="F1954">
        <f>IF($J1954="","",0)</f>
        <v/>
      </c>
      <c r="G1954">
        <f>IF($J1954="","",SUMIFS('Hours Log'!$E:$E,'Hours Log'!$A:$A,"&gt;="&amp;$J1954,'Hours Log'!$A:$A,"&lt;"&amp;$J1954+7))</f>
        <v/>
      </c>
      <c r="J1954">
        <f>IF(COUNT('Hours Log'!$A$4:$A$5000)=0,"",IF(MIN('Hours Log'!$A$4:$A$5000)+7*(ROW()-10)&gt;MAX('Hours Log'!$A$4:$A$5000),"",MIN('Hours Log'!$A$4:$A$5000)+7*(ROW()-10)))</f>
        <v/>
      </c>
    </row>
    <row r="1955">
      <c r="A1955">
        <f>IF($J1955="","",YEAR($J1955-WEEKDAY($J1955,2)+4)&amp;"-W"&amp;TEXT(WEEKNUM($J1955,21),"00"))</f>
        <v/>
      </c>
      <c r="B1955" s="41">
        <f>IF($J1955="","",COUNTIFS(Roster!$D$4:$D$500,"Active",Roster!$C$4:$C$500,"&lt;="&amp;$J1955))</f>
        <v/>
      </c>
      <c r="C1955">
        <f>IF($J1955="","",SUMIFS('Hours Log'!$C:$C,'Hours Log'!$A:$A,"&gt;="&amp;$J1955,'Hours Log'!$A:$A,"&lt;"&amp;$J1955+7)+SUMIFS('Hours Log'!$D:$D,'Hours Log'!$A:$A,"&gt;="&amp;$J1955,'Hours Log'!$A:$A,"&lt;"&amp;$J1955+7))</f>
        <v/>
      </c>
      <c r="D1955">
        <f>IF($J1955="","",SUMIFS('Hours Log'!$D:$D,'Hours Log'!$A:$A,"&gt;="&amp;$J1955,'Hours Log'!$A:$A,"&lt;"&amp;$J1955+7))</f>
        <v/>
      </c>
      <c r="E1955">
        <f>IF($J1955="","",IFERROR(C1955/(B1955*40),0))</f>
        <v/>
      </c>
      <c r="F1955">
        <f>IF($J1955="","",0)</f>
        <v/>
      </c>
      <c r="G1955">
        <f>IF($J1955="","",SUMIFS('Hours Log'!$E:$E,'Hours Log'!$A:$A,"&gt;="&amp;$J1955,'Hours Log'!$A:$A,"&lt;"&amp;$J1955+7))</f>
        <v/>
      </c>
      <c r="J1955">
        <f>IF(COUNT('Hours Log'!$A$4:$A$5000)=0,"",IF(MIN('Hours Log'!$A$4:$A$5000)+7*(ROW()-10)&gt;MAX('Hours Log'!$A$4:$A$5000),"",MIN('Hours Log'!$A$4:$A$5000)+7*(ROW()-10)))</f>
        <v/>
      </c>
    </row>
    <row r="1956">
      <c r="A1956">
        <f>IF($J1956="","",YEAR($J1956-WEEKDAY($J1956,2)+4)&amp;"-W"&amp;TEXT(WEEKNUM($J1956,21),"00"))</f>
        <v/>
      </c>
      <c r="B1956" s="41">
        <f>IF($J1956="","",COUNTIFS(Roster!$D$4:$D$500,"Active",Roster!$C$4:$C$500,"&lt;="&amp;$J1956))</f>
        <v/>
      </c>
      <c r="C1956">
        <f>IF($J1956="","",SUMIFS('Hours Log'!$C:$C,'Hours Log'!$A:$A,"&gt;="&amp;$J1956,'Hours Log'!$A:$A,"&lt;"&amp;$J1956+7)+SUMIFS('Hours Log'!$D:$D,'Hours Log'!$A:$A,"&gt;="&amp;$J1956,'Hours Log'!$A:$A,"&lt;"&amp;$J1956+7))</f>
        <v/>
      </c>
      <c r="D1956">
        <f>IF($J1956="","",SUMIFS('Hours Log'!$D:$D,'Hours Log'!$A:$A,"&gt;="&amp;$J1956,'Hours Log'!$A:$A,"&lt;"&amp;$J1956+7))</f>
        <v/>
      </c>
      <c r="E1956">
        <f>IF($J1956="","",IFERROR(C1956/(B1956*40),0))</f>
        <v/>
      </c>
      <c r="F1956">
        <f>IF($J1956="","",0)</f>
        <v/>
      </c>
      <c r="G1956">
        <f>IF($J1956="","",SUMIFS('Hours Log'!$E:$E,'Hours Log'!$A:$A,"&gt;="&amp;$J1956,'Hours Log'!$A:$A,"&lt;"&amp;$J1956+7))</f>
        <v/>
      </c>
      <c r="J1956">
        <f>IF(COUNT('Hours Log'!$A$4:$A$5000)=0,"",IF(MIN('Hours Log'!$A$4:$A$5000)+7*(ROW()-10)&gt;MAX('Hours Log'!$A$4:$A$5000),"",MIN('Hours Log'!$A$4:$A$5000)+7*(ROW()-10)))</f>
        <v/>
      </c>
    </row>
    <row r="1957">
      <c r="A1957">
        <f>IF($J1957="","",YEAR($J1957-WEEKDAY($J1957,2)+4)&amp;"-W"&amp;TEXT(WEEKNUM($J1957,21),"00"))</f>
        <v/>
      </c>
      <c r="B1957" s="41">
        <f>IF($J1957="","",COUNTIFS(Roster!$D$4:$D$500,"Active",Roster!$C$4:$C$500,"&lt;="&amp;$J1957))</f>
        <v/>
      </c>
      <c r="C1957">
        <f>IF($J1957="","",SUMIFS('Hours Log'!$C:$C,'Hours Log'!$A:$A,"&gt;="&amp;$J1957,'Hours Log'!$A:$A,"&lt;"&amp;$J1957+7)+SUMIFS('Hours Log'!$D:$D,'Hours Log'!$A:$A,"&gt;="&amp;$J1957,'Hours Log'!$A:$A,"&lt;"&amp;$J1957+7))</f>
        <v/>
      </c>
      <c r="D1957">
        <f>IF($J1957="","",SUMIFS('Hours Log'!$D:$D,'Hours Log'!$A:$A,"&gt;="&amp;$J1957,'Hours Log'!$A:$A,"&lt;"&amp;$J1957+7))</f>
        <v/>
      </c>
      <c r="E1957">
        <f>IF($J1957="","",IFERROR(C1957/(B1957*40),0))</f>
        <v/>
      </c>
      <c r="F1957">
        <f>IF($J1957="","",0)</f>
        <v/>
      </c>
      <c r="G1957">
        <f>IF($J1957="","",SUMIFS('Hours Log'!$E:$E,'Hours Log'!$A:$A,"&gt;="&amp;$J1957,'Hours Log'!$A:$A,"&lt;"&amp;$J1957+7))</f>
        <v/>
      </c>
      <c r="J1957">
        <f>IF(COUNT('Hours Log'!$A$4:$A$5000)=0,"",IF(MIN('Hours Log'!$A$4:$A$5000)+7*(ROW()-10)&gt;MAX('Hours Log'!$A$4:$A$5000),"",MIN('Hours Log'!$A$4:$A$5000)+7*(ROW()-10)))</f>
        <v/>
      </c>
    </row>
    <row r="1958">
      <c r="A1958">
        <f>IF($J1958="","",YEAR($J1958-WEEKDAY($J1958,2)+4)&amp;"-W"&amp;TEXT(WEEKNUM($J1958,21),"00"))</f>
        <v/>
      </c>
      <c r="B1958" s="41">
        <f>IF($J1958="","",COUNTIFS(Roster!$D$4:$D$500,"Active",Roster!$C$4:$C$500,"&lt;="&amp;$J1958))</f>
        <v/>
      </c>
      <c r="C1958">
        <f>IF($J1958="","",SUMIFS('Hours Log'!$C:$C,'Hours Log'!$A:$A,"&gt;="&amp;$J1958,'Hours Log'!$A:$A,"&lt;"&amp;$J1958+7)+SUMIFS('Hours Log'!$D:$D,'Hours Log'!$A:$A,"&gt;="&amp;$J1958,'Hours Log'!$A:$A,"&lt;"&amp;$J1958+7))</f>
        <v/>
      </c>
      <c r="D1958">
        <f>IF($J1958="","",SUMIFS('Hours Log'!$D:$D,'Hours Log'!$A:$A,"&gt;="&amp;$J1958,'Hours Log'!$A:$A,"&lt;"&amp;$J1958+7))</f>
        <v/>
      </c>
      <c r="E1958">
        <f>IF($J1958="","",IFERROR(C1958/(B1958*40),0))</f>
        <v/>
      </c>
      <c r="F1958">
        <f>IF($J1958="","",0)</f>
        <v/>
      </c>
      <c r="G1958">
        <f>IF($J1958="","",SUMIFS('Hours Log'!$E:$E,'Hours Log'!$A:$A,"&gt;="&amp;$J1958,'Hours Log'!$A:$A,"&lt;"&amp;$J1958+7))</f>
        <v/>
      </c>
      <c r="J1958">
        <f>IF(COUNT('Hours Log'!$A$4:$A$5000)=0,"",IF(MIN('Hours Log'!$A$4:$A$5000)+7*(ROW()-10)&gt;MAX('Hours Log'!$A$4:$A$5000),"",MIN('Hours Log'!$A$4:$A$5000)+7*(ROW()-10)))</f>
        <v/>
      </c>
    </row>
    <row r="1959">
      <c r="A1959">
        <f>IF($J1959="","",YEAR($J1959-WEEKDAY($J1959,2)+4)&amp;"-W"&amp;TEXT(WEEKNUM($J1959,21),"00"))</f>
        <v/>
      </c>
      <c r="B1959" s="41">
        <f>IF($J1959="","",COUNTIFS(Roster!$D$4:$D$500,"Active",Roster!$C$4:$C$500,"&lt;="&amp;$J1959))</f>
        <v/>
      </c>
      <c r="C1959">
        <f>IF($J1959="","",SUMIFS('Hours Log'!$C:$C,'Hours Log'!$A:$A,"&gt;="&amp;$J1959,'Hours Log'!$A:$A,"&lt;"&amp;$J1959+7)+SUMIFS('Hours Log'!$D:$D,'Hours Log'!$A:$A,"&gt;="&amp;$J1959,'Hours Log'!$A:$A,"&lt;"&amp;$J1959+7))</f>
        <v/>
      </c>
      <c r="D1959">
        <f>IF($J1959="","",SUMIFS('Hours Log'!$D:$D,'Hours Log'!$A:$A,"&gt;="&amp;$J1959,'Hours Log'!$A:$A,"&lt;"&amp;$J1959+7))</f>
        <v/>
      </c>
      <c r="E1959">
        <f>IF($J1959="","",IFERROR(C1959/(B1959*40),0))</f>
        <v/>
      </c>
      <c r="F1959">
        <f>IF($J1959="","",0)</f>
        <v/>
      </c>
      <c r="G1959">
        <f>IF($J1959="","",SUMIFS('Hours Log'!$E:$E,'Hours Log'!$A:$A,"&gt;="&amp;$J1959,'Hours Log'!$A:$A,"&lt;"&amp;$J1959+7))</f>
        <v/>
      </c>
      <c r="J1959">
        <f>IF(COUNT('Hours Log'!$A$4:$A$5000)=0,"",IF(MIN('Hours Log'!$A$4:$A$5000)+7*(ROW()-10)&gt;MAX('Hours Log'!$A$4:$A$5000),"",MIN('Hours Log'!$A$4:$A$5000)+7*(ROW()-10)))</f>
        <v/>
      </c>
    </row>
    <row r="1960">
      <c r="A1960">
        <f>IF($J1960="","",YEAR($J1960-WEEKDAY($J1960,2)+4)&amp;"-W"&amp;TEXT(WEEKNUM($J1960,21),"00"))</f>
        <v/>
      </c>
      <c r="B1960" s="41">
        <f>IF($J1960="","",COUNTIFS(Roster!$D$4:$D$500,"Active",Roster!$C$4:$C$500,"&lt;="&amp;$J1960))</f>
        <v/>
      </c>
      <c r="C1960">
        <f>IF($J1960="","",SUMIFS('Hours Log'!$C:$C,'Hours Log'!$A:$A,"&gt;="&amp;$J1960,'Hours Log'!$A:$A,"&lt;"&amp;$J1960+7)+SUMIFS('Hours Log'!$D:$D,'Hours Log'!$A:$A,"&gt;="&amp;$J1960,'Hours Log'!$A:$A,"&lt;"&amp;$J1960+7))</f>
        <v/>
      </c>
      <c r="D1960">
        <f>IF($J1960="","",SUMIFS('Hours Log'!$D:$D,'Hours Log'!$A:$A,"&gt;="&amp;$J1960,'Hours Log'!$A:$A,"&lt;"&amp;$J1960+7))</f>
        <v/>
      </c>
      <c r="E1960">
        <f>IF($J1960="","",IFERROR(C1960/(B1960*40),0))</f>
        <v/>
      </c>
      <c r="F1960">
        <f>IF($J1960="","",0)</f>
        <v/>
      </c>
      <c r="G1960">
        <f>IF($J1960="","",SUMIFS('Hours Log'!$E:$E,'Hours Log'!$A:$A,"&gt;="&amp;$J1960,'Hours Log'!$A:$A,"&lt;"&amp;$J1960+7))</f>
        <v/>
      </c>
      <c r="J1960">
        <f>IF(COUNT('Hours Log'!$A$4:$A$5000)=0,"",IF(MIN('Hours Log'!$A$4:$A$5000)+7*(ROW()-10)&gt;MAX('Hours Log'!$A$4:$A$5000),"",MIN('Hours Log'!$A$4:$A$5000)+7*(ROW()-10)))</f>
        <v/>
      </c>
    </row>
    <row r="1961">
      <c r="A1961">
        <f>IF($J1961="","",YEAR($J1961-WEEKDAY($J1961,2)+4)&amp;"-W"&amp;TEXT(WEEKNUM($J1961,21),"00"))</f>
        <v/>
      </c>
      <c r="B1961" s="41">
        <f>IF($J1961="","",COUNTIFS(Roster!$D$4:$D$500,"Active",Roster!$C$4:$C$500,"&lt;="&amp;$J1961))</f>
        <v/>
      </c>
      <c r="C1961">
        <f>IF($J1961="","",SUMIFS('Hours Log'!$C:$C,'Hours Log'!$A:$A,"&gt;="&amp;$J1961,'Hours Log'!$A:$A,"&lt;"&amp;$J1961+7)+SUMIFS('Hours Log'!$D:$D,'Hours Log'!$A:$A,"&gt;="&amp;$J1961,'Hours Log'!$A:$A,"&lt;"&amp;$J1961+7))</f>
        <v/>
      </c>
      <c r="D1961">
        <f>IF($J1961="","",SUMIFS('Hours Log'!$D:$D,'Hours Log'!$A:$A,"&gt;="&amp;$J1961,'Hours Log'!$A:$A,"&lt;"&amp;$J1961+7))</f>
        <v/>
      </c>
      <c r="E1961">
        <f>IF($J1961="","",IFERROR(C1961/(B1961*40),0))</f>
        <v/>
      </c>
      <c r="F1961">
        <f>IF($J1961="","",0)</f>
        <v/>
      </c>
      <c r="G1961">
        <f>IF($J1961="","",SUMIFS('Hours Log'!$E:$E,'Hours Log'!$A:$A,"&gt;="&amp;$J1961,'Hours Log'!$A:$A,"&lt;"&amp;$J1961+7))</f>
        <v/>
      </c>
      <c r="J1961">
        <f>IF(COUNT('Hours Log'!$A$4:$A$5000)=0,"",IF(MIN('Hours Log'!$A$4:$A$5000)+7*(ROW()-10)&gt;MAX('Hours Log'!$A$4:$A$5000),"",MIN('Hours Log'!$A$4:$A$5000)+7*(ROW()-10)))</f>
        <v/>
      </c>
    </row>
    <row r="1962">
      <c r="A1962">
        <f>IF($J1962="","",YEAR($J1962-WEEKDAY($J1962,2)+4)&amp;"-W"&amp;TEXT(WEEKNUM($J1962,21),"00"))</f>
        <v/>
      </c>
      <c r="B1962" s="41">
        <f>IF($J1962="","",COUNTIFS(Roster!$D$4:$D$500,"Active",Roster!$C$4:$C$500,"&lt;="&amp;$J1962))</f>
        <v/>
      </c>
      <c r="C1962">
        <f>IF($J1962="","",SUMIFS('Hours Log'!$C:$C,'Hours Log'!$A:$A,"&gt;="&amp;$J1962,'Hours Log'!$A:$A,"&lt;"&amp;$J1962+7)+SUMIFS('Hours Log'!$D:$D,'Hours Log'!$A:$A,"&gt;="&amp;$J1962,'Hours Log'!$A:$A,"&lt;"&amp;$J1962+7))</f>
        <v/>
      </c>
      <c r="D1962">
        <f>IF($J1962="","",SUMIFS('Hours Log'!$D:$D,'Hours Log'!$A:$A,"&gt;="&amp;$J1962,'Hours Log'!$A:$A,"&lt;"&amp;$J1962+7))</f>
        <v/>
      </c>
      <c r="E1962">
        <f>IF($J1962="","",IFERROR(C1962/(B1962*40),0))</f>
        <v/>
      </c>
      <c r="F1962">
        <f>IF($J1962="","",0)</f>
        <v/>
      </c>
      <c r="G1962">
        <f>IF($J1962="","",SUMIFS('Hours Log'!$E:$E,'Hours Log'!$A:$A,"&gt;="&amp;$J1962,'Hours Log'!$A:$A,"&lt;"&amp;$J1962+7))</f>
        <v/>
      </c>
      <c r="J1962">
        <f>IF(COUNT('Hours Log'!$A$4:$A$5000)=0,"",IF(MIN('Hours Log'!$A$4:$A$5000)+7*(ROW()-10)&gt;MAX('Hours Log'!$A$4:$A$5000),"",MIN('Hours Log'!$A$4:$A$5000)+7*(ROW()-10)))</f>
        <v/>
      </c>
    </row>
    <row r="1963">
      <c r="A1963">
        <f>IF($J1963="","",YEAR($J1963-WEEKDAY($J1963,2)+4)&amp;"-W"&amp;TEXT(WEEKNUM($J1963,21),"00"))</f>
        <v/>
      </c>
      <c r="B1963" s="41">
        <f>IF($J1963="","",COUNTIFS(Roster!$D$4:$D$500,"Active",Roster!$C$4:$C$500,"&lt;="&amp;$J1963))</f>
        <v/>
      </c>
      <c r="C1963">
        <f>IF($J1963="","",SUMIFS('Hours Log'!$C:$C,'Hours Log'!$A:$A,"&gt;="&amp;$J1963,'Hours Log'!$A:$A,"&lt;"&amp;$J1963+7)+SUMIFS('Hours Log'!$D:$D,'Hours Log'!$A:$A,"&gt;="&amp;$J1963,'Hours Log'!$A:$A,"&lt;"&amp;$J1963+7))</f>
        <v/>
      </c>
      <c r="D1963">
        <f>IF($J1963="","",SUMIFS('Hours Log'!$D:$D,'Hours Log'!$A:$A,"&gt;="&amp;$J1963,'Hours Log'!$A:$A,"&lt;"&amp;$J1963+7))</f>
        <v/>
      </c>
      <c r="E1963">
        <f>IF($J1963="","",IFERROR(C1963/(B1963*40),0))</f>
        <v/>
      </c>
      <c r="F1963">
        <f>IF($J1963="","",0)</f>
        <v/>
      </c>
      <c r="G1963">
        <f>IF($J1963="","",SUMIFS('Hours Log'!$E:$E,'Hours Log'!$A:$A,"&gt;="&amp;$J1963,'Hours Log'!$A:$A,"&lt;"&amp;$J1963+7))</f>
        <v/>
      </c>
      <c r="J1963">
        <f>IF(COUNT('Hours Log'!$A$4:$A$5000)=0,"",IF(MIN('Hours Log'!$A$4:$A$5000)+7*(ROW()-10)&gt;MAX('Hours Log'!$A$4:$A$5000),"",MIN('Hours Log'!$A$4:$A$5000)+7*(ROW()-10)))</f>
        <v/>
      </c>
    </row>
    <row r="1964">
      <c r="A1964">
        <f>IF($J1964="","",YEAR($J1964-WEEKDAY($J1964,2)+4)&amp;"-W"&amp;TEXT(WEEKNUM($J1964,21),"00"))</f>
        <v/>
      </c>
      <c r="B1964" s="41">
        <f>IF($J1964="","",COUNTIFS(Roster!$D$4:$D$500,"Active",Roster!$C$4:$C$500,"&lt;="&amp;$J1964))</f>
        <v/>
      </c>
      <c r="C1964">
        <f>IF($J1964="","",SUMIFS('Hours Log'!$C:$C,'Hours Log'!$A:$A,"&gt;="&amp;$J1964,'Hours Log'!$A:$A,"&lt;"&amp;$J1964+7)+SUMIFS('Hours Log'!$D:$D,'Hours Log'!$A:$A,"&gt;="&amp;$J1964,'Hours Log'!$A:$A,"&lt;"&amp;$J1964+7))</f>
        <v/>
      </c>
      <c r="D1964">
        <f>IF($J1964="","",SUMIFS('Hours Log'!$D:$D,'Hours Log'!$A:$A,"&gt;="&amp;$J1964,'Hours Log'!$A:$A,"&lt;"&amp;$J1964+7))</f>
        <v/>
      </c>
      <c r="E1964">
        <f>IF($J1964="","",IFERROR(C1964/(B1964*40),0))</f>
        <v/>
      </c>
      <c r="F1964">
        <f>IF($J1964="","",0)</f>
        <v/>
      </c>
      <c r="G1964">
        <f>IF($J1964="","",SUMIFS('Hours Log'!$E:$E,'Hours Log'!$A:$A,"&gt;="&amp;$J1964,'Hours Log'!$A:$A,"&lt;"&amp;$J1964+7))</f>
        <v/>
      </c>
      <c r="J1964">
        <f>IF(COUNT('Hours Log'!$A$4:$A$5000)=0,"",IF(MIN('Hours Log'!$A$4:$A$5000)+7*(ROW()-10)&gt;MAX('Hours Log'!$A$4:$A$5000),"",MIN('Hours Log'!$A$4:$A$5000)+7*(ROW()-10)))</f>
        <v/>
      </c>
    </row>
    <row r="1965">
      <c r="A1965">
        <f>IF($J1965="","",YEAR($J1965-WEEKDAY($J1965,2)+4)&amp;"-W"&amp;TEXT(WEEKNUM($J1965,21),"00"))</f>
        <v/>
      </c>
      <c r="B1965" s="41">
        <f>IF($J1965="","",COUNTIFS(Roster!$D$4:$D$500,"Active",Roster!$C$4:$C$500,"&lt;="&amp;$J1965))</f>
        <v/>
      </c>
      <c r="C1965">
        <f>IF($J1965="","",SUMIFS('Hours Log'!$C:$C,'Hours Log'!$A:$A,"&gt;="&amp;$J1965,'Hours Log'!$A:$A,"&lt;"&amp;$J1965+7)+SUMIFS('Hours Log'!$D:$D,'Hours Log'!$A:$A,"&gt;="&amp;$J1965,'Hours Log'!$A:$A,"&lt;"&amp;$J1965+7))</f>
        <v/>
      </c>
      <c r="D1965">
        <f>IF($J1965="","",SUMIFS('Hours Log'!$D:$D,'Hours Log'!$A:$A,"&gt;="&amp;$J1965,'Hours Log'!$A:$A,"&lt;"&amp;$J1965+7))</f>
        <v/>
      </c>
      <c r="E1965">
        <f>IF($J1965="","",IFERROR(C1965/(B1965*40),0))</f>
        <v/>
      </c>
      <c r="F1965">
        <f>IF($J1965="","",0)</f>
        <v/>
      </c>
      <c r="G1965">
        <f>IF($J1965="","",SUMIFS('Hours Log'!$E:$E,'Hours Log'!$A:$A,"&gt;="&amp;$J1965,'Hours Log'!$A:$A,"&lt;"&amp;$J1965+7))</f>
        <v/>
      </c>
      <c r="J1965">
        <f>IF(COUNT('Hours Log'!$A$4:$A$5000)=0,"",IF(MIN('Hours Log'!$A$4:$A$5000)+7*(ROW()-10)&gt;MAX('Hours Log'!$A$4:$A$5000),"",MIN('Hours Log'!$A$4:$A$5000)+7*(ROW()-10)))</f>
        <v/>
      </c>
    </row>
    <row r="1966">
      <c r="A1966">
        <f>IF($J1966="","",YEAR($J1966-WEEKDAY($J1966,2)+4)&amp;"-W"&amp;TEXT(WEEKNUM($J1966,21),"00"))</f>
        <v/>
      </c>
      <c r="B1966" s="41">
        <f>IF($J1966="","",COUNTIFS(Roster!$D$4:$D$500,"Active",Roster!$C$4:$C$500,"&lt;="&amp;$J1966))</f>
        <v/>
      </c>
      <c r="C1966">
        <f>IF($J1966="","",SUMIFS('Hours Log'!$C:$C,'Hours Log'!$A:$A,"&gt;="&amp;$J1966,'Hours Log'!$A:$A,"&lt;"&amp;$J1966+7)+SUMIFS('Hours Log'!$D:$D,'Hours Log'!$A:$A,"&gt;="&amp;$J1966,'Hours Log'!$A:$A,"&lt;"&amp;$J1966+7))</f>
        <v/>
      </c>
      <c r="D1966">
        <f>IF($J1966="","",SUMIFS('Hours Log'!$D:$D,'Hours Log'!$A:$A,"&gt;="&amp;$J1966,'Hours Log'!$A:$A,"&lt;"&amp;$J1966+7))</f>
        <v/>
      </c>
      <c r="E1966">
        <f>IF($J1966="","",IFERROR(C1966/(B1966*40),0))</f>
        <v/>
      </c>
      <c r="F1966">
        <f>IF($J1966="","",0)</f>
        <v/>
      </c>
      <c r="G1966">
        <f>IF($J1966="","",SUMIFS('Hours Log'!$E:$E,'Hours Log'!$A:$A,"&gt;="&amp;$J1966,'Hours Log'!$A:$A,"&lt;"&amp;$J1966+7))</f>
        <v/>
      </c>
      <c r="J1966">
        <f>IF(COUNT('Hours Log'!$A$4:$A$5000)=0,"",IF(MIN('Hours Log'!$A$4:$A$5000)+7*(ROW()-10)&gt;MAX('Hours Log'!$A$4:$A$5000),"",MIN('Hours Log'!$A$4:$A$5000)+7*(ROW()-10)))</f>
        <v/>
      </c>
    </row>
    <row r="1967">
      <c r="A1967">
        <f>IF($J1967="","",YEAR($J1967-WEEKDAY($J1967,2)+4)&amp;"-W"&amp;TEXT(WEEKNUM($J1967,21),"00"))</f>
        <v/>
      </c>
      <c r="B1967" s="41">
        <f>IF($J1967="","",COUNTIFS(Roster!$D$4:$D$500,"Active",Roster!$C$4:$C$500,"&lt;="&amp;$J1967))</f>
        <v/>
      </c>
      <c r="C1967">
        <f>IF($J1967="","",SUMIFS('Hours Log'!$C:$C,'Hours Log'!$A:$A,"&gt;="&amp;$J1967,'Hours Log'!$A:$A,"&lt;"&amp;$J1967+7)+SUMIFS('Hours Log'!$D:$D,'Hours Log'!$A:$A,"&gt;="&amp;$J1967,'Hours Log'!$A:$A,"&lt;"&amp;$J1967+7))</f>
        <v/>
      </c>
      <c r="D1967">
        <f>IF($J1967="","",SUMIFS('Hours Log'!$D:$D,'Hours Log'!$A:$A,"&gt;="&amp;$J1967,'Hours Log'!$A:$A,"&lt;"&amp;$J1967+7))</f>
        <v/>
      </c>
      <c r="E1967">
        <f>IF($J1967="","",IFERROR(C1967/(B1967*40),0))</f>
        <v/>
      </c>
      <c r="F1967">
        <f>IF($J1967="","",0)</f>
        <v/>
      </c>
      <c r="G1967">
        <f>IF($J1967="","",SUMIFS('Hours Log'!$E:$E,'Hours Log'!$A:$A,"&gt;="&amp;$J1967,'Hours Log'!$A:$A,"&lt;"&amp;$J1967+7))</f>
        <v/>
      </c>
      <c r="J1967">
        <f>IF(COUNT('Hours Log'!$A$4:$A$5000)=0,"",IF(MIN('Hours Log'!$A$4:$A$5000)+7*(ROW()-10)&gt;MAX('Hours Log'!$A$4:$A$5000),"",MIN('Hours Log'!$A$4:$A$5000)+7*(ROW()-10)))</f>
        <v/>
      </c>
    </row>
    <row r="1968">
      <c r="A1968">
        <f>IF($J1968="","",YEAR($J1968-WEEKDAY($J1968,2)+4)&amp;"-W"&amp;TEXT(WEEKNUM($J1968,21),"00"))</f>
        <v/>
      </c>
      <c r="B1968" s="41">
        <f>IF($J1968="","",COUNTIFS(Roster!$D$4:$D$500,"Active",Roster!$C$4:$C$500,"&lt;="&amp;$J1968))</f>
        <v/>
      </c>
      <c r="C1968">
        <f>IF($J1968="","",SUMIFS('Hours Log'!$C:$C,'Hours Log'!$A:$A,"&gt;="&amp;$J1968,'Hours Log'!$A:$A,"&lt;"&amp;$J1968+7)+SUMIFS('Hours Log'!$D:$D,'Hours Log'!$A:$A,"&gt;="&amp;$J1968,'Hours Log'!$A:$A,"&lt;"&amp;$J1968+7))</f>
        <v/>
      </c>
      <c r="D1968">
        <f>IF($J1968="","",SUMIFS('Hours Log'!$D:$D,'Hours Log'!$A:$A,"&gt;="&amp;$J1968,'Hours Log'!$A:$A,"&lt;"&amp;$J1968+7))</f>
        <v/>
      </c>
      <c r="E1968">
        <f>IF($J1968="","",IFERROR(C1968/(B1968*40),0))</f>
        <v/>
      </c>
      <c r="F1968">
        <f>IF($J1968="","",0)</f>
        <v/>
      </c>
      <c r="G1968">
        <f>IF($J1968="","",SUMIFS('Hours Log'!$E:$E,'Hours Log'!$A:$A,"&gt;="&amp;$J1968,'Hours Log'!$A:$A,"&lt;"&amp;$J1968+7))</f>
        <v/>
      </c>
      <c r="J1968">
        <f>IF(COUNT('Hours Log'!$A$4:$A$5000)=0,"",IF(MIN('Hours Log'!$A$4:$A$5000)+7*(ROW()-10)&gt;MAX('Hours Log'!$A$4:$A$5000),"",MIN('Hours Log'!$A$4:$A$5000)+7*(ROW()-10)))</f>
        <v/>
      </c>
    </row>
    <row r="1969">
      <c r="A1969">
        <f>IF($J1969="","",YEAR($J1969-WEEKDAY($J1969,2)+4)&amp;"-W"&amp;TEXT(WEEKNUM($J1969,21),"00"))</f>
        <v/>
      </c>
      <c r="B1969" s="41">
        <f>IF($J1969="","",COUNTIFS(Roster!$D$4:$D$500,"Active",Roster!$C$4:$C$500,"&lt;="&amp;$J1969))</f>
        <v/>
      </c>
      <c r="C1969">
        <f>IF($J1969="","",SUMIFS('Hours Log'!$C:$C,'Hours Log'!$A:$A,"&gt;="&amp;$J1969,'Hours Log'!$A:$A,"&lt;"&amp;$J1969+7)+SUMIFS('Hours Log'!$D:$D,'Hours Log'!$A:$A,"&gt;="&amp;$J1969,'Hours Log'!$A:$A,"&lt;"&amp;$J1969+7))</f>
        <v/>
      </c>
      <c r="D1969">
        <f>IF($J1969="","",SUMIFS('Hours Log'!$D:$D,'Hours Log'!$A:$A,"&gt;="&amp;$J1969,'Hours Log'!$A:$A,"&lt;"&amp;$J1969+7))</f>
        <v/>
      </c>
      <c r="E1969">
        <f>IF($J1969="","",IFERROR(C1969/(B1969*40),0))</f>
        <v/>
      </c>
      <c r="F1969">
        <f>IF($J1969="","",0)</f>
        <v/>
      </c>
      <c r="G1969">
        <f>IF($J1969="","",SUMIFS('Hours Log'!$E:$E,'Hours Log'!$A:$A,"&gt;="&amp;$J1969,'Hours Log'!$A:$A,"&lt;"&amp;$J1969+7))</f>
        <v/>
      </c>
      <c r="J1969">
        <f>IF(COUNT('Hours Log'!$A$4:$A$5000)=0,"",IF(MIN('Hours Log'!$A$4:$A$5000)+7*(ROW()-10)&gt;MAX('Hours Log'!$A$4:$A$5000),"",MIN('Hours Log'!$A$4:$A$5000)+7*(ROW()-10)))</f>
        <v/>
      </c>
    </row>
    <row r="1970">
      <c r="A1970">
        <f>IF($J1970="","",YEAR($J1970-WEEKDAY($J1970,2)+4)&amp;"-W"&amp;TEXT(WEEKNUM($J1970,21),"00"))</f>
        <v/>
      </c>
      <c r="B1970" s="41">
        <f>IF($J1970="","",COUNTIFS(Roster!$D$4:$D$500,"Active",Roster!$C$4:$C$500,"&lt;="&amp;$J1970))</f>
        <v/>
      </c>
      <c r="C1970">
        <f>IF($J1970="","",SUMIFS('Hours Log'!$C:$C,'Hours Log'!$A:$A,"&gt;="&amp;$J1970,'Hours Log'!$A:$A,"&lt;"&amp;$J1970+7)+SUMIFS('Hours Log'!$D:$D,'Hours Log'!$A:$A,"&gt;="&amp;$J1970,'Hours Log'!$A:$A,"&lt;"&amp;$J1970+7))</f>
        <v/>
      </c>
      <c r="D1970">
        <f>IF($J1970="","",SUMIFS('Hours Log'!$D:$D,'Hours Log'!$A:$A,"&gt;="&amp;$J1970,'Hours Log'!$A:$A,"&lt;"&amp;$J1970+7))</f>
        <v/>
      </c>
      <c r="E1970">
        <f>IF($J1970="","",IFERROR(C1970/(B1970*40),0))</f>
        <v/>
      </c>
      <c r="F1970">
        <f>IF($J1970="","",0)</f>
        <v/>
      </c>
      <c r="G1970">
        <f>IF($J1970="","",SUMIFS('Hours Log'!$E:$E,'Hours Log'!$A:$A,"&gt;="&amp;$J1970,'Hours Log'!$A:$A,"&lt;"&amp;$J1970+7))</f>
        <v/>
      </c>
      <c r="J1970">
        <f>IF(COUNT('Hours Log'!$A$4:$A$5000)=0,"",IF(MIN('Hours Log'!$A$4:$A$5000)+7*(ROW()-10)&gt;MAX('Hours Log'!$A$4:$A$5000),"",MIN('Hours Log'!$A$4:$A$5000)+7*(ROW()-10)))</f>
        <v/>
      </c>
    </row>
    <row r="1971">
      <c r="A1971">
        <f>IF($J1971="","",YEAR($J1971-WEEKDAY($J1971,2)+4)&amp;"-W"&amp;TEXT(WEEKNUM($J1971,21),"00"))</f>
        <v/>
      </c>
      <c r="B1971" s="41">
        <f>IF($J1971="","",COUNTIFS(Roster!$D$4:$D$500,"Active",Roster!$C$4:$C$500,"&lt;="&amp;$J1971))</f>
        <v/>
      </c>
      <c r="C1971">
        <f>IF($J1971="","",SUMIFS('Hours Log'!$C:$C,'Hours Log'!$A:$A,"&gt;="&amp;$J1971,'Hours Log'!$A:$A,"&lt;"&amp;$J1971+7)+SUMIFS('Hours Log'!$D:$D,'Hours Log'!$A:$A,"&gt;="&amp;$J1971,'Hours Log'!$A:$A,"&lt;"&amp;$J1971+7))</f>
        <v/>
      </c>
      <c r="D1971">
        <f>IF($J1971="","",SUMIFS('Hours Log'!$D:$D,'Hours Log'!$A:$A,"&gt;="&amp;$J1971,'Hours Log'!$A:$A,"&lt;"&amp;$J1971+7))</f>
        <v/>
      </c>
      <c r="E1971">
        <f>IF($J1971="","",IFERROR(C1971/(B1971*40),0))</f>
        <v/>
      </c>
      <c r="F1971">
        <f>IF($J1971="","",0)</f>
        <v/>
      </c>
      <c r="G1971">
        <f>IF($J1971="","",SUMIFS('Hours Log'!$E:$E,'Hours Log'!$A:$A,"&gt;="&amp;$J1971,'Hours Log'!$A:$A,"&lt;"&amp;$J1971+7))</f>
        <v/>
      </c>
      <c r="J1971">
        <f>IF(COUNT('Hours Log'!$A$4:$A$5000)=0,"",IF(MIN('Hours Log'!$A$4:$A$5000)+7*(ROW()-10)&gt;MAX('Hours Log'!$A$4:$A$5000),"",MIN('Hours Log'!$A$4:$A$5000)+7*(ROW()-10)))</f>
        <v/>
      </c>
    </row>
    <row r="1972">
      <c r="A1972">
        <f>IF($J1972="","",YEAR($J1972-WEEKDAY($J1972,2)+4)&amp;"-W"&amp;TEXT(WEEKNUM($J1972,21),"00"))</f>
        <v/>
      </c>
      <c r="B1972" s="41">
        <f>IF($J1972="","",COUNTIFS(Roster!$D$4:$D$500,"Active",Roster!$C$4:$C$500,"&lt;="&amp;$J1972))</f>
        <v/>
      </c>
      <c r="C1972">
        <f>IF($J1972="","",SUMIFS('Hours Log'!$C:$C,'Hours Log'!$A:$A,"&gt;="&amp;$J1972,'Hours Log'!$A:$A,"&lt;"&amp;$J1972+7)+SUMIFS('Hours Log'!$D:$D,'Hours Log'!$A:$A,"&gt;="&amp;$J1972,'Hours Log'!$A:$A,"&lt;"&amp;$J1972+7))</f>
        <v/>
      </c>
      <c r="D1972">
        <f>IF($J1972="","",SUMIFS('Hours Log'!$D:$D,'Hours Log'!$A:$A,"&gt;="&amp;$J1972,'Hours Log'!$A:$A,"&lt;"&amp;$J1972+7))</f>
        <v/>
      </c>
      <c r="E1972">
        <f>IF($J1972="","",IFERROR(C1972/(B1972*40),0))</f>
        <v/>
      </c>
      <c r="F1972">
        <f>IF($J1972="","",0)</f>
        <v/>
      </c>
      <c r="G1972">
        <f>IF($J1972="","",SUMIFS('Hours Log'!$E:$E,'Hours Log'!$A:$A,"&gt;="&amp;$J1972,'Hours Log'!$A:$A,"&lt;"&amp;$J1972+7))</f>
        <v/>
      </c>
      <c r="J1972">
        <f>IF(COUNT('Hours Log'!$A$4:$A$5000)=0,"",IF(MIN('Hours Log'!$A$4:$A$5000)+7*(ROW()-10)&gt;MAX('Hours Log'!$A$4:$A$5000),"",MIN('Hours Log'!$A$4:$A$5000)+7*(ROW()-10)))</f>
        <v/>
      </c>
    </row>
    <row r="1973">
      <c r="A1973">
        <f>IF($J1973="","",YEAR($J1973-WEEKDAY($J1973,2)+4)&amp;"-W"&amp;TEXT(WEEKNUM($J1973,21),"00"))</f>
        <v/>
      </c>
      <c r="B1973" s="41">
        <f>IF($J1973="","",COUNTIFS(Roster!$D$4:$D$500,"Active",Roster!$C$4:$C$500,"&lt;="&amp;$J1973))</f>
        <v/>
      </c>
      <c r="C1973">
        <f>IF($J1973="","",SUMIFS('Hours Log'!$C:$C,'Hours Log'!$A:$A,"&gt;="&amp;$J1973,'Hours Log'!$A:$A,"&lt;"&amp;$J1973+7)+SUMIFS('Hours Log'!$D:$D,'Hours Log'!$A:$A,"&gt;="&amp;$J1973,'Hours Log'!$A:$A,"&lt;"&amp;$J1973+7))</f>
        <v/>
      </c>
      <c r="D1973">
        <f>IF($J1973="","",SUMIFS('Hours Log'!$D:$D,'Hours Log'!$A:$A,"&gt;="&amp;$J1973,'Hours Log'!$A:$A,"&lt;"&amp;$J1973+7))</f>
        <v/>
      </c>
      <c r="E1973">
        <f>IF($J1973="","",IFERROR(C1973/(B1973*40),0))</f>
        <v/>
      </c>
      <c r="F1973">
        <f>IF($J1973="","",0)</f>
        <v/>
      </c>
      <c r="G1973">
        <f>IF($J1973="","",SUMIFS('Hours Log'!$E:$E,'Hours Log'!$A:$A,"&gt;="&amp;$J1973,'Hours Log'!$A:$A,"&lt;"&amp;$J1973+7))</f>
        <v/>
      </c>
      <c r="J1973">
        <f>IF(COUNT('Hours Log'!$A$4:$A$5000)=0,"",IF(MIN('Hours Log'!$A$4:$A$5000)+7*(ROW()-10)&gt;MAX('Hours Log'!$A$4:$A$5000),"",MIN('Hours Log'!$A$4:$A$5000)+7*(ROW()-10)))</f>
        <v/>
      </c>
    </row>
    <row r="1974">
      <c r="A1974">
        <f>IF($J1974="","",YEAR($J1974-WEEKDAY($J1974,2)+4)&amp;"-W"&amp;TEXT(WEEKNUM($J1974,21),"00"))</f>
        <v/>
      </c>
      <c r="B1974" s="41">
        <f>IF($J1974="","",COUNTIFS(Roster!$D$4:$D$500,"Active",Roster!$C$4:$C$500,"&lt;="&amp;$J1974))</f>
        <v/>
      </c>
      <c r="C1974">
        <f>IF($J1974="","",SUMIFS('Hours Log'!$C:$C,'Hours Log'!$A:$A,"&gt;="&amp;$J1974,'Hours Log'!$A:$A,"&lt;"&amp;$J1974+7)+SUMIFS('Hours Log'!$D:$D,'Hours Log'!$A:$A,"&gt;="&amp;$J1974,'Hours Log'!$A:$A,"&lt;"&amp;$J1974+7))</f>
        <v/>
      </c>
      <c r="D1974">
        <f>IF($J1974="","",SUMIFS('Hours Log'!$D:$D,'Hours Log'!$A:$A,"&gt;="&amp;$J1974,'Hours Log'!$A:$A,"&lt;"&amp;$J1974+7))</f>
        <v/>
      </c>
      <c r="E1974">
        <f>IF($J1974="","",IFERROR(C1974/(B1974*40),0))</f>
        <v/>
      </c>
      <c r="F1974">
        <f>IF($J1974="","",0)</f>
        <v/>
      </c>
      <c r="G1974">
        <f>IF($J1974="","",SUMIFS('Hours Log'!$E:$E,'Hours Log'!$A:$A,"&gt;="&amp;$J1974,'Hours Log'!$A:$A,"&lt;"&amp;$J1974+7))</f>
        <v/>
      </c>
      <c r="J1974">
        <f>IF(COUNT('Hours Log'!$A$4:$A$5000)=0,"",IF(MIN('Hours Log'!$A$4:$A$5000)+7*(ROW()-10)&gt;MAX('Hours Log'!$A$4:$A$5000),"",MIN('Hours Log'!$A$4:$A$5000)+7*(ROW()-10)))</f>
        <v/>
      </c>
    </row>
    <row r="1975">
      <c r="A1975">
        <f>IF($J1975="","",YEAR($J1975-WEEKDAY($J1975,2)+4)&amp;"-W"&amp;TEXT(WEEKNUM($J1975,21),"00"))</f>
        <v/>
      </c>
      <c r="B1975" s="41">
        <f>IF($J1975="","",COUNTIFS(Roster!$D$4:$D$500,"Active",Roster!$C$4:$C$500,"&lt;="&amp;$J1975))</f>
        <v/>
      </c>
      <c r="C1975">
        <f>IF($J1975="","",SUMIFS('Hours Log'!$C:$C,'Hours Log'!$A:$A,"&gt;="&amp;$J1975,'Hours Log'!$A:$A,"&lt;"&amp;$J1975+7)+SUMIFS('Hours Log'!$D:$D,'Hours Log'!$A:$A,"&gt;="&amp;$J1975,'Hours Log'!$A:$A,"&lt;"&amp;$J1975+7))</f>
        <v/>
      </c>
      <c r="D1975">
        <f>IF($J1975="","",SUMIFS('Hours Log'!$D:$D,'Hours Log'!$A:$A,"&gt;="&amp;$J1975,'Hours Log'!$A:$A,"&lt;"&amp;$J1975+7))</f>
        <v/>
      </c>
      <c r="E1975">
        <f>IF($J1975="","",IFERROR(C1975/(B1975*40),0))</f>
        <v/>
      </c>
      <c r="F1975">
        <f>IF($J1975="","",0)</f>
        <v/>
      </c>
      <c r="G1975">
        <f>IF($J1975="","",SUMIFS('Hours Log'!$E:$E,'Hours Log'!$A:$A,"&gt;="&amp;$J1975,'Hours Log'!$A:$A,"&lt;"&amp;$J1975+7))</f>
        <v/>
      </c>
      <c r="J1975">
        <f>IF(COUNT('Hours Log'!$A$4:$A$5000)=0,"",IF(MIN('Hours Log'!$A$4:$A$5000)+7*(ROW()-10)&gt;MAX('Hours Log'!$A$4:$A$5000),"",MIN('Hours Log'!$A$4:$A$5000)+7*(ROW()-10)))</f>
        <v/>
      </c>
    </row>
    <row r="1976">
      <c r="A1976">
        <f>IF($J1976="","",YEAR($J1976-WEEKDAY($J1976,2)+4)&amp;"-W"&amp;TEXT(WEEKNUM($J1976,21),"00"))</f>
        <v/>
      </c>
      <c r="B1976" s="41">
        <f>IF($J1976="","",COUNTIFS(Roster!$D$4:$D$500,"Active",Roster!$C$4:$C$500,"&lt;="&amp;$J1976))</f>
        <v/>
      </c>
      <c r="C1976">
        <f>IF($J1976="","",SUMIFS('Hours Log'!$C:$C,'Hours Log'!$A:$A,"&gt;="&amp;$J1976,'Hours Log'!$A:$A,"&lt;"&amp;$J1976+7)+SUMIFS('Hours Log'!$D:$D,'Hours Log'!$A:$A,"&gt;="&amp;$J1976,'Hours Log'!$A:$A,"&lt;"&amp;$J1976+7))</f>
        <v/>
      </c>
      <c r="D1976">
        <f>IF($J1976="","",SUMIFS('Hours Log'!$D:$D,'Hours Log'!$A:$A,"&gt;="&amp;$J1976,'Hours Log'!$A:$A,"&lt;"&amp;$J1976+7))</f>
        <v/>
      </c>
      <c r="E1976">
        <f>IF($J1976="","",IFERROR(C1976/(B1976*40),0))</f>
        <v/>
      </c>
      <c r="F1976">
        <f>IF($J1976="","",0)</f>
        <v/>
      </c>
      <c r="G1976">
        <f>IF($J1976="","",SUMIFS('Hours Log'!$E:$E,'Hours Log'!$A:$A,"&gt;="&amp;$J1976,'Hours Log'!$A:$A,"&lt;"&amp;$J1976+7))</f>
        <v/>
      </c>
      <c r="J1976">
        <f>IF(COUNT('Hours Log'!$A$4:$A$5000)=0,"",IF(MIN('Hours Log'!$A$4:$A$5000)+7*(ROW()-10)&gt;MAX('Hours Log'!$A$4:$A$5000),"",MIN('Hours Log'!$A$4:$A$5000)+7*(ROW()-10)))</f>
        <v/>
      </c>
    </row>
    <row r="1977">
      <c r="A1977">
        <f>IF($J1977="","",YEAR($J1977-WEEKDAY($J1977,2)+4)&amp;"-W"&amp;TEXT(WEEKNUM($J1977,21),"00"))</f>
        <v/>
      </c>
      <c r="B1977" s="41">
        <f>IF($J1977="","",COUNTIFS(Roster!$D$4:$D$500,"Active",Roster!$C$4:$C$500,"&lt;="&amp;$J1977))</f>
        <v/>
      </c>
      <c r="C1977">
        <f>IF($J1977="","",SUMIFS('Hours Log'!$C:$C,'Hours Log'!$A:$A,"&gt;="&amp;$J1977,'Hours Log'!$A:$A,"&lt;"&amp;$J1977+7)+SUMIFS('Hours Log'!$D:$D,'Hours Log'!$A:$A,"&gt;="&amp;$J1977,'Hours Log'!$A:$A,"&lt;"&amp;$J1977+7))</f>
        <v/>
      </c>
      <c r="D1977">
        <f>IF($J1977="","",SUMIFS('Hours Log'!$D:$D,'Hours Log'!$A:$A,"&gt;="&amp;$J1977,'Hours Log'!$A:$A,"&lt;"&amp;$J1977+7))</f>
        <v/>
      </c>
      <c r="E1977">
        <f>IF($J1977="","",IFERROR(C1977/(B1977*40),0))</f>
        <v/>
      </c>
      <c r="F1977">
        <f>IF($J1977="","",0)</f>
        <v/>
      </c>
      <c r="G1977">
        <f>IF($J1977="","",SUMIFS('Hours Log'!$E:$E,'Hours Log'!$A:$A,"&gt;="&amp;$J1977,'Hours Log'!$A:$A,"&lt;"&amp;$J1977+7))</f>
        <v/>
      </c>
      <c r="J1977">
        <f>IF(COUNT('Hours Log'!$A$4:$A$5000)=0,"",IF(MIN('Hours Log'!$A$4:$A$5000)+7*(ROW()-10)&gt;MAX('Hours Log'!$A$4:$A$5000),"",MIN('Hours Log'!$A$4:$A$5000)+7*(ROW()-10)))</f>
        <v/>
      </c>
    </row>
    <row r="1978">
      <c r="A1978">
        <f>IF($J1978="","",YEAR($J1978-WEEKDAY($J1978,2)+4)&amp;"-W"&amp;TEXT(WEEKNUM($J1978,21),"00"))</f>
        <v/>
      </c>
      <c r="B1978" s="41">
        <f>IF($J1978="","",COUNTIFS(Roster!$D$4:$D$500,"Active",Roster!$C$4:$C$500,"&lt;="&amp;$J1978))</f>
        <v/>
      </c>
      <c r="C1978">
        <f>IF($J1978="","",SUMIFS('Hours Log'!$C:$C,'Hours Log'!$A:$A,"&gt;="&amp;$J1978,'Hours Log'!$A:$A,"&lt;"&amp;$J1978+7)+SUMIFS('Hours Log'!$D:$D,'Hours Log'!$A:$A,"&gt;="&amp;$J1978,'Hours Log'!$A:$A,"&lt;"&amp;$J1978+7))</f>
        <v/>
      </c>
      <c r="D1978">
        <f>IF($J1978="","",SUMIFS('Hours Log'!$D:$D,'Hours Log'!$A:$A,"&gt;="&amp;$J1978,'Hours Log'!$A:$A,"&lt;"&amp;$J1978+7))</f>
        <v/>
      </c>
      <c r="E1978">
        <f>IF($J1978="","",IFERROR(C1978/(B1978*40),0))</f>
        <v/>
      </c>
      <c r="F1978">
        <f>IF($J1978="","",0)</f>
        <v/>
      </c>
      <c r="G1978">
        <f>IF($J1978="","",SUMIFS('Hours Log'!$E:$E,'Hours Log'!$A:$A,"&gt;="&amp;$J1978,'Hours Log'!$A:$A,"&lt;"&amp;$J1978+7))</f>
        <v/>
      </c>
      <c r="J1978">
        <f>IF(COUNT('Hours Log'!$A$4:$A$5000)=0,"",IF(MIN('Hours Log'!$A$4:$A$5000)+7*(ROW()-10)&gt;MAX('Hours Log'!$A$4:$A$5000),"",MIN('Hours Log'!$A$4:$A$5000)+7*(ROW()-10)))</f>
        <v/>
      </c>
    </row>
    <row r="1979">
      <c r="A1979">
        <f>IF($J1979="","",YEAR($J1979-WEEKDAY($J1979,2)+4)&amp;"-W"&amp;TEXT(WEEKNUM($J1979,21),"00"))</f>
        <v/>
      </c>
      <c r="B1979" s="41">
        <f>IF($J1979="","",COUNTIFS(Roster!$D$4:$D$500,"Active",Roster!$C$4:$C$500,"&lt;="&amp;$J1979))</f>
        <v/>
      </c>
      <c r="C1979">
        <f>IF($J1979="","",SUMIFS('Hours Log'!$C:$C,'Hours Log'!$A:$A,"&gt;="&amp;$J1979,'Hours Log'!$A:$A,"&lt;"&amp;$J1979+7)+SUMIFS('Hours Log'!$D:$D,'Hours Log'!$A:$A,"&gt;="&amp;$J1979,'Hours Log'!$A:$A,"&lt;"&amp;$J1979+7))</f>
        <v/>
      </c>
      <c r="D1979">
        <f>IF($J1979="","",SUMIFS('Hours Log'!$D:$D,'Hours Log'!$A:$A,"&gt;="&amp;$J1979,'Hours Log'!$A:$A,"&lt;"&amp;$J1979+7))</f>
        <v/>
      </c>
      <c r="E1979">
        <f>IF($J1979="","",IFERROR(C1979/(B1979*40),0))</f>
        <v/>
      </c>
      <c r="F1979">
        <f>IF($J1979="","",0)</f>
        <v/>
      </c>
      <c r="G1979">
        <f>IF($J1979="","",SUMIFS('Hours Log'!$E:$E,'Hours Log'!$A:$A,"&gt;="&amp;$J1979,'Hours Log'!$A:$A,"&lt;"&amp;$J1979+7))</f>
        <v/>
      </c>
      <c r="J1979">
        <f>IF(COUNT('Hours Log'!$A$4:$A$5000)=0,"",IF(MIN('Hours Log'!$A$4:$A$5000)+7*(ROW()-10)&gt;MAX('Hours Log'!$A$4:$A$5000),"",MIN('Hours Log'!$A$4:$A$5000)+7*(ROW()-10)))</f>
        <v/>
      </c>
    </row>
    <row r="1980">
      <c r="A1980">
        <f>IF($J1980="","",YEAR($J1980-WEEKDAY($J1980,2)+4)&amp;"-W"&amp;TEXT(WEEKNUM($J1980,21),"00"))</f>
        <v/>
      </c>
      <c r="B1980" s="41">
        <f>IF($J1980="","",COUNTIFS(Roster!$D$4:$D$500,"Active",Roster!$C$4:$C$500,"&lt;="&amp;$J1980))</f>
        <v/>
      </c>
      <c r="C1980">
        <f>IF($J1980="","",SUMIFS('Hours Log'!$C:$C,'Hours Log'!$A:$A,"&gt;="&amp;$J1980,'Hours Log'!$A:$A,"&lt;"&amp;$J1980+7)+SUMIFS('Hours Log'!$D:$D,'Hours Log'!$A:$A,"&gt;="&amp;$J1980,'Hours Log'!$A:$A,"&lt;"&amp;$J1980+7))</f>
        <v/>
      </c>
      <c r="D1980">
        <f>IF($J1980="","",SUMIFS('Hours Log'!$D:$D,'Hours Log'!$A:$A,"&gt;="&amp;$J1980,'Hours Log'!$A:$A,"&lt;"&amp;$J1980+7))</f>
        <v/>
      </c>
      <c r="E1980">
        <f>IF($J1980="","",IFERROR(C1980/(B1980*40),0))</f>
        <v/>
      </c>
      <c r="F1980">
        <f>IF($J1980="","",0)</f>
        <v/>
      </c>
      <c r="G1980">
        <f>IF($J1980="","",SUMIFS('Hours Log'!$E:$E,'Hours Log'!$A:$A,"&gt;="&amp;$J1980,'Hours Log'!$A:$A,"&lt;"&amp;$J1980+7))</f>
        <v/>
      </c>
      <c r="J1980">
        <f>IF(COUNT('Hours Log'!$A$4:$A$5000)=0,"",IF(MIN('Hours Log'!$A$4:$A$5000)+7*(ROW()-10)&gt;MAX('Hours Log'!$A$4:$A$5000),"",MIN('Hours Log'!$A$4:$A$5000)+7*(ROW()-10)))</f>
        <v/>
      </c>
    </row>
    <row r="1981">
      <c r="A1981">
        <f>IF($J1981="","",YEAR($J1981-WEEKDAY($J1981,2)+4)&amp;"-W"&amp;TEXT(WEEKNUM($J1981,21),"00"))</f>
        <v/>
      </c>
      <c r="B1981" s="41">
        <f>IF($J1981="","",COUNTIFS(Roster!$D$4:$D$500,"Active",Roster!$C$4:$C$500,"&lt;="&amp;$J1981))</f>
        <v/>
      </c>
      <c r="C1981">
        <f>IF($J1981="","",SUMIFS('Hours Log'!$C:$C,'Hours Log'!$A:$A,"&gt;="&amp;$J1981,'Hours Log'!$A:$A,"&lt;"&amp;$J1981+7)+SUMIFS('Hours Log'!$D:$D,'Hours Log'!$A:$A,"&gt;="&amp;$J1981,'Hours Log'!$A:$A,"&lt;"&amp;$J1981+7))</f>
        <v/>
      </c>
      <c r="D1981">
        <f>IF($J1981="","",SUMIFS('Hours Log'!$D:$D,'Hours Log'!$A:$A,"&gt;="&amp;$J1981,'Hours Log'!$A:$A,"&lt;"&amp;$J1981+7))</f>
        <v/>
      </c>
      <c r="E1981">
        <f>IF($J1981="","",IFERROR(C1981/(B1981*40),0))</f>
        <v/>
      </c>
      <c r="F1981">
        <f>IF($J1981="","",0)</f>
        <v/>
      </c>
      <c r="G1981">
        <f>IF($J1981="","",SUMIFS('Hours Log'!$E:$E,'Hours Log'!$A:$A,"&gt;="&amp;$J1981,'Hours Log'!$A:$A,"&lt;"&amp;$J1981+7))</f>
        <v/>
      </c>
      <c r="J1981">
        <f>IF(COUNT('Hours Log'!$A$4:$A$5000)=0,"",IF(MIN('Hours Log'!$A$4:$A$5000)+7*(ROW()-10)&gt;MAX('Hours Log'!$A$4:$A$5000),"",MIN('Hours Log'!$A$4:$A$5000)+7*(ROW()-10)))</f>
        <v/>
      </c>
    </row>
    <row r="1982">
      <c r="A1982">
        <f>IF($J1982="","",YEAR($J1982-WEEKDAY($J1982,2)+4)&amp;"-W"&amp;TEXT(WEEKNUM($J1982,21),"00"))</f>
        <v/>
      </c>
      <c r="B1982" s="41">
        <f>IF($J1982="","",COUNTIFS(Roster!$D$4:$D$500,"Active",Roster!$C$4:$C$500,"&lt;="&amp;$J1982))</f>
        <v/>
      </c>
      <c r="C1982">
        <f>IF($J1982="","",SUMIFS('Hours Log'!$C:$C,'Hours Log'!$A:$A,"&gt;="&amp;$J1982,'Hours Log'!$A:$A,"&lt;"&amp;$J1982+7)+SUMIFS('Hours Log'!$D:$D,'Hours Log'!$A:$A,"&gt;="&amp;$J1982,'Hours Log'!$A:$A,"&lt;"&amp;$J1982+7))</f>
        <v/>
      </c>
      <c r="D1982">
        <f>IF($J1982="","",SUMIFS('Hours Log'!$D:$D,'Hours Log'!$A:$A,"&gt;="&amp;$J1982,'Hours Log'!$A:$A,"&lt;"&amp;$J1982+7))</f>
        <v/>
      </c>
      <c r="E1982">
        <f>IF($J1982="","",IFERROR(C1982/(B1982*40),0))</f>
        <v/>
      </c>
      <c r="F1982">
        <f>IF($J1982="","",0)</f>
        <v/>
      </c>
      <c r="G1982">
        <f>IF($J1982="","",SUMIFS('Hours Log'!$E:$E,'Hours Log'!$A:$A,"&gt;="&amp;$J1982,'Hours Log'!$A:$A,"&lt;"&amp;$J1982+7))</f>
        <v/>
      </c>
      <c r="J1982">
        <f>IF(COUNT('Hours Log'!$A$4:$A$5000)=0,"",IF(MIN('Hours Log'!$A$4:$A$5000)+7*(ROW()-10)&gt;MAX('Hours Log'!$A$4:$A$5000),"",MIN('Hours Log'!$A$4:$A$5000)+7*(ROW()-10)))</f>
        <v/>
      </c>
    </row>
    <row r="1983">
      <c r="A1983">
        <f>IF($J1983="","",YEAR($J1983-WEEKDAY($J1983,2)+4)&amp;"-W"&amp;TEXT(WEEKNUM($J1983,21),"00"))</f>
        <v/>
      </c>
      <c r="B1983" s="41">
        <f>IF($J1983="","",COUNTIFS(Roster!$D$4:$D$500,"Active",Roster!$C$4:$C$500,"&lt;="&amp;$J1983))</f>
        <v/>
      </c>
      <c r="C1983">
        <f>IF($J1983="","",SUMIFS('Hours Log'!$C:$C,'Hours Log'!$A:$A,"&gt;="&amp;$J1983,'Hours Log'!$A:$A,"&lt;"&amp;$J1983+7)+SUMIFS('Hours Log'!$D:$D,'Hours Log'!$A:$A,"&gt;="&amp;$J1983,'Hours Log'!$A:$A,"&lt;"&amp;$J1983+7))</f>
        <v/>
      </c>
      <c r="D1983">
        <f>IF($J1983="","",SUMIFS('Hours Log'!$D:$D,'Hours Log'!$A:$A,"&gt;="&amp;$J1983,'Hours Log'!$A:$A,"&lt;"&amp;$J1983+7))</f>
        <v/>
      </c>
      <c r="E1983">
        <f>IF($J1983="","",IFERROR(C1983/(B1983*40),0))</f>
        <v/>
      </c>
      <c r="F1983">
        <f>IF($J1983="","",0)</f>
        <v/>
      </c>
      <c r="G1983">
        <f>IF($J1983="","",SUMIFS('Hours Log'!$E:$E,'Hours Log'!$A:$A,"&gt;="&amp;$J1983,'Hours Log'!$A:$A,"&lt;"&amp;$J1983+7))</f>
        <v/>
      </c>
      <c r="J1983">
        <f>IF(COUNT('Hours Log'!$A$4:$A$5000)=0,"",IF(MIN('Hours Log'!$A$4:$A$5000)+7*(ROW()-10)&gt;MAX('Hours Log'!$A$4:$A$5000),"",MIN('Hours Log'!$A$4:$A$5000)+7*(ROW()-10)))</f>
        <v/>
      </c>
    </row>
    <row r="1984">
      <c r="A1984">
        <f>IF($J1984="","",YEAR($J1984-WEEKDAY($J1984,2)+4)&amp;"-W"&amp;TEXT(WEEKNUM($J1984,21),"00"))</f>
        <v/>
      </c>
      <c r="B1984" s="41">
        <f>IF($J1984="","",COUNTIFS(Roster!$D$4:$D$500,"Active",Roster!$C$4:$C$500,"&lt;="&amp;$J1984))</f>
        <v/>
      </c>
      <c r="C1984">
        <f>IF($J1984="","",SUMIFS('Hours Log'!$C:$C,'Hours Log'!$A:$A,"&gt;="&amp;$J1984,'Hours Log'!$A:$A,"&lt;"&amp;$J1984+7)+SUMIFS('Hours Log'!$D:$D,'Hours Log'!$A:$A,"&gt;="&amp;$J1984,'Hours Log'!$A:$A,"&lt;"&amp;$J1984+7))</f>
        <v/>
      </c>
      <c r="D1984">
        <f>IF($J1984="","",SUMIFS('Hours Log'!$D:$D,'Hours Log'!$A:$A,"&gt;="&amp;$J1984,'Hours Log'!$A:$A,"&lt;"&amp;$J1984+7))</f>
        <v/>
      </c>
      <c r="E1984">
        <f>IF($J1984="","",IFERROR(C1984/(B1984*40),0))</f>
        <v/>
      </c>
      <c r="F1984">
        <f>IF($J1984="","",0)</f>
        <v/>
      </c>
      <c r="G1984">
        <f>IF($J1984="","",SUMIFS('Hours Log'!$E:$E,'Hours Log'!$A:$A,"&gt;="&amp;$J1984,'Hours Log'!$A:$A,"&lt;"&amp;$J1984+7))</f>
        <v/>
      </c>
      <c r="J1984">
        <f>IF(COUNT('Hours Log'!$A$4:$A$5000)=0,"",IF(MIN('Hours Log'!$A$4:$A$5000)+7*(ROW()-10)&gt;MAX('Hours Log'!$A$4:$A$5000),"",MIN('Hours Log'!$A$4:$A$5000)+7*(ROW()-10)))</f>
        <v/>
      </c>
    </row>
    <row r="1985">
      <c r="A1985">
        <f>IF($J1985="","",YEAR($J1985-WEEKDAY($J1985,2)+4)&amp;"-W"&amp;TEXT(WEEKNUM($J1985,21),"00"))</f>
        <v/>
      </c>
      <c r="B1985" s="41">
        <f>IF($J1985="","",COUNTIFS(Roster!$D$4:$D$500,"Active",Roster!$C$4:$C$500,"&lt;="&amp;$J1985))</f>
        <v/>
      </c>
      <c r="C1985">
        <f>IF($J1985="","",SUMIFS('Hours Log'!$C:$C,'Hours Log'!$A:$A,"&gt;="&amp;$J1985,'Hours Log'!$A:$A,"&lt;"&amp;$J1985+7)+SUMIFS('Hours Log'!$D:$D,'Hours Log'!$A:$A,"&gt;="&amp;$J1985,'Hours Log'!$A:$A,"&lt;"&amp;$J1985+7))</f>
        <v/>
      </c>
      <c r="D1985">
        <f>IF($J1985="","",SUMIFS('Hours Log'!$D:$D,'Hours Log'!$A:$A,"&gt;="&amp;$J1985,'Hours Log'!$A:$A,"&lt;"&amp;$J1985+7))</f>
        <v/>
      </c>
      <c r="E1985">
        <f>IF($J1985="","",IFERROR(C1985/(B1985*40),0))</f>
        <v/>
      </c>
      <c r="F1985">
        <f>IF($J1985="","",0)</f>
        <v/>
      </c>
      <c r="G1985">
        <f>IF($J1985="","",SUMIFS('Hours Log'!$E:$E,'Hours Log'!$A:$A,"&gt;="&amp;$J1985,'Hours Log'!$A:$A,"&lt;"&amp;$J1985+7))</f>
        <v/>
      </c>
      <c r="J1985">
        <f>IF(COUNT('Hours Log'!$A$4:$A$5000)=0,"",IF(MIN('Hours Log'!$A$4:$A$5000)+7*(ROW()-10)&gt;MAX('Hours Log'!$A$4:$A$5000),"",MIN('Hours Log'!$A$4:$A$5000)+7*(ROW()-10)))</f>
        <v/>
      </c>
    </row>
    <row r="1986">
      <c r="A1986">
        <f>IF($J1986="","",YEAR($J1986-WEEKDAY($J1986,2)+4)&amp;"-W"&amp;TEXT(WEEKNUM($J1986,21),"00"))</f>
        <v/>
      </c>
      <c r="B1986" s="41">
        <f>IF($J1986="","",COUNTIFS(Roster!$D$4:$D$500,"Active",Roster!$C$4:$C$500,"&lt;="&amp;$J1986))</f>
        <v/>
      </c>
      <c r="C1986">
        <f>IF($J1986="","",SUMIFS('Hours Log'!$C:$C,'Hours Log'!$A:$A,"&gt;="&amp;$J1986,'Hours Log'!$A:$A,"&lt;"&amp;$J1986+7)+SUMIFS('Hours Log'!$D:$D,'Hours Log'!$A:$A,"&gt;="&amp;$J1986,'Hours Log'!$A:$A,"&lt;"&amp;$J1986+7))</f>
        <v/>
      </c>
      <c r="D1986">
        <f>IF($J1986="","",SUMIFS('Hours Log'!$D:$D,'Hours Log'!$A:$A,"&gt;="&amp;$J1986,'Hours Log'!$A:$A,"&lt;"&amp;$J1986+7))</f>
        <v/>
      </c>
      <c r="E1986">
        <f>IF($J1986="","",IFERROR(C1986/(B1986*40),0))</f>
        <v/>
      </c>
      <c r="F1986">
        <f>IF($J1986="","",0)</f>
        <v/>
      </c>
      <c r="G1986">
        <f>IF($J1986="","",SUMIFS('Hours Log'!$E:$E,'Hours Log'!$A:$A,"&gt;="&amp;$J1986,'Hours Log'!$A:$A,"&lt;"&amp;$J1986+7))</f>
        <v/>
      </c>
      <c r="J1986">
        <f>IF(COUNT('Hours Log'!$A$4:$A$5000)=0,"",IF(MIN('Hours Log'!$A$4:$A$5000)+7*(ROW()-10)&gt;MAX('Hours Log'!$A$4:$A$5000),"",MIN('Hours Log'!$A$4:$A$5000)+7*(ROW()-10)))</f>
        <v/>
      </c>
    </row>
    <row r="1987">
      <c r="A1987">
        <f>IF($J1987="","",YEAR($J1987-WEEKDAY($J1987,2)+4)&amp;"-W"&amp;TEXT(WEEKNUM($J1987,21),"00"))</f>
        <v/>
      </c>
      <c r="B1987" s="41">
        <f>IF($J1987="","",COUNTIFS(Roster!$D$4:$D$500,"Active",Roster!$C$4:$C$500,"&lt;="&amp;$J1987))</f>
        <v/>
      </c>
      <c r="C1987">
        <f>IF($J1987="","",SUMIFS('Hours Log'!$C:$C,'Hours Log'!$A:$A,"&gt;="&amp;$J1987,'Hours Log'!$A:$A,"&lt;"&amp;$J1987+7)+SUMIFS('Hours Log'!$D:$D,'Hours Log'!$A:$A,"&gt;="&amp;$J1987,'Hours Log'!$A:$A,"&lt;"&amp;$J1987+7))</f>
        <v/>
      </c>
      <c r="D1987">
        <f>IF($J1987="","",SUMIFS('Hours Log'!$D:$D,'Hours Log'!$A:$A,"&gt;="&amp;$J1987,'Hours Log'!$A:$A,"&lt;"&amp;$J1987+7))</f>
        <v/>
      </c>
      <c r="E1987">
        <f>IF($J1987="","",IFERROR(C1987/(B1987*40),0))</f>
        <v/>
      </c>
      <c r="F1987">
        <f>IF($J1987="","",0)</f>
        <v/>
      </c>
      <c r="G1987">
        <f>IF($J1987="","",SUMIFS('Hours Log'!$E:$E,'Hours Log'!$A:$A,"&gt;="&amp;$J1987,'Hours Log'!$A:$A,"&lt;"&amp;$J1987+7))</f>
        <v/>
      </c>
      <c r="J1987">
        <f>IF(COUNT('Hours Log'!$A$4:$A$5000)=0,"",IF(MIN('Hours Log'!$A$4:$A$5000)+7*(ROW()-10)&gt;MAX('Hours Log'!$A$4:$A$5000),"",MIN('Hours Log'!$A$4:$A$5000)+7*(ROW()-10)))</f>
        <v/>
      </c>
    </row>
    <row r="1988">
      <c r="A1988">
        <f>IF($J1988="","",YEAR($J1988-WEEKDAY($J1988,2)+4)&amp;"-W"&amp;TEXT(WEEKNUM($J1988,21),"00"))</f>
        <v/>
      </c>
      <c r="B1988" s="41">
        <f>IF($J1988="","",COUNTIFS(Roster!$D$4:$D$500,"Active",Roster!$C$4:$C$500,"&lt;="&amp;$J1988))</f>
        <v/>
      </c>
      <c r="C1988">
        <f>IF($J1988="","",SUMIFS('Hours Log'!$C:$C,'Hours Log'!$A:$A,"&gt;="&amp;$J1988,'Hours Log'!$A:$A,"&lt;"&amp;$J1988+7)+SUMIFS('Hours Log'!$D:$D,'Hours Log'!$A:$A,"&gt;="&amp;$J1988,'Hours Log'!$A:$A,"&lt;"&amp;$J1988+7))</f>
        <v/>
      </c>
      <c r="D1988">
        <f>IF($J1988="","",SUMIFS('Hours Log'!$D:$D,'Hours Log'!$A:$A,"&gt;="&amp;$J1988,'Hours Log'!$A:$A,"&lt;"&amp;$J1988+7))</f>
        <v/>
      </c>
      <c r="E1988">
        <f>IF($J1988="","",IFERROR(C1988/(B1988*40),0))</f>
        <v/>
      </c>
      <c r="F1988">
        <f>IF($J1988="","",0)</f>
        <v/>
      </c>
      <c r="G1988">
        <f>IF($J1988="","",SUMIFS('Hours Log'!$E:$E,'Hours Log'!$A:$A,"&gt;="&amp;$J1988,'Hours Log'!$A:$A,"&lt;"&amp;$J1988+7))</f>
        <v/>
      </c>
      <c r="J1988">
        <f>IF(COUNT('Hours Log'!$A$4:$A$5000)=0,"",IF(MIN('Hours Log'!$A$4:$A$5000)+7*(ROW()-10)&gt;MAX('Hours Log'!$A$4:$A$5000),"",MIN('Hours Log'!$A$4:$A$5000)+7*(ROW()-10)))</f>
        <v/>
      </c>
    </row>
    <row r="1989">
      <c r="A1989">
        <f>IF($J1989="","",YEAR($J1989-WEEKDAY($J1989,2)+4)&amp;"-W"&amp;TEXT(WEEKNUM($J1989,21),"00"))</f>
        <v/>
      </c>
      <c r="B1989" s="41">
        <f>IF($J1989="","",COUNTIFS(Roster!$D$4:$D$500,"Active",Roster!$C$4:$C$500,"&lt;="&amp;$J1989))</f>
        <v/>
      </c>
      <c r="C1989">
        <f>IF($J1989="","",SUMIFS('Hours Log'!$C:$C,'Hours Log'!$A:$A,"&gt;="&amp;$J1989,'Hours Log'!$A:$A,"&lt;"&amp;$J1989+7)+SUMIFS('Hours Log'!$D:$D,'Hours Log'!$A:$A,"&gt;="&amp;$J1989,'Hours Log'!$A:$A,"&lt;"&amp;$J1989+7))</f>
        <v/>
      </c>
      <c r="D1989">
        <f>IF($J1989="","",SUMIFS('Hours Log'!$D:$D,'Hours Log'!$A:$A,"&gt;="&amp;$J1989,'Hours Log'!$A:$A,"&lt;"&amp;$J1989+7))</f>
        <v/>
      </c>
      <c r="E1989">
        <f>IF($J1989="","",IFERROR(C1989/(B1989*40),0))</f>
        <v/>
      </c>
      <c r="F1989">
        <f>IF($J1989="","",0)</f>
        <v/>
      </c>
      <c r="G1989">
        <f>IF($J1989="","",SUMIFS('Hours Log'!$E:$E,'Hours Log'!$A:$A,"&gt;="&amp;$J1989,'Hours Log'!$A:$A,"&lt;"&amp;$J1989+7))</f>
        <v/>
      </c>
      <c r="J1989">
        <f>IF(COUNT('Hours Log'!$A$4:$A$5000)=0,"",IF(MIN('Hours Log'!$A$4:$A$5000)+7*(ROW()-10)&gt;MAX('Hours Log'!$A$4:$A$5000),"",MIN('Hours Log'!$A$4:$A$5000)+7*(ROW()-10)))</f>
        <v/>
      </c>
    </row>
    <row r="1990">
      <c r="A1990">
        <f>IF($J1990="","",YEAR($J1990-WEEKDAY($J1990,2)+4)&amp;"-W"&amp;TEXT(WEEKNUM($J1990,21),"00"))</f>
        <v/>
      </c>
      <c r="B1990" s="41">
        <f>IF($J1990="","",COUNTIFS(Roster!$D$4:$D$500,"Active",Roster!$C$4:$C$500,"&lt;="&amp;$J1990))</f>
        <v/>
      </c>
      <c r="C1990">
        <f>IF($J1990="","",SUMIFS('Hours Log'!$C:$C,'Hours Log'!$A:$A,"&gt;="&amp;$J1990,'Hours Log'!$A:$A,"&lt;"&amp;$J1990+7)+SUMIFS('Hours Log'!$D:$D,'Hours Log'!$A:$A,"&gt;="&amp;$J1990,'Hours Log'!$A:$A,"&lt;"&amp;$J1990+7))</f>
        <v/>
      </c>
      <c r="D1990">
        <f>IF($J1990="","",SUMIFS('Hours Log'!$D:$D,'Hours Log'!$A:$A,"&gt;="&amp;$J1990,'Hours Log'!$A:$A,"&lt;"&amp;$J1990+7))</f>
        <v/>
      </c>
      <c r="E1990">
        <f>IF($J1990="","",IFERROR(C1990/(B1990*40),0))</f>
        <v/>
      </c>
      <c r="F1990">
        <f>IF($J1990="","",0)</f>
        <v/>
      </c>
      <c r="G1990">
        <f>IF($J1990="","",SUMIFS('Hours Log'!$E:$E,'Hours Log'!$A:$A,"&gt;="&amp;$J1990,'Hours Log'!$A:$A,"&lt;"&amp;$J1990+7))</f>
        <v/>
      </c>
      <c r="J1990">
        <f>IF(COUNT('Hours Log'!$A$4:$A$5000)=0,"",IF(MIN('Hours Log'!$A$4:$A$5000)+7*(ROW()-10)&gt;MAX('Hours Log'!$A$4:$A$5000),"",MIN('Hours Log'!$A$4:$A$5000)+7*(ROW()-10)))</f>
        <v/>
      </c>
    </row>
    <row r="1991">
      <c r="A1991">
        <f>IF($J1991="","",YEAR($J1991-WEEKDAY($J1991,2)+4)&amp;"-W"&amp;TEXT(WEEKNUM($J1991,21),"00"))</f>
        <v/>
      </c>
      <c r="B1991" s="41">
        <f>IF($J1991="","",COUNTIFS(Roster!$D$4:$D$500,"Active",Roster!$C$4:$C$500,"&lt;="&amp;$J1991))</f>
        <v/>
      </c>
      <c r="C1991">
        <f>IF($J1991="","",SUMIFS('Hours Log'!$C:$C,'Hours Log'!$A:$A,"&gt;="&amp;$J1991,'Hours Log'!$A:$A,"&lt;"&amp;$J1991+7)+SUMIFS('Hours Log'!$D:$D,'Hours Log'!$A:$A,"&gt;="&amp;$J1991,'Hours Log'!$A:$A,"&lt;"&amp;$J1991+7))</f>
        <v/>
      </c>
      <c r="D1991">
        <f>IF($J1991="","",SUMIFS('Hours Log'!$D:$D,'Hours Log'!$A:$A,"&gt;="&amp;$J1991,'Hours Log'!$A:$A,"&lt;"&amp;$J1991+7))</f>
        <v/>
      </c>
      <c r="E1991">
        <f>IF($J1991="","",IFERROR(C1991/(B1991*40),0))</f>
        <v/>
      </c>
      <c r="F1991">
        <f>IF($J1991="","",0)</f>
        <v/>
      </c>
      <c r="G1991">
        <f>IF($J1991="","",SUMIFS('Hours Log'!$E:$E,'Hours Log'!$A:$A,"&gt;="&amp;$J1991,'Hours Log'!$A:$A,"&lt;"&amp;$J1991+7))</f>
        <v/>
      </c>
      <c r="J1991">
        <f>IF(COUNT('Hours Log'!$A$4:$A$5000)=0,"",IF(MIN('Hours Log'!$A$4:$A$5000)+7*(ROW()-10)&gt;MAX('Hours Log'!$A$4:$A$5000),"",MIN('Hours Log'!$A$4:$A$5000)+7*(ROW()-10)))</f>
        <v/>
      </c>
    </row>
    <row r="1992">
      <c r="A1992">
        <f>IF($J1992="","",YEAR($J1992-WEEKDAY($J1992,2)+4)&amp;"-W"&amp;TEXT(WEEKNUM($J1992,21),"00"))</f>
        <v/>
      </c>
      <c r="B1992" s="41">
        <f>IF($J1992="","",COUNTIFS(Roster!$D$4:$D$500,"Active",Roster!$C$4:$C$500,"&lt;="&amp;$J1992))</f>
        <v/>
      </c>
      <c r="C1992">
        <f>IF($J1992="","",SUMIFS('Hours Log'!$C:$C,'Hours Log'!$A:$A,"&gt;="&amp;$J1992,'Hours Log'!$A:$A,"&lt;"&amp;$J1992+7)+SUMIFS('Hours Log'!$D:$D,'Hours Log'!$A:$A,"&gt;="&amp;$J1992,'Hours Log'!$A:$A,"&lt;"&amp;$J1992+7))</f>
        <v/>
      </c>
      <c r="D1992">
        <f>IF($J1992="","",SUMIFS('Hours Log'!$D:$D,'Hours Log'!$A:$A,"&gt;="&amp;$J1992,'Hours Log'!$A:$A,"&lt;"&amp;$J1992+7))</f>
        <v/>
      </c>
      <c r="E1992">
        <f>IF($J1992="","",IFERROR(C1992/(B1992*40),0))</f>
        <v/>
      </c>
      <c r="F1992">
        <f>IF($J1992="","",0)</f>
        <v/>
      </c>
      <c r="G1992">
        <f>IF($J1992="","",SUMIFS('Hours Log'!$E:$E,'Hours Log'!$A:$A,"&gt;="&amp;$J1992,'Hours Log'!$A:$A,"&lt;"&amp;$J1992+7))</f>
        <v/>
      </c>
      <c r="J1992">
        <f>IF(COUNT('Hours Log'!$A$4:$A$5000)=0,"",IF(MIN('Hours Log'!$A$4:$A$5000)+7*(ROW()-10)&gt;MAX('Hours Log'!$A$4:$A$5000),"",MIN('Hours Log'!$A$4:$A$5000)+7*(ROW()-10)))</f>
        <v/>
      </c>
    </row>
    <row r="1993">
      <c r="A1993">
        <f>IF($J1993="","",YEAR($J1993-WEEKDAY($J1993,2)+4)&amp;"-W"&amp;TEXT(WEEKNUM($J1993,21),"00"))</f>
        <v/>
      </c>
      <c r="B1993" s="41">
        <f>IF($J1993="","",COUNTIFS(Roster!$D$4:$D$500,"Active",Roster!$C$4:$C$500,"&lt;="&amp;$J1993))</f>
        <v/>
      </c>
      <c r="C1993">
        <f>IF($J1993="","",SUMIFS('Hours Log'!$C:$C,'Hours Log'!$A:$A,"&gt;="&amp;$J1993,'Hours Log'!$A:$A,"&lt;"&amp;$J1993+7)+SUMIFS('Hours Log'!$D:$D,'Hours Log'!$A:$A,"&gt;="&amp;$J1993,'Hours Log'!$A:$A,"&lt;"&amp;$J1993+7))</f>
        <v/>
      </c>
      <c r="D1993">
        <f>IF($J1993="","",SUMIFS('Hours Log'!$D:$D,'Hours Log'!$A:$A,"&gt;="&amp;$J1993,'Hours Log'!$A:$A,"&lt;"&amp;$J1993+7))</f>
        <v/>
      </c>
      <c r="E1993">
        <f>IF($J1993="","",IFERROR(C1993/(B1993*40),0))</f>
        <v/>
      </c>
      <c r="F1993">
        <f>IF($J1993="","",0)</f>
        <v/>
      </c>
      <c r="G1993">
        <f>IF($J1993="","",SUMIFS('Hours Log'!$E:$E,'Hours Log'!$A:$A,"&gt;="&amp;$J1993,'Hours Log'!$A:$A,"&lt;"&amp;$J1993+7))</f>
        <v/>
      </c>
      <c r="J1993">
        <f>IF(COUNT('Hours Log'!$A$4:$A$5000)=0,"",IF(MIN('Hours Log'!$A$4:$A$5000)+7*(ROW()-10)&gt;MAX('Hours Log'!$A$4:$A$5000),"",MIN('Hours Log'!$A$4:$A$5000)+7*(ROW()-10)))</f>
        <v/>
      </c>
    </row>
    <row r="1994">
      <c r="A1994">
        <f>IF($J1994="","",YEAR($J1994-WEEKDAY($J1994,2)+4)&amp;"-W"&amp;TEXT(WEEKNUM($J1994,21),"00"))</f>
        <v/>
      </c>
      <c r="B1994" s="41">
        <f>IF($J1994="","",COUNTIFS(Roster!$D$4:$D$500,"Active",Roster!$C$4:$C$500,"&lt;="&amp;$J1994))</f>
        <v/>
      </c>
      <c r="C1994">
        <f>IF($J1994="","",SUMIFS('Hours Log'!$C:$C,'Hours Log'!$A:$A,"&gt;="&amp;$J1994,'Hours Log'!$A:$A,"&lt;"&amp;$J1994+7)+SUMIFS('Hours Log'!$D:$D,'Hours Log'!$A:$A,"&gt;="&amp;$J1994,'Hours Log'!$A:$A,"&lt;"&amp;$J1994+7))</f>
        <v/>
      </c>
      <c r="D1994">
        <f>IF($J1994="","",SUMIFS('Hours Log'!$D:$D,'Hours Log'!$A:$A,"&gt;="&amp;$J1994,'Hours Log'!$A:$A,"&lt;"&amp;$J1994+7))</f>
        <v/>
      </c>
      <c r="E1994">
        <f>IF($J1994="","",IFERROR(C1994/(B1994*40),0))</f>
        <v/>
      </c>
      <c r="F1994">
        <f>IF($J1994="","",0)</f>
        <v/>
      </c>
      <c r="G1994">
        <f>IF($J1994="","",SUMIFS('Hours Log'!$E:$E,'Hours Log'!$A:$A,"&gt;="&amp;$J1994,'Hours Log'!$A:$A,"&lt;"&amp;$J1994+7))</f>
        <v/>
      </c>
      <c r="J1994">
        <f>IF(COUNT('Hours Log'!$A$4:$A$5000)=0,"",IF(MIN('Hours Log'!$A$4:$A$5000)+7*(ROW()-10)&gt;MAX('Hours Log'!$A$4:$A$5000),"",MIN('Hours Log'!$A$4:$A$5000)+7*(ROW()-10)))</f>
        <v/>
      </c>
    </row>
    <row r="1995">
      <c r="A1995">
        <f>IF($J1995="","",YEAR($J1995-WEEKDAY($J1995,2)+4)&amp;"-W"&amp;TEXT(WEEKNUM($J1995,21),"00"))</f>
        <v/>
      </c>
      <c r="B1995" s="41">
        <f>IF($J1995="","",COUNTIFS(Roster!$D$4:$D$500,"Active",Roster!$C$4:$C$500,"&lt;="&amp;$J1995))</f>
        <v/>
      </c>
      <c r="C1995">
        <f>IF($J1995="","",SUMIFS('Hours Log'!$C:$C,'Hours Log'!$A:$A,"&gt;="&amp;$J1995,'Hours Log'!$A:$A,"&lt;"&amp;$J1995+7)+SUMIFS('Hours Log'!$D:$D,'Hours Log'!$A:$A,"&gt;="&amp;$J1995,'Hours Log'!$A:$A,"&lt;"&amp;$J1995+7))</f>
        <v/>
      </c>
      <c r="D1995">
        <f>IF($J1995="","",SUMIFS('Hours Log'!$D:$D,'Hours Log'!$A:$A,"&gt;="&amp;$J1995,'Hours Log'!$A:$A,"&lt;"&amp;$J1995+7))</f>
        <v/>
      </c>
      <c r="E1995">
        <f>IF($J1995="","",IFERROR(C1995/(B1995*40),0))</f>
        <v/>
      </c>
      <c r="F1995">
        <f>IF($J1995="","",0)</f>
        <v/>
      </c>
      <c r="G1995">
        <f>IF($J1995="","",SUMIFS('Hours Log'!$E:$E,'Hours Log'!$A:$A,"&gt;="&amp;$J1995,'Hours Log'!$A:$A,"&lt;"&amp;$J1995+7))</f>
        <v/>
      </c>
      <c r="J1995">
        <f>IF(COUNT('Hours Log'!$A$4:$A$5000)=0,"",IF(MIN('Hours Log'!$A$4:$A$5000)+7*(ROW()-10)&gt;MAX('Hours Log'!$A$4:$A$5000),"",MIN('Hours Log'!$A$4:$A$5000)+7*(ROW()-10)))</f>
        <v/>
      </c>
    </row>
    <row r="1996">
      <c r="A1996">
        <f>IF($J1996="","",YEAR($J1996-WEEKDAY($J1996,2)+4)&amp;"-W"&amp;TEXT(WEEKNUM($J1996,21),"00"))</f>
        <v/>
      </c>
      <c r="B1996" s="41">
        <f>IF($J1996="","",COUNTIFS(Roster!$D$4:$D$500,"Active",Roster!$C$4:$C$500,"&lt;="&amp;$J1996))</f>
        <v/>
      </c>
      <c r="C1996">
        <f>IF($J1996="","",SUMIFS('Hours Log'!$C:$C,'Hours Log'!$A:$A,"&gt;="&amp;$J1996,'Hours Log'!$A:$A,"&lt;"&amp;$J1996+7)+SUMIFS('Hours Log'!$D:$D,'Hours Log'!$A:$A,"&gt;="&amp;$J1996,'Hours Log'!$A:$A,"&lt;"&amp;$J1996+7))</f>
        <v/>
      </c>
      <c r="D1996">
        <f>IF($J1996="","",SUMIFS('Hours Log'!$D:$D,'Hours Log'!$A:$A,"&gt;="&amp;$J1996,'Hours Log'!$A:$A,"&lt;"&amp;$J1996+7))</f>
        <v/>
      </c>
      <c r="E1996">
        <f>IF($J1996="","",IFERROR(C1996/(B1996*40),0))</f>
        <v/>
      </c>
      <c r="F1996">
        <f>IF($J1996="","",0)</f>
        <v/>
      </c>
      <c r="G1996">
        <f>IF($J1996="","",SUMIFS('Hours Log'!$E:$E,'Hours Log'!$A:$A,"&gt;="&amp;$J1996,'Hours Log'!$A:$A,"&lt;"&amp;$J1996+7))</f>
        <v/>
      </c>
      <c r="J1996">
        <f>IF(COUNT('Hours Log'!$A$4:$A$5000)=0,"",IF(MIN('Hours Log'!$A$4:$A$5000)+7*(ROW()-10)&gt;MAX('Hours Log'!$A$4:$A$5000),"",MIN('Hours Log'!$A$4:$A$5000)+7*(ROW()-10)))</f>
        <v/>
      </c>
    </row>
    <row r="1997">
      <c r="A1997">
        <f>IF($J1997="","",YEAR($J1997-WEEKDAY($J1997,2)+4)&amp;"-W"&amp;TEXT(WEEKNUM($J1997,21),"00"))</f>
        <v/>
      </c>
      <c r="B1997" s="41">
        <f>IF($J1997="","",COUNTIFS(Roster!$D$4:$D$500,"Active",Roster!$C$4:$C$500,"&lt;="&amp;$J1997))</f>
        <v/>
      </c>
      <c r="C1997">
        <f>IF($J1997="","",SUMIFS('Hours Log'!$C:$C,'Hours Log'!$A:$A,"&gt;="&amp;$J1997,'Hours Log'!$A:$A,"&lt;"&amp;$J1997+7)+SUMIFS('Hours Log'!$D:$D,'Hours Log'!$A:$A,"&gt;="&amp;$J1997,'Hours Log'!$A:$A,"&lt;"&amp;$J1997+7))</f>
        <v/>
      </c>
      <c r="D1997">
        <f>IF($J1997="","",SUMIFS('Hours Log'!$D:$D,'Hours Log'!$A:$A,"&gt;="&amp;$J1997,'Hours Log'!$A:$A,"&lt;"&amp;$J1997+7))</f>
        <v/>
      </c>
      <c r="E1997">
        <f>IF($J1997="","",IFERROR(C1997/(B1997*40),0))</f>
        <v/>
      </c>
      <c r="F1997">
        <f>IF($J1997="","",0)</f>
        <v/>
      </c>
      <c r="G1997">
        <f>IF($J1997="","",SUMIFS('Hours Log'!$E:$E,'Hours Log'!$A:$A,"&gt;="&amp;$J1997,'Hours Log'!$A:$A,"&lt;"&amp;$J1997+7))</f>
        <v/>
      </c>
      <c r="J1997">
        <f>IF(COUNT('Hours Log'!$A$4:$A$5000)=0,"",IF(MIN('Hours Log'!$A$4:$A$5000)+7*(ROW()-10)&gt;MAX('Hours Log'!$A$4:$A$5000),"",MIN('Hours Log'!$A$4:$A$5000)+7*(ROW()-10)))</f>
        <v/>
      </c>
    </row>
    <row r="1998">
      <c r="A1998">
        <f>IF($J1998="","",YEAR($J1998-WEEKDAY($J1998,2)+4)&amp;"-W"&amp;TEXT(WEEKNUM($J1998,21),"00"))</f>
        <v/>
      </c>
      <c r="B1998" s="41">
        <f>IF($J1998="","",COUNTIFS(Roster!$D$4:$D$500,"Active",Roster!$C$4:$C$500,"&lt;="&amp;$J1998))</f>
        <v/>
      </c>
      <c r="C1998">
        <f>IF($J1998="","",SUMIFS('Hours Log'!$C:$C,'Hours Log'!$A:$A,"&gt;="&amp;$J1998,'Hours Log'!$A:$A,"&lt;"&amp;$J1998+7)+SUMIFS('Hours Log'!$D:$D,'Hours Log'!$A:$A,"&gt;="&amp;$J1998,'Hours Log'!$A:$A,"&lt;"&amp;$J1998+7))</f>
        <v/>
      </c>
      <c r="D1998">
        <f>IF($J1998="","",SUMIFS('Hours Log'!$D:$D,'Hours Log'!$A:$A,"&gt;="&amp;$J1998,'Hours Log'!$A:$A,"&lt;"&amp;$J1998+7))</f>
        <v/>
      </c>
      <c r="E1998">
        <f>IF($J1998="","",IFERROR(C1998/(B1998*40),0))</f>
        <v/>
      </c>
      <c r="F1998">
        <f>IF($J1998="","",0)</f>
        <v/>
      </c>
      <c r="G1998">
        <f>IF($J1998="","",SUMIFS('Hours Log'!$E:$E,'Hours Log'!$A:$A,"&gt;="&amp;$J1998,'Hours Log'!$A:$A,"&lt;"&amp;$J1998+7))</f>
        <v/>
      </c>
      <c r="J1998">
        <f>IF(COUNT('Hours Log'!$A$4:$A$5000)=0,"",IF(MIN('Hours Log'!$A$4:$A$5000)+7*(ROW()-10)&gt;MAX('Hours Log'!$A$4:$A$5000),"",MIN('Hours Log'!$A$4:$A$5000)+7*(ROW()-10)))</f>
        <v/>
      </c>
    </row>
    <row r="1999">
      <c r="A1999">
        <f>IF($J1999="","",YEAR($J1999-WEEKDAY($J1999,2)+4)&amp;"-W"&amp;TEXT(WEEKNUM($J1999,21),"00"))</f>
        <v/>
      </c>
      <c r="B1999" s="41">
        <f>IF($J1999="","",COUNTIFS(Roster!$D$4:$D$500,"Active",Roster!$C$4:$C$500,"&lt;="&amp;$J1999))</f>
        <v/>
      </c>
      <c r="C1999">
        <f>IF($J1999="","",SUMIFS('Hours Log'!$C:$C,'Hours Log'!$A:$A,"&gt;="&amp;$J1999,'Hours Log'!$A:$A,"&lt;"&amp;$J1999+7)+SUMIFS('Hours Log'!$D:$D,'Hours Log'!$A:$A,"&gt;="&amp;$J1999,'Hours Log'!$A:$A,"&lt;"&amp;$J1999+7))</f>
        <v/>
      </c>
      <c r="D1999">
        <f>IF($J1999="","",SUMIFS('Hours Log'!$D:$D,'Hours Log'!$A:$A,"&gt;="&amp;$J1999,'Hours Log'!$A:$A,"&lt;"&amp;$J1999+7))</f>
        <v/>
      </c>
      <c r="E1999">
        <f>IF($J1999="","",IFERROR(C1999/(B1999*40),0))</f>
        <v/>
      </c>
      <c r="F1999">
        <f>IF($J1999="","",0)</f>
        <v/>
      </c>
      <c r="G1999">
        <f>IF($J1999="","",SUMIFS('Hours Log'!$E:$E,'Hours Log'!$A:$A,"&gt;="&amp;$J1999,'Hours Log'!$A:$A,"&lt;"&amp;$J1999+7))</f>
        <v/>
      </c>
      <c r="J1999">
        <f>IF(COUNT('Hours Log'!$A$4:$A$5000)=0,"",IF(MIN('Hours Log'!$A$4:$A$5000)+7*(ROW()-10)&gt;MAX('Hours Log'!$A$4:$A$5000),"",MIN('Hours Log'!$A$4:$A$5000)+7*(ROW()-10)))</f>
        <v/>
      </c>
    </row>
    <row r="2000">
      <c r="A2000">
        <f>IF($J2000="","",YEAR($J2000-WEEKDAY($J2000,2)+4)&amp;"-W"&amp;TEXT(WEEKNUM($J2000,21),"00"))</f>
        <v/>
      </c>
      <c r="B2000" s="41">
        <f>IF($J2000="","",COUNTIFS(Roster!$D$4:$D$500,"Active",Roster!$C$4:$C$500,"&lt;="&amp;$J2000))</f>
        <v/>
      </c>
      <c r="C2000">
        <f>IF($J2000="","",SUMIFS('Hours Log'!$C:$C,'Hours Log'!$A:$A,"&gt;="&amp;$J2000,'Hours Log'!$A:$A,"&lt;"&amp;$J2000+7)+SUMIFS('Hours Log'!$D:$D,'Hours Log'!$A:$A,"&gt;="&amp;$J2000,'Hours Log'!$A:$A,"&lt;"&amp;$J2000+7))</f>
        <v/>
      </c>
      <c r="D2000">
        <f>IF($J2000="","",SUMIFS('Hours Log'!$D:$D,'Hours Log'!$A:$A,"&gt;="&amp;$J2000,'Hours Log'!$A:$A,"&lt;"&amp;$J2000+7))</f>
        <v/>
      </c>
      <c r="E2000">
        <f>IF($J2000="","",IFERROR(C2000/(B2000*40),0))</f>
        <v/>
      </c>
      <c r="F2000">
        <f>IF($J2000="","",0)</f>
        <v/>
      </c>
      <c r="G2000">
        <f>IF($J2000="","",SUMIFS('Hours Log'!$E:$E,'Hours Log'!$A:$A,"&gt;="&amp;$J2000,'Hours Log'!$A:$A,"&lt;"&amp;$J2000+7))</f>
        <v/>
      </c>
      <c r="J2000">
        <f>IF(COUNT('Hours Log'!$A$4:$A$5000)=0,"",IF(MIN('Hours Log'!$A$4:$A$5000)+7*(ROW()-10)&gt;MAX('Hours Log'!$A$4:$A$5000),"",MIN('Hours Log'!$A$4:$A$5000)+7*(ROW()-10)))</f>
        <v/>
      </c>
    </row>
  </sheetData>
  <mergeCells count="4">
    <mergeCell ref="A4:H4"/>
    <mergeCell ref="A8:H8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0"/>
  <sheetViews>
    <sheetView zoomScaleNormal="100" workbookViewId="0">
      <pane ySplit="3" topLeftCell="A4" activePane="bottomLeft" state="frozen"/>
      <selection pane="bottomLeft" activeCell="D25" sqref="D25"/>
    </sheetView>
  </sheetViews>
  <sheetFormatPr baseColWidth="8" defaultRowHeight="15"/>
  <cols>
    <col width="20" customWidth="1" style="43" min="1" max="2"/>
    <col width="13" customWidth="1" style="43" min="3" max="3"/>
    <col width="10" customWidth="1" style="43" min="4" max="4"/>
    <col width="12" customWidth="1" style="43" min="5" max="5"/>
    <col width="10" customWidth="1" style="43" min="6" max="6"/>
    <col width="22" customWidth="1" style="43" min="7" max="7"/>
    <col width="14" customWidth="1" style="43" min="8" max="8"/>
    <col width="30" customWidth="1" style="43" min="9" max="9"/>
    <col width="9.140625" customWidth="1" style="43" min="10" max="13"/>
    <col width="9.140625" customWidth="1" style="43" min="14" max="16384"/>
  </cols>
  <sheetData>
    <row r="1" ht="30" customHeight="1">
      <c r="A1" s="44" t="inlineStr">
        <is>
          <t>SignalStack | Team Tempo — Employee Roster</t>
        </is>
      </c>
    </row>
    <row r="2" ht="15.95" customHeight="1">
      <c r="A2" s="42" t="inlineStr">
        <is>
          <t xml:space="preserve">  One row per employee. Update when roles, rates, or status changes.</t>
        </is>
      </c>
    </row>
    <row r="3" ht="33.95" customHeight="1">
      <c r="A3" s="8" t="inlineStr">
        <is>
          <t>Employee</t>
        </is>
      </c>
      <c r="B3" s="8" t="inlineStr">
        <is>
          <t>Role</t>
        </is>
      </c>
      <c r="C3" s="8" t="inlineStr">
        <is>
          <t>Start Date</t>
        </is>
      </c>
      <c r="D3" s="8" t="inlineStr">
        <is>
          <t>Status</t>
        </is>
      </c>
      <c r="E3" s="8" t="inlineStr">
        <is>
          <t>Pay Rate</t>
        </is>
      </c>
      <c r="F3" s="8" t="inlineStr">
        <is>
          <t>Pay Type</t>
        </is>
      </c>
      <c r="G3" s="8" t="inlineStr">
        <is>
          <t>Certifications</t>
        </is>
      </c>
      <c r="H3" s="8" t="inlineStr">
        <is>
          <t>Training Due</t>
        </is>
      </c>
      <c r="I3" s="8" t="inlineStr">
        <is>
          <t>Notes</t>
        </is>
      </c>
    </row>
    <row r="4">
      <c r="A4" s="23" t="inlineStr">
        <is>
          <t>Tech A</t>
        </is>
      </c>
      <c r="B4" s="20" t="inlineStr">
        <is>
          <t>Lead Tech</t>
        </is>
      </c>
      <c r="C4" s="19" t="n">
        <v>43597</v>
      </c>
      <c r="D4" s="9" t="inlineStr">
        <is>
          <t>Active</t>
        </is>
      </c>
      <c r="E4" s="49" t="n">
        <v>32</v>
      </c>
      <c r="F4" s="20" t="inlineStr">
        <is>
          <t>Hourly</t>
        </is>
      </c>
      <c r="G4" s="20" t="inlineStr">
        <is>
          <t>CDL, OSHA-10</t>
        </is>
      </c>
      <c r="H4" s="19" t="n">
        <v>45915</v>
      </c>
      <c r="I4" s="20" t="n"/>
    </row>
    <row r="5">
      <c r="A5" s="25" t="inlineStr">
        <is>
          <t>Tech B</t>
        </is>
      </c>
      <c r="B5" s="22" t="inlineStr">
        <is>
          <t>Field Tech</t>
        </is>
      </c>
      <c r="C5" s="21" t="n">
        <v>44263</v>
      </c>
      <c r="D5" s="9" t="inlineStr">
        <is>
          <t>Active</t>
        </is>
      </c>
      <c r="E5" s="50" t="n">
        <v>28.5</v>
      </c>
      <c r="F5" s="22" t="inlineStr">
        <is>
          <t>Hourly</t>
        </is>
      </c>
      <c r="G5" s="22" t="inlineStr">
        <is>
          <t>OSHA-10</t>
        </is>
      </c>
      <c r="H5" s="21" t="n">
        <v>45838</v>
      </c>
      <c r="I5" s="22" t="n"/>
    </row>
    <row r="6">
      <c r="A6" s="23" t="inlineStr">
        <is>
          <t>Tech C</t>
        </is>
      </c>
      <c r="B6" s="20" t="inlineStr">
        <is>
          <t>Field Tech</t>
        </is>
      </c>
      <c r="C6" s="19" t="n">
        <v>44887</v>
      </c>
      <c r="D6" s="9" t="inlineStr">
        <is>
          <t>Active</t>
        </is>
      </c>
      <c r="E6" s="49" t="n">
        <v>27</v>
      </c>
      <c r="F6" s="20" t="inlineStr">
        <is>
          <t>Hourly</t>
        </is>
      </c>
      <c r="G6" s="20" t="n"/>
      <c r="H6" s="19" t="n">
        <v>45747</v>
      </c>
      <c r="I6" s="20" t="inlineStr">
        <is>
          <t>Training overdue</t>
        </is>
      </c>
    </row>
    <row r="7">
      <c r="A7" s="25" t="inlineStr">
        <is>
          <t>Tech D</t>
        </is>
      </c>
      <c r="B7" s="22" t="inlineStr">
        <is>
          <t>Senior Tech</t>
        </is>
      </c>
      <c r="C7" s="21" t="n">
        <v>44026</v>
      </c>
      <c r="D7" s="9" t="inlineStr">
        <is>
          <t>Active</t>
        </is>
      </c>
      <c r="E7" s="50" t="n">
        <v>30</v>
      </c>
      <c r="F7" s="22" t="inlineStr">
        <is>
          <t>Hourly</t>
        </is>
      </c>
      <c r="G7" s="22" t="inlineStr">
        <is>
          <t>CDL, OSHA-30</t>
        </is>
      </c>
      <c r="H7" s="21" t="n">
        <v>45992</v>
      </c>
      <c r="I7" s="22" t="n"/>
    </row>
    <row r="8">
      <c r="A8" s="23" t="inlineStr">
        <is>
          <t>Tech E</t>
        </is>
      </c>
      <c r="B8" s="20" t="inlineStr">
        <is>
          <t>Office Admin</t>
        </is>
      </c>
      <c r="C8" s="19" t="n">
        <v>44440</v>
      </c>
      <c r="D8" s="9" t="inlineStr">
        <is>
          <t>Active</t>
        </is>
      </c>
      <c r="E8" s="49" t="n">
        <v>22</v>
      </c>
      <c r="F8" s="20" t="inlineStr">
        <is>
          <t>Hourly</t>
        </is>
      </c>
      <c r="G8" s="20" t="n"/>
      <c r="H8" s="19" t="n">
        <v>45838</v>
      </c>
      <c r="I8" s="20" t="n"/>
    </row>
    <row r="9">
      <c r="A9" s="25" t="inlineStr">
        <is>
          <t>Tech F</t>
        </is>
      </c>
      <c r="B9" s="22" t="inlineStr">
        <is>
          <t>Field Tech</t>
        </is>
      </c>
      <c r="C9" s="21" t="n">
        <v>44936</v>
      </c>
      <c r="D9" s="9" t="inlineStr">
        <is>
          <t>Active</t>
        </is>
      </c>
      <c r="E9" s="50" t="n">
        <v>26.5</v>
      </c>
      <c r="F9" s="22" t="inlineStr">
        <is>
          <t>Hourly</t>
        </is>
      </c>
      <c r="G9" s="22" t="inlineStr">
        <is>
          <t>OSHA-10</t>
        </is>
      </c>
      <c r="H9" s="21" t="n">
        <v>46032</v>
      </c>
      <c r="I9" s="22" t="n"/>
    </row>
    <row r="10">
      <c r="A10" s="23" t="inlineStr">
        <is>
          <t>Tech G</t>
        </is>
      </c>
      <c r="B10" s="20" t="inlineStr">
        <is>
          <t>Ops Coordinator</t>
        </is>
      </c>
      <c r="C10" s="19" t="n">
        <v>44669</v>
      </c>
      <c r="D10" s="9" t="inlineStr">
        <is>
          <t>Active</t>
        </is>
      </c>
      <c r="E10" s="49" t="n">
        <v>24</v>
      </c>
      <c r="F10" s="20" t="inlineStr">
        <is>
          <t>Hourly</t>
        </is>
      </c>
      <c r="G10" s="20" t="n"/>
      <c r="H10" s="19" t="n">
        <v>46130</v>
      </c>
      <c r="I10" s="20" t="n"/>
    </row>
    <row r="11">
      <c r="A11" s="25" t="inlineStr">
        <is>
          <t>Tech H</t>
        </is>
      </c>
      <c r="B11" s="22" t="inlineStr">
        <is>
          <t>Field Tech</t>
        </is>
      </c>
      <c r="C11" s="21" t="n">
        <v>45509</v>
      </c>
      <c r="D11" s="9" t="inlineStr">
        <is>
          <t>Active</t>
        </is>
      </c>
      <c r="E11" s="50" t="n">
        <v>25</v>
      </c>
      <c r="F11" s="22" t="inlineStr">
        <is>
          <t>Hourly</t>
        </is>
      </c>
      <c r="G11" s="22" t="n"/>
      <c r="H11" s="21" t="n">
        <v>45874</v>
      </c>
      <c r="I11" s="22" t="inlineStr">
        <is>
          <t>Still in 90-day probation</t>
        </is>
      </c>
    </row>
    <row r="12">
      <c r="A12" s="43" t="inlineStr">
        <is>
          <t>Tech I</t>
        </is>
      </c>
      <c r="B12" s="43" t="inlineStr">
        <is>
          <t>Field Tech</t>
        </is>
      </c>
      <c r="C12" s="31" t="n">
        <v>45823</v>
      </c>
      <c r="D12" s="43" t="inlineStr">
        <is>
          <t>Active</t>
        </is>
      </c>
      <c r="E12" s="51" t="n">
        <v>26</v>
      </c>
      <c r="F12" s="43" t="inlineStr">
        <is>
          <t>Hourly</t>
        </is>
      </c>
      <c r="G12" s="43" t="inlineStr">
        <is>
          <t>OSHA-10</t>
        </is>
      </c>
      <c r="H12" s="31" t="n">
        <v>46188</v>
      </c>
    </row>
    <row r="13">
      <c r="A13" s="43" t="inlineStr">
        <is>
          <t>Tech J</t>
        </is>
      </c>
      <c r="B13" s="43" t="inlineStr">
        <is>
          <t>Field Tech</t>
        </is>
      </c>
      <c r="C13" s="31" t="n">
        <v>46028</v>
      </c>
      <c r="D13" s="43" t="inlineStr">
        <is>
          <t>Active</t>
        </is>
      </c>
      <c r="E13" s="51" t="n">
        <v>25.5</v>
      </c>
      <c r="F13" s="43" t="inlineStr">
        <is>
          <t>Hourly</t>
        </is>
      </c>
      <c r="H13" s="31" t="n">
        <v>46393</v>
      </c>
      <c r="I13" s="43" t="inlineStr">
        <is>
          <t>New hire</t>
        </is>
      </c>
    </row>
    <row r="14">
      <c r="C14" s="34" t="n"/>
      <c r="E14" s="52" t="n"/>
      <c r="H14" s="34" t="n"/>
    </row>
    <row r="15">
      <c r="C15" s="34" t="n"/>
      <c r="E15" s="52" t="n"/>
      <c r="H15" s="34" t="n"/>
    </row>
    <row r="16">
      <c r="C16" s="34" t="n"/>
      <c r="E16" s="52" t="n"/>
      <c r="H16" s="34" t="n"/>
    </row>
    <row r="17">
      <c r="C17" s="34" t="n"/>
      <c r="E17" s="52" t="n"/>
      <c r="H17" s="34" t="n"/>
    </row>
    <row r="18">
      <c r="C18" s="34" t="n"/>
      <c r="E18" s="52" t="n"/>
      <c r="H18" s="34" t="n"/>
    </row>
    <row r="19">
      <c r="C19" s="34" t="n"/>
      <c r="E19" s="52" t="n"/>
      <c r="H19" s="34" t="n"/>
    </row>
    <row r="20">
      <c r="C20" s="34" t="n"/>
      <c r="E20" s="52" t="n"/>
      <c r="H20" s="34" t="n"/>
    </row>
    <row r="21">
      <c r="C21" s="34" t="n"/>
      <c r="E21" s="52" t="n"/>
      <c r="H21" s="34" t="n"/>
    </row>
    <row r="22">
      <c r="C22" s="34" t="n"/>
      <c r="E22" s="52" t="n"/>
      <c r="H22" s="34" t="n"/>
    </row>
    <row r="23">
      <c r="C23" s="34" t="n"/>
      <c r="E23" s="52" t="n"/>
      <c r="H23" s="34" t="n"/>
    </row>
    <row r="24">
      <c r="C24" s="34" t="n"/>
      <c r="E24" s="52" t="n"/>
      <c r="H24" s="34" t="n"/>
    </row>
    <row r="25">
      <c r="C25" s="34" t="n"/>
      <c r="E25" s="52" t="n"/>
      <c r="H25" s="34" t="n"/>
    </row>
    <row r="26">
      <c r="C26" s="34" t="n"/>
      <c r="E26" s="52" t="n"/>
      <c r="H26" s="34" t="n"/>
    </row>
    <row r="27">
      <c r="C27" s="34" t="n"/>
      <c r="E27" s="52" t="n"/>
      <c r="H27" s="34" t="n"/>
    </row>
    <row r="28">
      <c r="C28" s="34" t="n"/>
      <c r="E28" s="52" t="n"/>
      <c r="H28" s="34" t="n"/>
    </row>
    <row r="29">
      <c r="C29" s="34" t="n"/>
      <c r="E29" s="52" t="n"/>
      <c r="H29" s="34" t="n"/>
    </row>
    <row r="30">
      <c r="C30" s="34" t="n"/>
      <c r="E30" s="52" t="n"/>
      <c r="H30" s="34" t="n"/>
    </row>
    <row r="31">
      <c r="C31" s="34" t="n"/>
      <c r="E31" s="52" t="n"/>
      <c r="H31" s="34" t="n"/>
    </row>
    <row r="32">
      <c r="C32" s="34" t="n"/>
      <c r="E32" s="52" t="n"/>
      <c r="H32" s="34" t="n"/>
    </row>
    <row r="33">
      <c r="C33" s="34" t="n"/>
      <c r="E33" s="52" t="n"/>
      <c r="H33" s="34" t="n"/>
    </row>
    <row r="34">
      <c r="C34" s="34" t="n"/>
      <c r="E34" s="52" t="n"/>
      <c r="H34" s="34" t="n"/>
    </row>
    <row r="35">
      <c r="C35" s="34" t="n"/>
      <c r="E35" s="52" t="n"/>
      <c r="H35" s="34" t="n"/>
    </row>
    <row r="36">
      <c r="C36" s="34" t="n"/>
      <c r="E36" s="52" t="n"/>
      <c r="H36" s="34" t="n"/>
    </row>
    <row r="37">
      <c r="C37" s="34" t="n"/>
      <c r="E37" s="52" t="n"/>
      <c r="H37" s="34" t="n"/>
    </row>
    <row r="38">
      <c r="C38" s="34" t="n"/>
      <c r="E38" s="52" t="n"/>
      <c r="H38" s="34" t="n"/>
    </row>
    <row r="39">
      <c r="C39" s="34" t="n"/>
      <c r="E39" s="52" t="n"/>
      <c r="H39" s="34" t="n"/>
    </row>
    <row r="40">
      <c r="C40" s="34" t="n"/>
      <c r="E40" s="52" t="n"/>
      <c r="H40" s="34" t="n"/>
    </row>
    <row r="41">
      <c r="C41" s="34" t="n"/>
      <c r="E41" s="52" t="n"/>
      <c r="H41" s="34" t="n"/>
    </row>
    <row r="42">
      <c r="C42" s="34" t="n"/>
      <c r="E42" s="52" t="n"/>
      <c r="H42" s="34" t="n"/>
    </row>
    <row r="43">
      <c r="C43" s="34" t="n"/>
      <c r="E43" s="52" t="n"/>
      <c r="H43" s="34" t="n"/>
    </row>
    <row r="44">
      <c r="C44" s="34" t="n"/>
      <c r="E44" s="52" t="n"/>
      <c r="H44" s="34" t="n"/>
    </row>
    <row r="45">
      <c r="C45" s="34" t="n"/>
      <c r="E45" s="52" t="n"/>
      <c r="H45" s="34" t="n"/>
    </row>
    <row r="46">
      <c r="C46" s="34" t="n"/>
      <c r="E46" s="52" t="n"/>
      <c r="H46" s="34" t="n"/>
    </row>
    <row r="47">
      <c r="C47" s="34" t="n"/>
      <c r="E47" s="52" t="n"/>
      <c r="H47" s="34" t="n"/>
    </row>
    <row r="48">
      <c r="C48" s="34" t="n"/>
      <c r="E48" s="52" t="n"/>
      <c r="H48" s="34" t="n"/>
    </row>
    <row r="49">
      <c r="C49" s="34" t="n"/>
      <c r="E49" s="52" t="n"/>
      <c r="H49" s="34" t="n"/>
    </row>
    <row r="50">
      <c r="C50" s="34" t="n"/>
      <c r="E50" s="52" t="n"/>
      <c r="H50" s="34" t="n"/>
    </row>
    <row r="51">
      <c r="C51" s="34" t="n"/>
      <c r="E51" s="52" t="n"/>
      <c r="H51" s="34" t="n"/>
    </row>
    <row r="52">
      <c r="C52" s="34" t="n"/>
      <c r="E52" s="52" t="n"/>
      <c r="H52" s="34" t="n"/>
    </row>
    <row r="53">
      <c r="C53" s="34" t="n"/>
      <c r="E53" s="52" t="n"/>
      <c r="H53" s="34" t="n"/>
    </row>
    <row r="54">
      <c r="C54" s="34" t="n"/>
      <c r="E54" s="52" t="n"/>
      <c r="H54" s="34" t="n"/>
    </row>
    <row r="55">
      <c r="C55" s="34" t="n"/>
      <c r="E55" s="52" t="n"/>
      <c r="H55" s="34" t="n"/>
    </row>
    <row r="56">
      <c r="C56" s="34" t="n"/>
      <c r="E56" s="52" t="n"/>
      <c r="H56" s="34" t="n"/>
    </row>
    <row r="57">
      <c r="C57" s="34" t="n"/>
      <c r="E57" s="52" t="n"/>
      <c r="H57" s="34" t="n"/>
    </row>
    <row r="58">
      <c r="C58" s="34" t="n"/>
      <c r="E58" s="52" t="n"/>
      <c r="H58" s="34" t="n"/>
    </row>
    <row r="59">
      <c r="C59" s="34" t="n"/>
      <c r="E59" s="52" t="n"/>
      <c r="H59" s="34" t="n"/>
    </row>
    <row r="60">
      <c r="C60" s="34" t="n"/>
      <c r="E60" s="52" t="n"/>
      <c r="H60" s="34" t="n"/>
    </row>
    <row r="61">
      <c r="C61" s="34" t="n"/>
      <c r="E61" s="52" t="n"/>
      <c r="H61" s="34" t="n"/>
    </row>
    <row r="62">
      <c r="C62" s="34" t="n"/>
      <c r="E62" s="52" t="n"/>
      <c r="H62" s="34" t="n"/>
    </row>
    <row r="63">
      <c r="C63" s="34" t="n"/>
      <c r="E63" s="52" t="n"/>
      <c r="H63" s="34" t="n"/>
    </row>
    <row r="64">
      <c r="C64" s="34" t="n"/>
      <c r="E64" s="52" t="n"/>
      <c r="H64" s="34" t="n"/>
    </row>
    <row r="65">
      <c r="C65" s="34" t="n"/>
      <c r="E65" s="52" t="n"/>
      <c r="H65" s="34" t="n"/>
    </row>
    <row r="66">
      <c r="C66" s="34" t="n"/>
      <c r="E66" s="52" t="n"/>
      <c r="H66" s="34" t="n"/>
    </row>
    <row r="67">
      <c r="C67" s="34" t="n"/>
      <c r="E67" s="52" t="n"/>
      <c r="H67" s="34" t="n"/>
    </row>
    <row r="68">
      <c r="C68" s="34" t="n"/>
      <c r="E68" s="52" t="n"/>
      <c r="H68" s="34" t="n"/>
    </row>
    <row r="69">
      <c r="C69" s="34" t="n"/>
      <c r="E69" s="52" t="n"/>
      <c r="H69" s="34" t="n"/>
    </row>
    <row r="70">
      <c r="C70" s="34" t="n"/>
      <c r="E70" s="52" t="n"/>
      <c r="H70" s="34" t="n"/>
    </row>
    <row r="71">
      <c r="C71" s="34" t="n"/>
      <c r="E71" s="52" t="n"/>
      <c r="H71" s="34" t="n"/>
    </row>
    <row r="72">
      <c r="C72" s="34" t="n"/>
      <c r="E72" s="52" t="n"/>
      <c r="H72" s="34" t="n"/>
    </row>
    <row r="73">
      <c r="C73" s="34" t="n"/>
      <c r="E73" s="52" t="n"/>
      <c r="H73" s="34" t="n"/>
    </row>
    <row r="74">
      <c r="C74" s="34" t="n"/>
      <c r="E74" s="52" t="n"/>
      <c r="H74" s="34" t="n"/>
    </row>
    <row r="75">
      <c r="C75" s="34" t="n"/>
      <c r="E75" s="52" t="n"/>
      <c r="H75" s="34" t="n"/>
    </row>
    <row r="76">
      <c r="C76" s="34" t="n"/>
      <c r="E76" s="52" t="n"/>
      <c r="H76" s="34" t="n"/>
    </row>
    <row r="77">
      <c r="C77" s="34" t="n"/>
      <c r="E77" s="52" t="n"/>
      <c r="H77" s="34" t="n"/>
    </row>
    <row r="78">
      <c r="C78" s="34" t="n"/>
      <c r="E78" s="52" t="n"/>
      <c r="H78" s="34" t="n"/>
    </row>
    <row r="79">
      <c r="C79" s="34" t="n"/>
      <c r="E79" s="52" t="n"/>
      <c r="H79" s="34" t="n"/>
    </row>
    <row r="80">
      <c r="C80" s="34" t="n"/>
      <c r="E80" s="52" t="n"/>
      <c r="H80" s="34" t="n"/>
    </row>
    <row r="81">
      <c r="C81" s="34" t="n"/>
      <c r="E81" s="52" t="n"/>
      <c r="H81" s="34" t="n"/>
    </row>
    <row r="82">
      <c r="C82" s="34" t="n"/>
      <c r="E82" s="52" t="n"/>
      <c r="H82" s="34" t="n"/>
    </row>
    <row r="83">
      <c r="C83" s="34" t="n"/>
      <c r="E83" s="52" t="n"/>
      <c r="H83" s="34" t="n"/>
    </row>
    <row r="84">
      <c r="C84" s="34" t="n"/>
      <c r="E84" s="52" t="n"/>
      <c r="H84" s="34" t="n"/>
    </row>
    <row r="85">
      <c r="C85" s="34" t="n"/>
      <c r="E85" s="52" t="n"/>
      <c r="H85" s="34" t="n"/>
    </row>
    <row r="86">
      <c r="C86" s="34" t="n"/>
      <c r="E86" s="52" t="n"/>
      <c r="H86" s="34" t="n"/>
    </row>
    <row r="87">
      <c r="C87" s="34" t="n"/>
      <c r="E87" s="52" t="n"/>
      <c r="H87" s="34" t="n"/>
    </row>
    <row r="88">
      <c r="C88" s="34" t="n"/>
      <c r="E88" s="52" t="n"/>
      <c r="H88" s="34" t="n"/>
    </row>
    <row r="89">
      <c r="C89" s="34" t="n"/>
      <c r="E89" s="52" t="n"/>
      <c r="H89" s="34" t="n"/>
    </row>
    <row r="90">
      <c r="C90" s="34" t="n"/>
      <c r="E90" s="52" t="n"/>
      <c r="H90" s="34" t="n"/>
    </row>
    <row r="91">
      <c r="C91" s="34" t="n"/>
      <c r="E91" s="52" t="n"/>
      <c r="H91" s="34" t="n"/>
    </row>
    <row r="92">
      <c r="C92" s="34" t="n"/>
      <c r="E92" s="52" t="n"/>
      <c r="H92" s="34" t="n"/>
    </row>
    <row r="93">
      <c r="C93" s="34" t="n"/>
      <c r="E93" s="52" t="n"/>
      <c r="H93" s="34" t="n"/>
    </row>
    <row r="94">
      <c r="C94" s="34" t="n"/>
      <c r="E94" s="52" t="n"/>
      <c r="H94" s="34" t="n"/>
    </row>
    <row r="95">
      <c r="C95" s="34" t="n"/>
      <c r="E95" s="52" t="n"/>
      <c r="H95" s="34" t="n"/>
    </row>
    <row r="96">
      <c r="C96" s="34" t="n"/>
      <c r="E96" s="52" t="n"/>
      <c r="H96" s="34" t="n"/>
    </row>
    <row r="97">
      <c r="C97" s="34" t="n"/>
      <c r="E97" s="52" t="n"/>
      <c r="H97" s="34" t="n"/>
    </row>
    <row r="98">
      <c r="C98" s="34" t="n"/>
      <c r="E98" s="52" t="n"/>
      <c r="H98" s="34" t="n"/>
    </row>
    <row r="99">
      <c r="C99" s="34" t="n"/>
      <c r="E99" s="52" t="n"/>
      <c r="H99" s="34" t="n"/>
    </row>
    <row r="100">
      <c r="C100" s="34" t="n"/>
      <c r="E100" s="52" t="n"/>
      <c r="H100" s="34" t="n"/>
    </row>
    <row r="101">
      <c r="C101" s="34" t="n"/>
      <c r="E101" s="52" t="n"/>
      <c r="H101" s="34" t="n"/>
    </row>
    <row r="102">
      <c r="C102" s="34" t="n"/>
      <c r="E102" s="52" t="n"/>
      <c r="H102" s="34" t="n"/>
    </row>
    <row r="103">
      <c r="C103" s="34" t="n"/>
      <c r="E103" s="52" t="n"/>
      <c r="H103" s="34" t="n"/>
    </row>
    <row r="104">
      <c r="C104" s="34" t="n"/>
      <c r="E104" s="52" t="n"/>
      <c r="H104" s="34" t="n"/>
    </row>
    <row r="105">
      <c r="C105" s="34" t="n"/>
      <c r="E105" s="52" t="n"/>
      <c r="H105" s="34" t="n"/>
    </row>
    <row r="106">
      <c r="C106" s="34" t="n"/>
      <c r="E106" s="52" t="n"/>
      <c r="H106" s="34" t="n"/>
    </row>
    <row r="107">
      <c r="C107" s="34" t="n"/>
      <c r="E107" s="52" t="n"/>
      <c r="H107" s="34" t="n"/>
    </row>
    <row r="108">
      <c r="C108" s="34" t="n"/>
      <c r="E108" s="52" t="n"/>
      <c r="H108" s="34" t="n"/>
    </row>
    <row r="109">
      <c r="C109" s="34" t="n"/>
      <c r="E109" s="52" t="n"/>
      <c r="H109" s="34" t="n"/>
    </row>
    <row r="110">
      <c r="C110" s="34" t="n"/>
      <c r="E110" s="52" t="n"/>
      <c r="H110" s="34" t="n"/>
    </row>
    <row r="111">
      <c r="C111" s="34" t="n"/>
      <c r="E111" s="52" t="n"/>
      <c r="H111" s="34" t="n"/>
    </row>
    <row r="112">
      <c r="C112" s="34" t="n"/>
      <c r="E112" s="52" t="n"/>
      <c r="H112" s="34" t="n"/>
    </row>
    <row r="113">
      <c r="C113" s="34" t="n"/>
      <c r="E113" s="52" t="n"/>
      <c r="H113" s="34" t="n"/>
    </row>
    <row r="114">
      <c r="C114" s="34" t="n"/>
      <c r="E114" s="52" t="n"/>
      <c r="H114" s="34" t="n"/>
    </row>
    <row r="115">
      <c r="C115" s="34" t="n"/>
      <c r="E115" s="52" t="n"/>
      <c r="H115" s="34" t="n"/>
    </row>
    <row r="116">
      <c r="C116" s="34" t="n"/>
      <c r="E116" s="52" t="n"/>
      <c r="H116" s="34" t="n"/>
    </row>
    <row r="117">
      <c r="C117" s="34" t="n"/>
      <c r="E117" s="52" t="n"/>
      <c r="H117" s="34" t="n"/>
    </row>
    <row r="118">
      <c r="C118" s="34" t="n"/>
      <c r="E118" s="52" t="n"/>
      <c r="H118" s="34" t="n"/>
    </row>
    <row r="119">
      <c r="C119" s="34" t="n"/>
      <c r="E119" s="52" t="n"/>
      <c r="H119" s="34" t="n"/>
    </row>
    <row r="120">
      <c r="C120" s="34" t="n"/>
      <c r="E120" s="52" t="n"/>
      <c r="H120" s="34" t="n"/>
    </row>
    <row r="121">
      <c r="C121" s="34" t="n"/>
      <c r="E121" s="52" t="n"/>
      <c r="H121" s="34" t="n"/>
    </row>
    <row r="122">
      <c r="C122" s="34" t="n"/>
      <c r="E122" s="52" t="n"/>
      <c r="H122" s="34" t="n"/>
    </row>
    <row r="123">
      <c r="C123" s="34" t="n"/>
      <c r="E123" s="52" t="n"/>
      <c r="H123" s="34" t="n"/>
    </row>
    <row r="124">
      <c r="C124" s="34" t="n"/>
      <c r="E124" s="52" t="n"/>
      <c r="H124" s="34" t="n"/>
    </row>
    <row r="125">
      <c r="C125" s="34" t="n"/>
      <c r="E125" s="52" t="n"/>
      <c r="H125" s="34" t="n"/>
    </row>
    <row r="126">
      <c r="C126" s="34" t="n"/>
      <c r="E126" s="52" t="n"/>
      <c r="H126" s="34" t="n"/>
    </row>
    <row r="127">
      <c r="C127" s="34" t="n"/>
      <c r="E127" s="52" t="n"/>
      <c r="H127" s="34" t="n"/>
    </row>
    <row r="128">
      <c r="C128" s="34" t="n"/>
      <c r="E128" s="52" t="n"/>
      <c r="H128" s="34" t="n"/>
    </row>
    <row r="129">
      <c r="C129" s="34" t="n"/>
      <c r="E129" s="52" t="n"/>
      <c r="H129" s="34" t="n"/>
    </row>
    <row r="130">
      <c r="C130" s="34" t="n"/>
      <c r="E130" s="52" t="n"/>
      <c r="H130" s="34" t="n"/>
    </row>
    <row r="131">
      <c r="C131" s="34" t="n"/>
      <c r="E131" s="52" t="n"/>
      <c r="H131" s="34" t="n"/>
    </row>
    <row r="132">
      <c r="C132" s="34" t="n"/>
      <c r="E132" s="52" t="n"/>
      <c r="H132" s="34" t="n"/>
    </row>
    <row r="133">
      <c r="C133" s="34" t="n"/>
      <c r="E133" s="52" t="n"/>
      <c r="H133" s="34" t="n"/>
    </row>
    <row r="134">
      <c r="C134" s="34" t="n"/>
      <c r="E134" s="52" t="n"/>
      <c r="H134" s="34" t="n"/>
    </row>
    <row r="135">
      <c r="C135" s="34" t="n"/>
      <c r="E135" s="52" t="n"/>
      <c r="H135" s="34" t="n"/>
    </row>
    <row r="136">
      <c r="C136" s="34" t="n"/>
      <c r="E136" s="52" t="n"/>
      <c r="H136" s="34" t="n"/>
    </row>
    <row r="137">
      <c r="C137" s="34" t="n"/>
      <c r="E137" s="52" t="n"/>
      <c r="H137" s="34" t="n"/>
    </row>
    <row r="138">
      <c r="C138" s="34" t="n"/>
      <c r="E138" s="52" t="n"/>
      <c r="H138" s="34" t="n"/>
    </row>
    <row r="139">
      <c r="C139" s="34" t="n"/>
      <c r="E139" s="52" t="n"/>
      <c r="H139" s="34" t="n"/>
    </row>
    <row r="140">
      <c r="C140" s="34" t="n"/>
      <c r="E140" s="52" t="n"/>
      <c r="H140" s="34" t="n"/>
    </row>
    <row r="141">
      <c r="C141" s="34" t="n"/>
      <c r="E141" s="52" t="n"/>
      <c r="H141" s="34" t="n"/>
    </row>
    <row r="142">
      <c r="C142" s="34" t="n"/>
      <c r="E142" s="52" t="n"/>
      <c r="H142" s="34" t="n"/>
    </row>
    <row r="143">
      <c r="C143" s="34" t="n"/>
      <c r="E143" s="52" t="n"/>
      <c r="H143" s="34" t="n"/>
    </row>
    <row r="144">
      <c r="C144" s="34" t="n"/>
      <c r="E144" s="52" t="n"/>
      <c r="H144" s="34" t="n"/>
    </row>
    <row r="145">
      <c r="C145" s="34" t="n"/>
      <c r="E145" s="52" t="n"/>
      <c r="H145" s="34" t="n"/>
    </row>
    <row r="146">
      <c r="C146" s="34" t="n"/>
      <c r="E146" s="52" t="n"/>
      <c r="H146" s="34" t="n"/>
    </row>
    <row r="147">
      <c r="C147" s="34" t="n"/>
      <c r="E147" s="52" t="n"/>
      <c r="H147" s="34" t="n"/>
    </row>
    <row r="148">
      <c r="C148" s="34" t="n"/>
      <c r="E148" s="52" t="n"/>
      <c r="H148" s="34" t="n"/>
    </row>
    <row r="149">
      <c r="C149" s="34" t="n"/>
      <c r="E149" s="52" t="n"/>
      <c r="H149" s="34" t="n"/>
    </row>
    <row r="150">
      <c r="C150" s="34" t="n"/>
      <c r="E150" s="52" t="n"/>
      <c r="H150" s="34" t="n"/>
    </row>
    <row r="151">
      <c r="C151" s="34" t="n"/>
      <c r="E151" s="52" t="n"/>
      <c r="H151" s="34" t="n"/>
    </row>
    <row r="152">
      <c r="C152" s="34" t="n"/>
      <c r="E152" s="52" t="n"/>
      <c r="H152" s="34" t="n"/>
    </row>
    <row r="153">
      <c r="C153" s="34" t="n"/>
      <c r="E153" s="52" t="n"/>
      <c r="H153" s="34" t="n"/>
    </row>
    <row r="154">
      <c r="C154" s="34" t="n"/>
      <c r="E154" s="52" t="n"/>
      <c r="H154" s="34" t="n"/>
    </row>
    <row r="155">
      <c r="C155" s="34" t="n"/>
      <c r="E155" s="52" t="n"/>
      <c r="H155" s="34" t="n"/>
    </row>
    <row r="156">
      <c r="C156" s="34" t="n"/>
      <c r="E156" s="52" t="n"/>
      <c r="H156" s="34" t="n"/>
    </row>
    <row r="157">
      <c r="C157" s="34" t="n"/>
      <c r="E157" s="52" t="n"/>
      <c r="H157" s="34" t="n"/>
    </row>
    <row r="158">
      <c r="C158" s="34" t="n"/>
      <c r="E158" s="52" t="n"/>
      <c r="H158" s="34" t="n"/>
    </row>
    <row r="159">
      <c r="C159" s="34" t="n"/>
      <c r="E159" s="52" t="n"/>
      <c r="H159" s="34" t="n"/>
    </row>
    <row r="160">
      <c r="C160" s="34" t="n"/>
      <c r="E160" s="52" t="n"/>
      <c r="H160" s="34" t="n"/>
    </row>
    <row r="161">
      <c r="C161" s="34" t="n"/>
      <c r="E161" s="52" t="n"/>
      <c r="H161" s="34" t="n"/>
    </row>
    <row r="162">
      <c r="C162" s="34" t="n"/>
      <c r="E162" s="52" t="n"/>
      <c r="H162" s="34" t="n"/>
    </row>
    <row r="163">
      <c r="C163" s="34" t="n"/>
      <c r="E163" s="52" t="n"/>
      <c r="H163" s="34" t="n"/>
    </row>
    <row r="164">
      <c r="C164" s="34" t="n"/>
      <c r="E164" s="52" t="n"/>
      <c r="H164" s="34" t="n"/>
    </row>
    <row r="165">
      <c r="C165" s="34" t="n"/>
      <c r="E165" s="52" t="n"/>
      <c r="H165" s="34" t="n"/>
    </row>
    <row r="166">
      <c r="C166" s="34" t="n"/>
      <c r="E166" s="52" t="n"/>
      <c r="H166" s="34" t="n"/>
    </row>
    <row r="167">
      <c r="C167" s="34" t="n"/>
      <c r="E167" s="52" t="n"/>
      <c r="H167" s="34" t="n"/>
    </row>
    <row r="168">
      <c r="C168" s="34" t="n"/>
      <c r="E168" s="52" t="n"/>
      <c r="H168" s="34" t="n"/>
    </row>
    <row r="169">
      <c r="C169" s="34" t="n"/>
      <c r="E169" s="52" t="n"/>
      <c r="H169" s="34" t="n"/>
    </row>
    <row r="170">
      <c r="C170" s="34" t="n"/>
      <c r="E170" s="52" t="n"/>
      <c r="H170" s="34" t="n"/>
    </row>
    <row r="171">
      <c r="C171" s="34" t="n"/>
      <c r="E171" s="52" t="n"/>
      <c r="H171" s="34" t="n"/>
    </row>
    <row r="172">
      <c r="C172" s="34" t="n"/>
      <c r="E172" s="52" t="n"/>
      <c r="H172" s="34" t="n"/>
    </row>
    <row r="173">
      <c r="C173" s="34" t="n"/>
      <c r="E173" s="52" t="n"/>
      <c r="H173" s="34" t="n"/>
    </row>
    <row r="174">
      <c r="C174" s="34" t="n"/>
      <c r="E174" s="52" t="n"/>
      <c r="H174" s="34" t="n"/>
    </row>
    <row r="175">
      <c r="C175" s="34" t="n"/>
      <c r="E175" s="52" t="n"/>
      <c r="H175" s="34" t="n"/>
    </row>
    <row r="176">
      <c r="C176" s="34" t="n"/>
      <c r="E176" s="52" t="n"/>
      <c r="H176" s="34" t="n"/>
    </row>
    <row r="177">
      <c r="C177" s="34" t="n"/>
      <c r="E177" s="52" t="n"/>
      <c r="H177" s="34" t="n"/>
    </row>
    <row r="178">
      <c r="C178" s="34" t="n"/>
      <c r="E178" s="52" t="n"/>
      <c r="H178" s="34" t="n"/>
    </row>
    <row r="179">
      <c r="C179" s="34" t="n"/>
      <c r="E179" s="52" t="n"/>
      <c r="H179" s="34" t="n"/>
    </row>
    <row r="180">
      <c r="C180" s="34" t="n"/>
      <c r="E180" s="52" t="n"/>
      <c r="H180" s="34" t="n"/>
    </row>
    <row r="181">
      <c r="C181" s="34" t="n"/>
      <c r="E181" s="52" t="n"/>
      <c r="H181" s="34" t="n"/>
    </row>
    <row r="182">
      <c r="C182" s="34" t="n"/>
      <c r="E182" s="52" t="n"/>
      <c r="H182" s="34" t="n"/>
    </row>
    <row r="183">
      <c r="C183" s="34" t="n"/>
      <c r="E183" s="52" t="n"/>
      <c r="H183" s="34" t="n"/>
    </row>
    <row r="184">
      <c r="C184" s="34" t="n"/>
      <c r="E184" s="52" t="n"/>
      <c r="H184" s="34" t="n"/>
    </row>
    <row r="185">
      <c r="C185" s="34" t="n"/>
      <c r="E185" s="52" t="n"/>
      <c r="H185" s="34" t="n"/>
    </row>
    <row r="186">
      <c r="C186" s="34" t="n"/>
      <c r="E186" s="52" t="n"/>
      <c r="H186" s="34" t="n"/>
    </row>
    <row r="187">
      <c r="C187" s="34" t="n"/>
      <c r="E187" s="52" t="n"/>
      <c r="H187" s="34" t="n"/>
    </row>
    <row r="188">
      <c r="C188" s="34" t="n"/>
      <c r="E188" s="52" t="n"/>
      <c r="H188" s="34" t="n"/>
    </row>
    <row r="189">
      <c r="C189" s="34" t="n"/>
      <c r="E189" s="52" t="n"/>
      <c r="H189" s="34" t="n"/>
    </row>
    <row r="190">
      <c r="C190" s="34" t="n"/>
      <c r="E190" s="52" t="n"/>
      <c r="H190" s="34" t="n"/>
    </row>
    <row r="191">
      <c r="C191" s="34" t="n"/>
      <c r="E191" s="52" t="n"/>
      <c r="H191" s="34" t="n"/>
    </row>
    <row r="192">
      <c r="C192" s="34" t="n"/>
      <c r="E192" s="52" t="n"/>
      <c r="H192" s="34" t="n"/>
    </row>
    <row r="193">
      <c r="C193" s="34" t="n"/>
      <c r="E193" s="52" t="n"/>
      <c r="H193" s="34" t="n"/>
    </row>
    <row r="194">
      <c r="C194" s="34" t="n"/>
      <c r="E194" s="52" t="n"/>
      <c r="H194" s="34" t="n"/>
    </row>
    <row r="195">
      <c r="C195" s="34" t="n"/>
      <c r="E195" s="52" t="n"/>
      <c r="H195" s="34" t="n"/>
    </row>
    <row r="196">
      <c r="C196" s="34" t="n"/>
      <c r="E196" s="52" t="n"/>
      <c r="H196" s="34" t="n"/>
    </row>
    <row r="197">
      <c r="C197" s="34" t="n"/>
      <c r="E197" s="52" t="n"/>
      <c r="H197" s="34" t="n"/>
    </row>
    <row r="198">
      <c r="C198" s="34" t="n"/>
      <c r="E198" s="52" t="n"/>
      <c r="H198" s="34" t="n"/>
    </row>
    <row r="199">
      <c r="C199" s="34" t="n"/>
      <c r="E199" s="52" t="n"/>
      <c r="H199" s="34" t="n"/>
    </row>
    <row r="200">
      <c r="C200" s="34" t="n"/>
      <c r="E200" s="52" t="n"/>
      <c r="H200" s="34" t="n"/>
    </row>
    <row r="201">
      <c r="C201" s="34" t="n"/>
      <c r="E201" s="52" t="n"/>
      <c r="H201" s="34" t="n"/>
    </row>
    <row r="202">
      <c r="C202" s="34" t="n"/>
      <c r="E202" s="52" t="n"/>
      <c r="H202" s="34" t="n"/>
    </row>
    <row r="203">
      <c r="C203" s="34" t="n"/>
      <c r="E203" s="52" t="n"/>
      <c r="H203" s="34" t="n"/>
    </row>
    <row r="204">
      <c r="C204" s="34" t="n"/>
      <c r="E204" s="52" t="n"/>
      <c r="H204" s="34" t="n"/>
    </row>
    <row r="205">
      <c r="C205" s="34" t="n"/>
      <c r="E205" s="52" t="n"/>
      <c r="H205" s="34" t="n"/>
    </row>
    <row r="206">
      <c r="C206" s="34" t="n"/>
      <c r="E206" s="52" t="n"/>
      <c r="H206" s="34" t="n"/>
    </row>
    <row r="207">
      <c r="C207" s="34" t="n"/>
      <c r="E207" s="52" t="n"/>
      <c r="H207" s="34" t="n"/>
    </row>
    <row r="208">
      <c r="C208" s="34" t="n"/>
      <c r="E208" s="52" t="n"/>
      <c r="H208" s="34" t="n"/>
    </row>
    <row r="209">
      <c r="C209" s="34" t="n"/>
      <c r="E209" s="52" t="n"/>
      <c r="H209" s="34" t="n"/>
    </row>
    <row r="210">
      <c r="C210" s="34" t="n"/>
      <c r="E210" s="52" t="n"/>
      <c r="H210" s="34" t="n"/>
    </row>
    <row r="211">
      <c r="C211" s="34" t="n"/>
      <c r="E211" s="52" t="n"/>
      <c r="H211" s="34" t="n"/>
    </row>
    <row r="212">
      <c r="C212" s="34" t="n"/>
      <c r="E212" s="52" t="n"/>
      <c r="H212" s="34" t="n"/>
    </row>
    <row r="213">
      <c r="C213" s="34" t="n"/>
      <c r="E213" s="52" t="n"/>
      <c r="H213" s="34" t="n"/>
    </row>
    <row r="214">
      <c r="C214" s="34" t="n"/>
      <c r="E214" s="52" t="n"/>
      <c r="H214" s="34" t="n"/>
    </row>
    <row r="215">
      <c r="C215" s="34" t="n"/>
      <c r="E215" s="52" t="n"/>
      <c r="H215" s="34" t="n"/>
    </row>
    <row r="216">
      <c r="C216" s="34" t="n"/>
      <c r="E216" s="52" t="n"/>
      <c r="H216" s="34" t="n"/>
    </row>
    <row r="217">
      <c r="C217" s="34" t="n"/>
      <c r="E217" s="52" t="n"/>
      <c r="H217" s="34" t="n"/>
    </row>
    <row r="218">
      <c r="C218" s="34" t="n"/>
      <c r="E218" s="52" t="n"/>
      <c r="H218" s="34" t="n"/>
    </row>
    <row r="219">
      <c r="C219" s="34" t="n"/>
      <c r="E219" s="52" t="n"/>
      <c r="H219" s="34" t="n"/>
    </row>
    <row r="220">
      <c r="C220" s="34" t="n"/>
      <c r="E220" s="52" t="n"/>
      <c r="H220" s="34" t="n"/>
    </row>
    <row r="221">
      <c r="C221" s="34" t="n"/>
      <c r="E221" s="52" t="n"/>
      <c r="H221" s="34" t="n"/>
    </row>
    <row r="222">
      <c r="C222" s="34" t="n"/>
      <c r="E222" s="52" t="n"/>
      <c r="H222" s="34" t="n"/>
    </row>
    <row r="223">
      <c r="C223" s="34" t="n"/>
      <c r="E223" s="52" t="n"/>
      <c r="H223" s="34" t="n"/>
    </row>
    <row r="224">
      <c r="C224" s="34" t="n"/>
      <c r="E224" s="52" t="n"/>
      <c r="H224" s="34" t="n"/>
    </row>
    <row r="225">
      <c r="C225" s="34" t="n"/>
      <c r="E225" s="52" t="n"/>
      <c r="H225" s="34" t="n"/>
    </row>
    <row r="226">
      <c r="C226" s="34" t="n"/>
      <c r="E226" s="52" t="n"/>
      <c r="H226" s="34" t="n"/>
    </row>
    <row r="227">
      <c r="C227" s="34" t="n"/>
      <c r="E227" s="52" t="n"/>
      <c r="H227" s="34" t="n"/>
    </row>
    <row r="228">
      <c r="C228" s="34" t="n"/>
      <c r="E228" s="52" t="n"/>
      <c r="H228" s="34" t="n"/>
    </row>
    <row r="229">
      <c r="C229" s="34" t="n"/>
      <c r="E229" s="52" t="n"/>
      <c r="H229" s="34" t="n"/>
    </row>
    <row r="230">
      <c r="C230" s="34" t="n"/>
      <c r="E230" s="52" t="n"/>
      <c r="H230" s="34" t="n"/>
    </row>
    <row r="231">
      <c r="C231" s="34" t="n"/>
      <c r="E231" s="52" t="n"/>
      <c r="H231" s="34" t="n"/>
    </row>
    <row r="232">
      <c r="C232" s="34" t="n"/>
      <c r="E232" s="52" t="n"/>
      <c r="H232" s="34" t="n"/>
    </row>
    <row r="233">
      <c r="C233" s="34" t="n"/>
      <c r="E233" s="52" t="n"/>
      <c r="H233" s="34" t="n"/>
    </row>
    <row r="234">
      <c r="C234" s="34" t="n"/>
      <c r="E234" s="52" t="n"/>
      <c r="H234" s="34" t="n"/>
    </row>
    <row r="235">
      <c r="C235" s="34" t="n"/>
      <c r="E235" s="52" t="n"/>
      <c r="H235" s="34" t="n"/>
    </row>
    <row r="236">
      <c r="C236" s="34" t="n"/>
      <c r="E236" s="52" t="n"/>
      <c r="H236" s="34" t="n"/>
    </row>
    <row r="237">
      <c r="C237" s="34" t="n"/>
      <c r="E237" s="52" t="n"/>
      <c r="H237" s="34" t="n"/>
    </row>
    <row r="238">
      <c r="C238" s="34" t="n"/>
      <c r="E238" s="52" t="n"/>
      <c r="H238" s="34" t="n"/>
    </row>
    <row r="239">
      <c r="C239" s="34" t="n"/>
      <c r="E239" s="52" t="n"/>
      <c r="H239" s="34" t="n"/>
    </row>
    <row r="240">
      <c r="C240" s="34" t="n"/>
      <c r="E240" s="52" t="n"/>
      <c r="H240" s="34" t="n"/>
    </row>
    <row r="241">
      <c r="C241" s="34" t="n"/>
      <c r="E241" s="52" t="n"/>
      <c r="H241" s="34" t="n"/>
    </row>
    <row r="242">
      <c r="C242" s="34" t="n"/>
      <c r="E242" s="52" t="n"/>
      <c r="H242" s="34" t="n"/>
    </row>
    <row r="243">
      <c r="C243" s="34" t="n"/>
      <c r="E243" s="52" t="n"/>
      <c r="H243" s="34" t="n"/>
    </row>
    <row r="244">
      <c r="C244" s="34" t="n"/>
      <c r="E244" s="52" t="n"/>
      <c r="H244" s="34" t="n"/>
    </row>
    <row r="245">
      <c r="C245" s="34" t="n"/>
      <c r="E245" s="52" t="n"/>
      <c r="H245" s="34" t="n"/>
    </row>
    <row r="246">
      <c r="C246" s="34" t="n"/>
      <c r="E246" s="52" t="n"/>
      <c r="H246" s="34" t="n"/>
    </row>
    <row r="247">
      <c r="C247" s="34" t="n"/>
      <c r="E247" s="52" t="n"/>
      <c r="H247" s="34" t="n"/>
    </row>
    <row r="248">
      <c r="C248" s="34" t="n"/>
      <c r="E248" s="52" t="n"/>
      <c r="H248" s="34" t="n"/>
    </row>
    <row r="249">
      <c r="C249" s="34" t="n"/>
      <c r="E249" s="52" t="n"/>
      <c r="H249" s="34" t="n"/>
    </row>
    <row r="250">
      <c r="C250" s="34" t="n"/>
      <c r="E250" s="52" t="n"/>
      <c r="H250" s="34" t="n"/>
    </row>
    <row r="251">
      <c r="C251" s="34" t="n"/>
      <c r="E251" s="52" t="n"/>
      <c r="H251" s="34" t="n"/>
    </row>
    <row r="252">
      <c r="C252" s="34" t="n"/>
      <c r="E252" s="52" t="n"/>
      <c r="H252" s="34" t="n"/>
    </row>
    <row r="253">
      <c r="C253" s="34" t="n"/>
      <c r="E253" s="52" t="n"/>
      <c r="H253" s="34" t="n"/>
    </row>
    <row r="254">
      <c r="C254" s="34" t="n"/>
      <c r="E254" s="52" t="n"/>
      <c r="H254" s="34" t="n"/>
    </row>
    <row r="255">
      <c r="C255" s="34" t="n"/>
      <c r="E255" s="52" t="n"/>
      <c r="H255" s="34" t="n"/>
    </row>
    <row r="256">
      <c r="C256" s="34" t="n"/>
      <c r="E256" s="52" t="n"/>
      <c r="H256" s="34" t="n"/>
    </row>
    <row r="257">
      <c r="C257" s="34" t="n"/>
      <c r="E257" s="52" t="n"/>
      <c r="H257" s="34" t="n"/>
    </row>
    <row r="258">
      <c r="C258" s="34" t="n"/>
      <c r="E258" s="52" t="n"/>
      <c r="H258" s="34" t="n"/>
    </row>
    <row r="259">
      <c r="C259" s="34" t="n"/>
      <c r="E259" s="52" t="n"/>
      <c r="H259" s="34" t="n"/>
    </row>
    <row r="260">
      <c r="C260" s="34" t="n"/>
      <c r="E260" s="52" t="n"/>
      <c r="H260" s="34" t="n"/>
    </row>
    <row r="261">
      <c r="C261" s="34" t="n"/>
      <c r="E261" s="52" t="n"/>
      <c r="H261" s="34" t="n"/>
    </row>
    <row r="262">
      <c r="C262" s="34" t="n"/>
      <c r="E262" s="52" t="n"/>
      <c r="H262" s="34" t="n"/>
    </row>
    <row r="263">
      <c r="C263" s="34" t="n"/>
      <c r="E263" s="52" t="n"/>
      <c r="H263" s="34" t="n"/>
    </row>
    <row r="264">
      <c r="C264" s="34" t="n"/>
      <c r="E264" s="52" t="n"/>
      <c r="H264" s="34" t="n"/>
    </row>
    <row r="265">
      <c r="C265" s="34" t="n"/>
      <c r="E265" s="52" t="n"/>
      <c r="H265" s="34" t="n"/>
    </row>
    <row r="266">
      <c r="C266" s="34" t="n"/>
      <c r="E266" s="52" t="n"/>
      <c r="H266" s="34" t="n"/>
    </row>
    <row r="267">
      <c r="C267" s="34" t="n"/>
      <c r="E267" s="52" t="n"/>
      <c r="H267" s="34" t="n"/>
    </row>
    <row r="268">
      <c r="C268" s="34" t="n"/>
      <c r="E268" s="52" t="n"/>
      <c r="H268" s="34" t="n"/>
    </row>
    <row r="269">
      <c r="C269" s="34" t="n"/>
      <c r="E269" s="52" t="n"/>
      <c r="H269" s="34" t="n"/>
    </row>
    <row r="270">
      <c r="C270" s="34" t="n"/>
      <c r="E270" s="52" t="n"/>
      <c r="H270" s="34" t="n"/>
    </row>
    <row r="271">
      <c r="C271" s="34" t="n"/>
      <c r="E271" s="52" t="n"/>
      <c r="H271" s="34" t="n"/>
    </row>
    <row r="272">
      <c r="C272" s="34" t="n"/>
      <c r="E272" s="52" t="n"/>
      <c r="H272" s="34" t="n"/>
    </row>
    <row r="273">
      <c r="C273" s="34" t="n"/>
      <c r="E273" s="52" t="n"/>
      <c r="H273" s="34" t="n"/>
    </row>
    <row r="274">
      <c r="C274" s="34" t="n"/>
      <c r="E274" s="52" t="n"/>
      <c r="H274" s="34" t="n"/>
    </row>
    <row r="275">
      <c r="C275" s="34" t="n"/>
      <c r="E275" s="52" t="n"/>
      <c r="H275" s="34" t="n"/>
    </row>
    <row r="276">
      <c r="C276" s="34" t="n"/>
      <c r="E276" s="52" t="n"/>
      <c r="H276" s="34" t="n"/>
    </row>
    <row r="277">
      <c r="C277" s="34" t="n"/>
      <c r="E277" s="52" t="n"/>
      <c r="H277" s="34" t="n"/>
    </row>
    <row r="278">
      <c r="C278" s="34" t="n"/>
      <c r="E278" s="52" t="n"/>
      <c r="H278" s="34" t="n"/>
    </row>
    <row r="279">
      <c r="C279" s="34" t="n"/>
      <c r="E279" s="52" t="n"/>
      <c r="H279" s="34" t="n"/>
    </row>
    <row r="280">
      <c r="C280" s="34" t="n"/>
      <c r="E280" s="52" t="n"/>
      <c r="H280" s="34" t="n"/>
    </row>
    <row r="281">
      <c r="C281" s="34" t="n"/>
      <c r="E281" s="52" t="n"/>
      <c r="H281" s="34" t="n"/>
    </row>
    <row r="282">
      <c r="C282" s="34" t="n"/>
      <c r="E282" s="52" t="n"/>
      <c r="H282" s="34" t="n"/>
    </row>
    <row r="283">
      <c r="C283" s="34" t="n"/>
      <c r="E283" s="52" t="n"/>
      <c r="H283" s="34" t="n"/>
    </row>
    <row r="284">
      <c r="C284" s="34" t="n"/>
      <c r="E284" s="52" t="n"/>
      <c r="H284" s="34" t="n"/>
    </row>
    <row r="285">
      <c r="C285" s="34" t="n"/>
      <c r="E285" s="52" t="n"/>
      <c r="H285" s="34" t="n"/>
    </row>
    <row r="286">
      <c r="C286" s="34" t="n"/>
      <c r="E286" s="52" t="n"/>
      <c r="H286" s="34" t="n"/>
    </row>
    <row r="287">
      <c r="C287" s="34" t="n"/>
      <c r="E287" s="52" t="n"/>
      <c r="H287" s="34" t="n"/>
    </row>
    <row r="288">
      <c r="C288" s="34" t="n"/>
      <c r="E288" s="52" t="n"/>
      <c r="H288" s="34" t="n"/>
    </row>
    <row r="289">
      <c r="C289" s="34" t="n"/>
      <c r="E289" s="52" t="n"/>
      <c r="H289" s="34" t="n"/>
    </row>
    <row r="290">
      <c r="C290" s="34" t="n"/>
      <c r="E290" s="52" t="n"/>
      <c r="H290" s="34" t="n"/>
    </row>
    <row r="291">
      <c r="C291" s="34" t="n"/>
      <c r="E291" s="52" t="n"/>
      <c r="H291" s="34" t="n"/>
    </row>
    <row r="292">
      <c r="C292" s="34" t="n"/>
      <c r="E292" s="52" t="n"/>
      <c r="H292" s="34" t="n"/>
    </row>
    <row r="293">
      <c r="C293" s="34" t="n"/>
      <c r="E293" s="52" t="n"/>
      <c r="H293" s="34" t="n"/>
    </row>
    <row r="294">
      <c r="C294" s="34" t="n"/>
      <c r="E294" s="52" t="n"/>
      <c r="H294" s="34" t="n"/>
    </row>
    <row r="295">
      <c r="C295" s="34" t="n"/>
      <c r="E295" s="52" t="n"/>
      <c r="H295" s="34" t="n"/>
    </row>
    <row r="296">
      <c r="C296" s="34" t="n"/>
      <c r="E296" s="52" t="n"/>
      <c r="H296" s="34" t="n"/>
    </row>
    <row r="297">
      <c r="C297" s="34" t="n"/>
      <c r="E297" s="52" t="n"/>
      <c r="H297" s="34" t="n"/>
    </row>
    <row r="298">
      <c r="C298" s="34" t="n"/>
      <c r="E298" s="52" t="n"/>
      <c r="H298" s="34" t="n"/>
    </row>
    <row r="299">
      <c r="C299" s="34" t="n"/>
      <c r="E299" s="52" t="n"/>
      <c r="H299" s="34" t="n"/>
    </row>
    <row r="300">
      <c r="C300" s="34" t="n"/>
      <c r="E300" s="52" t="n"/>
      <c r="H300" s="34" t="n"/>
    </row>
    <row r="301">
      <c r="C301" s="34" t="n"/>
      <c r="E301" s="52" t="n"/>
      <c r="H301" s="34" t="n"/>
    </row>
    <row r="302">
      <c r="C302" s="34" t="n"/>
      <c r="E302" s="52" t="n"/>
      <c r="H302" s="34" t="n"/>
    </row>
    <row r="303">
      <c r="C303" s="34" t="n"/>
      <c r="E303" s="52" t="n"/>
      <c r="H303" s="34" t="n"/>
    </row>
    <row r="304">
      <c r="C304" s="34" t="n"/>
      <c r="E304" s="52" t="n"/>
      <c r="H304" s="34" t="n"/>
    </row>
    <row r="305">
      <c r="C305" s="34" t="n"/>
      <c r="E305" s="52" t="n"/>
      <c r="H305" s="34" t="n"/>
    </row>
    <row r="306">
      <c r="C306" s="34" t="n"/>
      <c r="E306" s="52" t="n"/>
      <c r="H306" s="34" t="n"/>
    </row>
    <row r="307">
      <c r="C307" s="34" t="n"/>
      <c r="E307" s="52" t="n"/>
      <c r="H307" s="34" t="n"/>
    </row>
    <row r="308">
      <c r="C308" s="34" t="n"/>
      <c r="E308" s="52" t="n"/>
      <c r="H308" s="34" t="n"/>
    </row>
    <row r="309">
      <c r="C309" s="34" t="n"/>
      <c r="E309" s="52" t="n"/>
      <c r="H309" s="34" t="n"/>
    </row>
    <row r="310">
      <c r="C310" s="34" t="n"/>
      <c r="E310" s="52" t="n"/>
      <c r="H310" s="34" t="n"/>
    </row>
    <row r="311">
      <c r="C311" s="34" t="n"/>
      <c r="E311" s="52" t="n"/>
      <c r="H311" s="34" t="n"/>
    </row>
    <row r="312">
      <c r="C312" s="34" t="n"/>
      <c r="E312" s="52" t="n"/>
      <c r="H312" s="34" t="n"/>
    </row>
    <row r="313">
      <c r="C313" s="34" t="n"/>
      <c r="E313" s="52" t="n"/>
      <c r="H313" s="34" t="n"/>
    </row>
    <row r="314">
      <c r="C314" s="34" t="n"/>
      <c r="E314" s="52" t="n"/>
      <c r="H314" s="34" t="n"/>
    </row>
    <row r="315">
      <c r="C315" s="34" t="n"/>
      <c r="E315" s="52" t="n"/>
      <c r="H315" s="34" t="n"/>
    </row>
    <row r="316">
      <c r="C316" s="34" t="n"/>
      <c r="E316" s="52" t="n"/>
      <c r="H316" s="34" t="n"/>
    </row>
    <row r="317">
      <c r="C317" s="34" t="n"/>
      <c r="E317" s="52" t="n"/>
      <c r="H317" s="34" t="n"/>
    </row>
    <row r="318">
      <c r="C318" s="34" t="n"/>
      <c r="E318" s="52" t="n"/>
      <c r="H318" s="34" t="n"/>
    </row>
    <row r="319">
      <c r="C319" s="34" t="n"/>
      <c r="E319" s="52" t="n"/>
      <c r="H319" s="34" t="n"/>
    </row>
    <row r="320">
      <c r="C320" s="34" t="n"/>
      <c r="E320" s="52" t="n"/>
      <c r="H320" s="34" t="n"/>
    </row>
    <row r="321">
      <c r="C321" s="34" t="n"/>
      <c r="E321" s="52" t="n"/>
      <c r="H321" s="34" t="n"/>
    </row>
    <row r="322">
      <c r="C322" s="34" t="n"/>
      <c r="E322" s="52" t="n"/>
      <c r="H322" s="34" t="n"/>
    </row>
    <row r="323">
      <c r="C323" s="34" t="n"/>
      <c r="E323" s="52" t="n"/>
      <c r="H323" s="34" t="n"/>
    </row>
    <row r="324">
      <c r="C324" s="34" t="n"/>
      <c r="E324" s="52" t="n"/>
      <c r="H324" s="34" t="n"/>
    </row>
    <row r="325">
      <c r="C325" s="34" t="n"/>
      <c r="E325" s="52" t="n"/>
      <c r="H325" s="34" t="n"/>
    </row>
    <row r="326">
      <c r="C326" s="34" t="n"/>
      <c r="E326" s="52" t="n"/>
      <c r="H326" s="34" t="n"/>
    </row>
    <row r="327">
      <c r="C327" s="34" t="n"/>
      <c r="E327" s="52" t="n"/>
      <c r="H327" s="34" t="n"/>
    </row>
    <row r="328">
      <c r="C328" s="34" t="n"/>
      <c r="E328" s="52" t="n"/>
      <c r="H328" s="34" t="n"/>
    </row>
    <row r="329">
      <c r="C329" s="34" t="n"/>
      <c r="E329" s="52" t="n"/>
      <c r="H329" s="34" t="n"/>
    </row>
    <row r="330">
      <c r="C330" s="34" t="n"/>
      <c r="E330" s="52" t="n"/>
      <c r="H330" s="34" t="n"/>
    </row>
    <row r="331">
      <c r="C331" s="34" t="n"/>
      <c r="E331" s="52" t="n"/>
      <c r="H331" s="34" t="n"/>
    </row>
    <row r="332">
      <c r="C332" s="34" t="n"/>
      <c r="E332" s="52" t="n"/>
      <c r="H332" s="34" t="n"/>
    </row>
    <row r="333">
      <c r="C333" s="34" t="n"/>
      <c r="E333" s="52" t="n"/>
      <c r="H333" s="34" t="n"/>
    </row>
    <row r="334">
      <c r="C334" s="34" t="n"/>
      <c r="E334" s="52" t="n"/>
      <c r="H334" s="34" t="n"/>
    </row>
    <row r="335">
      <c r="C335" s="34" t="n"/>
      <c r="E335" s="52" t="n"/>
      <c r="H335" s="34" t="n"/>
    </row>
    <row r="336">
      <c r="C336" s="34" t="n"/>
      <c r="E336" s="52" t="n"/>
      <c r="H336" s="34" t="n"/>
    </row>
    <row r="337">
      <c r="C337" s="34" t="n"/>
      <c r="E337" s="52" t="n"/>
      <c r="H337" s="34" t="n"/>
    </row>
    <row r="338">
      <c r="C338" s="34" t="n"/>
      <c r="E338" s="52" t="n"/>
      <c r="H338" s="34" t="n"/>
    </row>
    <row r="339">
      <c r="C339" s="34" t="n"/>
      <c r="E339" s="52" t="n"/>
      <c r="H339" s="34" t="n"/>
    </row>
    <row r="340">
      <c r="C340" s="34" t="n"/>
      <c r="E340" s="52" t="n"/>
      <c r="H340" s="34" t="n"/>
    </row>
    <row r="341">
      <c r="C341" s="34" t="n"/>
      <c r="E341" s="52" t="n"/>
      <c r="H341" s="34" t="n"/>
    </row>
    <row r="342">
      <c r="C342" s="34" t="n"/>
      <c r="E342" s="52" t="n"/>
      <c r="H342" s="34" t="n"/>
    </row>
    <row r="343">
      <c r="C343" s="34" t="n"/>
      <c r="E343" s="52" t="n"/>
      <c r="H343" s="34" t="n"/>
    </row>
    <row r="344">
      <c r="C344" s="34" t="n"/>
      <c r="E344" s="52" t="n"/>
      <c r="H344" s="34" t="n"/>
    </row>
    <row r="345">
      <c r="C345" s="34" t="n"/>
      <c r="E345" s="52" t="n"/>
      <c r="H345" s="34" t="n"/>
    </row>
    <row r="346">
      <c r="C346" s="34" t="n"/>
      <c r="E346" s="52" t="n"/>
      <c r="H346" s="34" t="n"/>
    </row>
    <row r="347">
      <c r="C347" s="34" t="n"/>
      <c r="E347" s="52" t="n"/>
      <c r="H347" s="34" t="n"/>
    </row>
    <row r="348">
      <c r="C348" s="34" t="n"/>
      <c r="E348" s="52" t="n"/>
      <c r="H348" s="34" t="n"/>
    </row>
    <row r="349">
      <c r="C349" s="34" t="n"/>
      <c r="E349" s="52" t="n"/>
      <c r="H349" s="34" t="n"/>
    </row>
    <row r="350">
      <c r="C350" s="34" t="n"/>
      <c r="E350" s="52" t="n"/>
      <c r="H350" s="34" t="n"/>
    </row>
    <row r="351">
      <c r="C351" s="34" t="n"/>
      <c r="E351" s="52" t="n"/>
      <c r="H351" s="34" t="n"/>
    </row>
    <row r="352">
      <c r="C352" s="34" t="n"/>
      <c r="E352" s="52" t="n"/>
      <c r="H352" s="34" t="n"/>
    </row>
    <row r="353">
      <c r="C353" s="34" t="n"/>
      <c r="E353" s="52" t="n"/>
      <c r="H353" s="34" t="n"/>
    </row>
    <row r="354">
      <c r="C354" s="34" t="n"/>
      <c r="E354" s="52" t="n"/>
      <c r="H354" s="34" t="n"/>
    </row>
    <row r="355">
      <c r="C355" s="34" t="n"/>
      <c r="E355" s="52" t="n"/>
      <c r="H355" s="34" t="n"/>
    </row>
    <row r="356">
      <c r="C356" s="34" t="n"/>
      <c r="E356" s="52" t="n"/>
      <c r="H356" s="34" t="n"/>
    </row>
    <row r="357">
      <c r="C357" s="34" t="n"/>
      <c r="E357" s="52" t="n"/>
      <c r="H357" s="34" t="n"/>
    </row>
    <row r="358">
      <c r="C358" s="34" t="n"/>
      <c r="E358" s="52" t="n"/>
      <c r="H358" s="34" t="n"/>
    </row>
    <row r="359">
      <c r="C359" s="34" t="n"/>
      <c r="E359" s="52" t="n"/>
      <c r="H359" s="34" t="n"/>
    </row>
    <row r="360">
      <c r="C360" s="34" t="n"/>
      <c r="E360" s="52" t="n"/>
      <c r="H360" s="34" t="n"/>
    </row>
    <row r="361">
      <c r="C361" s="34" t="n"/>
      <c r="E361" s="52" t="n"/>
      <c r="H361" s="34" t="n"/>
    </row>
    <row r="362">
      <c r="C362" s="34" t="n"/>
      <c r="E362" s="52" t="n"/>
      <c r="H362" s="34" t="n"/>
    </row>
    <row r="363">
      <c r="C363" s="34" t="n"/>
      <c r="E363" s="52" t="n"/>
      <c r="H363" s="34" t="n"/>
    </row>
    <row r="364">
      <c r="C364" s="34" t="n"/>
      <c r="E364" s="52" t="n"/>
      <c r="H364" s="34" t="n"/>
    </row>
    <row r="365">
      <c r="C365" s="34" t="n"/>
      <c r="E365" s="52" t="n"/>
      <c r="H365" s="34" t="n"/>
    </row>
    <row r="366">
      <c r="C366" s="34" t="n"/>
      <c r="E366" s="52" t="n"/>
      <c r="H366" s="34" t="n"/>
    </row>
    <row r="367">
      <c r="C367" s="34" t="n"/>
      <c r="E367" s="52" t="n"/>
      <c r="H367" s="34" t="n"/>
    </row>
    <row r="368">
      <c r="C368" s="34" t="n"/>
      <c r="E368" s="52" t="n"/>
      <c r="H368" s="34" t="n"/>
    </row>
    <row r="369">
      <c r="C369" s="34" t="n"/>
      <c r="E369" s="52" t="n"/>
      <c r="H369" s="34" t="n"/>
    </row>
    <row r="370">
      <c r="C370" s="34" t="n"/>
      <c r="E370" s="52" t="n"/>
      <c r="H370" s="34" t="n"/>
    </row>
    <row r="371">
      <c r="C371" s="34" t="n"/>
      <c r="E371" s="52" t="n"/>
      <c r="H371" s="34" t="n"/>
    </row>
    <row r="372">
      <c r="C372" s="34" t="n"/>
      <c r="E372" s="52" t="n"/>
      <c r="H372" s="34" t="n"/>
    </row>
    <row r="373">
      <c r="C373" s="34" t="n"/>
      <c r="E373" s="52" t="n"/>
      <c r="H373" s="34" t="n"/>
    </row>
    <row r="374">
      <c r="C374" s="34" t="n"/>
      <c r="E374" s="52" t="n"/>
      <c r="H374" s="34" t="n"/>
    </row>
    <row r="375">
      <c r="C375" s="34" t="n"/>
      <c r="E375" s="52" t="n"/>
      <c r="H375" s="34" t="n"/>
    </row>
    <row r="376">
      <c r="C376" s="34" t="n"/>
      <c r="E376" s="52" t="n"/>
      <c r="H376" s="34" t="n"/>
    </row>
    <row r="377">
      <c r="C377" s="34" t="n"/>
      <c r="E377" s="52" t="n"/>
      <c r="H377" s="34" t="n"/>
    </row>
    <row r="378">
      <c r="C378" s="34" t="n"/>
      <c r="E378" s="52" t="n"/>
      <c r="H378" s="34" t="n"/>
    </row>
    <row r="379">
      <c r="C379" s="34" t="n"/>
      <c r="E379" s="52" t="n"/>
      <c r="H379" s="34" t="n"/>
    </row>
    <row r="380">
      <c r="C380" s="34" t="n"/>
      <c r="E380" s="52" t="n"/>
      <c r="H380" s="34" t="n"/>
    </row>
    <row r="381">
      <c r="C381" s="34" t="n"/>
      <c r="E381" s="52" t="n"/>
      <c r="H381" s="34" t="n"/>
    </row>
    <row r="382">
      <c r="C382" s="34" t="n"/>
      <c r="E382" s="52" t="n"/>
      <c r="H382" s="34" t="n"/>
    </row>
    <row r="383">
      <c r="C383" s="34" t="n"/>
      <c r="E383" s="52" t="n"/>
      <c r="H383" s="34" t="n"/>
    </row>
    <row r="384">
      <c r="C384" s="34" t="n"/>
      <c r="E384" s="52" t="n"/>
      <c r="H384" s="34" t="n"/>
    </row>
    <row r="385">
      <c r="C385" s="34" t="n"/>
      <c r="E385" s="52" t="n"/>
      <c r="H385" s="34" t="n"/>
    </row>
    <row r="386">
      <c r="C386" s="34" t="n"/>
      <c r="E386" s="52" t="n"/>
      <c r="H386" s="34" t="n"/>
    </row>
    <row r="387">
      <c r="C387" s="34" t="n"/>
      <c r="E387" s="52" t="n"/>
      <c r="H387" s="34" t="n"/>
    </row>
    <row r="388">
      <c r="C388" s="34" t="n"/>
      <c r="E388" s="52" t="n"/>
      <c r="H388" s="34" t="n"/>
    </row>
    <row r="389">
      <c r="C389" s="34" t="n"/>
      <c r="E389" s="52" t="n"/>
      <c r="H389" s="34" t="n"/>
    </row>
    <row r="390">
      <c r="C390" s="34" t="n"/>
      <c r="E390" s="52" t="n"/>
      <c r="H390" s="34" t="n"/>
    </row>
    <row r="391">
      <c r="C391" s="34" t="n"/>
      <c r="E391" s="52" t="n"/>
      <c r="H391" s="34" t="n"/>
    </row>
    <row r="392">
      <c r="C392" s="34" t="n"/>
      <c r="E392" s="52" t="n"/>
      <c r="H392" s="34" t="n"/>
    </row>
    <row r="393">
      <c r="C393" s="34" t="n"/>
      <c r="E393" s="52" t="n"/>
      <c r="H393" s="34" t="n"/>
    </row>
    <row r="394">
      <c r="C394" s="34" t="n"/>
      <c r="E394" s="52" t="n"/>
      <c r="H394" s="34" t="n"/>
    </row>
    <row r="395">
      <c r="C395" s="34" t="n"/>
      <c r="E395" s="52" t="n"/>
      <c r="H395" s="34" t="n"/>
    </row>
    <row r="396">
      <c r="C396" s="34" t="n"/>
      <c r="E396" s="52" t="n"/>
      <c r="H396" s="34" t="n"/>
    </row>
    <row r="397">
      <c r="C397" s="34" t="n"/>
      <c r="E397" s="52" t="n"/>
      <c r="H397" s="34" t="n"/>
    </row>
    <row r="398">
      <c r="C398" s="34" t="n"/>
      <c r="E398" s="52" t="n"/>
      <c r="H398" s="34" t="n"/>
    </row>
    <row r="399">
      <c r="C399" s="34" t="n"/>
      <c r="E399" s="52" t="n"/>
      <c r="H399" s="34" t="n"/>
    </row>
    <row r="400">
      <c r="C400" s="34" t="n"/>
      <c r="E400" s="52" t="n"/>
      <c r="H400" s="34" t="n"/>
    </row>
    <row r="401">
      <c r="C401" s="34" t="n"/>
      <c r="E401" s="52" t="n"/>
      <c r="H401" s="34" t="n"/>
    </row>
    <row r="402">
      <c r="C402" s="34" t="n"/>
      <c r="E402" s="52" t="n"/>
      <c r="H402" s="34" t="n"/>
    </row>
    <row r="403">
      <c r="C403" s="34" t="n"/>
      <c r="E403" s="52" t="n"/>
      <c r="H403" s="34" t="n"/>
    </row>
    <row r="404">
      <c r="C404" s="34" t="n"/>
      <c r="E404" s="52" t="n"/>
      <c r="H404" s="34" t="n"/>
    </row>
    <row r="405">
      <c r="C405" s="34" t="n"/>
      <c r="E405" s="52" t="n"/>
      <c r="H405" s="34" t="n"/>
    </row>
    <row r="406">
      <c r="C406" s="34" t="n"/>
      <c r="E406" s="52" t="n"/>
      <c r="H406" s="34" t="n"/>
    </row>
    <row r="407">
      <c r="C407" s="34" t="n"/>
      <c r="E407" s="52" t="n"/>
      <c r="H407" s="34" t="n"/>
    </row>
    <row r="408">
      <c r="C408" s="34" t="n"/>
      <c r="E408" s="52" t="n"/>
      <c r="H408" s="34" t="n"/>
    </row>
    <row r="409">
      <c r="C409" s="34" t="n"/>
      <c r="E409" s="52" t="n"/>
      <c r="H409" s="34" t="n"/>
    </row>
    <row r="410">
      <c r="C410" s="34" t="n"/>
      <c r="E410" s="52" t="n"/>
      <c r="H410" s="34" t="n"/>
    </row>
    <row r="411">
      <c r="C411" s="34" t="n"/>
      <c r="E411" s="52" t="n"/>
      <c r="H411" s="34" t="n"/>
    </row>
    <row r="412">
      <c r="C412" s="34" t="n"/>
      <c r="E412" s="52" t="n"/>
      <c r="H412" s="34" t="n"/>
    </row>
    <row r="413">
      <c r="C413" s="34" t="n"/>
      <c r="E413" s="52" t="n"/>
      <c r="H413" s="34" t="n"/>
    </row>
    <row r="414">
      <c r="C414" s="34" t="n"/>
      <c r="E414" s="52" t="n"/>
      <c r="H414" s="34" t="n"/>
    </row>
    <row r="415">
      <c r="C415" s="34" t="n"/>
      <c r="E415" s="52" t="n"/>
      <c r="H415" s="34" t="n"/>
    </row>
    <row r="416">
      <c r="C416" s="34" t="n"/>
      <c r="E416" s="52" t="n"/>
      <c r="H416" s="34" t="n"/>
    </row>
    <row r="417">
      <c r="C417" s="34" t="n"/>
      <c r="E417" s="52" t="n"/>
      <c r="H417" s="34" t="n"/>
    </row>
    <row r="418">
      <c r="C418" s="34" t="n"/>
      <c r="E418" s="52" t="n"/>
      <c r="H418" s="34" t="n"/>
    </row>
    <row r="419">
      <c r="C419" s="34" t="n"/>
      <c r="E419" s="52" t="n"/>
      <c r="H419" s="34" t="n"/>
    </row>
    <row r="420">
      <c r="C420" s="34" t="n"/>
      <c r="E420" s="52" t="n"/>
      <c r="H420" s="34" t="n"/>
    </row>
    <row r="421">
      <c r="C421" s="34" t="n"/>
      <c r="E421" s="52" t="n"/>
      <c r="H421" s="34" t="n"/>
    </row>
    <row r="422">
      <c r="C422" s="34" t="n"/>
      <c r="E422" s="52" t="n"/>
      <c r="H422" s="34" t="n"/>
    </row>
    <row r="423">
      <c r="C423" s="34" t="n"/>
      <c r="E423" s="52" t="n"/>
      <c r="H423" s="34" t="n"/>
    </row>
    <row r="424">
      <c r="C424" s="34" t="n"/>
      <c r="E424" s="52" t="n"/>
      <c r="H424" s="34" t="n"/>
    </row>
    <row r="425">
      <c r="C425" s="34" t="n"/>
      <c r="E425" s="52" t="n"/>
      <c r="H425" s="34" t="n"/>
    </row>
    <row r="426">
      <c r="C426" s="34" t="n"/>
      <c r="E426" s="52" t="n"/>
      <c r="H426" s="34" t="n"/>
    </row>
    <row r="427">
      <c r="C427" s="34" t="n"/>
      <c r="E427" s="52" t="n"/>
      <c r="H427" s="34" t="n"/>
    </row>
    <row r="428">
      <c r="C428" s="34" t="n"/>
      <c r="E428" s="52" t="n"/>
      <c r="H428" s="34" t="n"/>
    </row>
    <row r="429">
      <c r="C429" s="34" t="n"/>
      <c r="E429" s="52" t="n"/>
      <c r="H429" s="34" t="n"/>
    </row>
    <row r="430">
      <c r="C430" s="34" t="n"/>
      <c r="E430" s="52" t="n"/>
      <c r="H430" s="34" t="n"/>
    </row>
    <row r="431">
      <c r="C431" s="34" t="n"/>
      <c r="E431" s="52" t="n"/>
      <c r="H431" s="34" t="n"/>
    </row>
    <row r="432">
      <c r="C432" s="34" t="n"/>
      <c r="E432" s="52" t="n"/>
      <c r="H432" s="34" t="n"/>
    </row>
    <row r="433">
      <c r="C433" s="34" t="n"/>
      <c r="E433" s="52" t="n"/>
      <c r="H433" s="34" t="n"/>
    </row>
    <row r="434">
      <c r="C434" s="34" t="n"/>
      <c r="E434" s="52" t="n"/>
      <c r="H434" s="34" t="n"/>
    </row>
    <row r="435">
      <c r="C435" s="34" t="n"/>
      <c r="E435" s="52" t="n"/>
      <c r="H435" s="34" t="n"/>
    </row>
    <row r="436">
      <c r="C436" s="34" t="n"/>
      <c r="E436" s="52" t="n"/>
      <c r="H436" s="34" t="n"/>
    </row>
    <row r="437">
      <c r="C437" s="34" t="n"/>
      <c r="E437" s="52" t="n"/>
      <c r="H437" s="34" t="n"/>
    </row>
    <row r="438">
      <c r="C438" s="34" t="n"/>
      <c r="E438" s="52" t="n"/>
      <c r="H438" s="34" t="n"/>
    </row>
    <row r="439">
      <c r="C439" s="34" t="n"/>
      <c r="E439" s="52" t="n"/>
      <c r="H439" s="34" t="n"/>
    </row>
    <row r="440">
      <c r="C440" s="34" t="n"/>
      <c r="E440" s="52" t="n"/>
      <c r="H440" s="34" t="n"/>
    </row>
    <row r="441">
      <c r="C441" s="34" t="n"/>
      <c r="E441" s="52" t="n"/>
      <c r="H441" s="34" t="n"/>
    </row>
    <row r="442">
      <c r="C442" s="34" t="n"/>
      <c r="E442" s="52" t="n"/>
      <c r="H442" s="34" t="n"/>
    </row>
    <row r="443">
      <c r="C443" s="34" t="n"/>
      <c r="E443" s="52" t="n"/>
      <c r="H443" s="34" t="n"/>
    </row>
    <row r="444">
      <c r="C444" s="34" t="n"/>
      <c r="E444" s="52" t="n"/>
      <c r="H444" s="34" t="n"/>
    </row>
    <row r="445">
      <c r="C445" s="34" t="n"/>
      <c r="E445" s="52" t="n"/>
      <c r="H445" s="34" t="n"/>
    </row>
    <row r="446">
      <c r="C446" s="34" t="n"/>
      <c r="E446" s="52" t="n"/>
      <c r="H446" s="34" t="n"/>
    </row>
    <row r="447">
      <c r="C447" s="34" t="n"/>
      <c r="E447" s="52" t="n"/>
      <c r="H447" s="34" t="n"/>
    </row>
    <row r="448">
      <c r="C448" s="34" t="n"/>
      <c r="E448" s="52" t="n"/>
      <c r="H448" s="34" t="n"/>
    </row>
    <row r="449">
      <c r="C449" s="34" t="n"/>
      <c r="E449" s="52" t="n"/>
      <c r="H449" s="34" t="n"/>
    </row>
    <row r="450">
      <c r="C450" s="34" t="n"/>
      <c r="E450" s="52" t="n"/>
      <c r="H450" s="34" t="n"/>
    </row>
    <row r="451">
      <c r="C451" s="34" t="n"/>
      <c r="E451" s="52" t="n"/>
      <c r="H451" s="34" t="n"/>
    </row>
    <row r="452">
      <c r="C452" s="34" t="n"/>
      <c r="E452" s="52" t="n"/>
      <c r="H452" s="34" t="n"/>
    </row>
    <row r="453">
      <c r="C453" s="34" t="n"/>
      <c r="E453" s="52" t="n"/>
      <c r="H453" s="34" t="n"/>
    </row>
    <row r="454">
      <c r="C454" s="34" t="n"/>
      <c r="E454" s="52" t="n"/>
      <c r="H454" s="34" t="n"/>
    </row>
    <row r="455">
      <c r="C455" s="34" t="n"/>
      <c r="E455" s="52" t="n"/>
      <c r="H455" s="34" t="n"/>
    </row>
    <row r="456">
      <c r="C456" s="34" t="n"/>
      <c r="E456" s="52" t="n"/>
      <c r="H456" s="34" t="n"/>
    </row>
    <row r="457">
      <c r="C457" s="34" t="n"/>
      <c r="E457" s="52" t="n"/>
      <c r="H457" s="34" t="n"/>
    </row>
    <row r="458">
      <c r="C458" s="34" t="n"/>
      <c r="E458" s="52" t="n"/>
      <c r="H458" s="34" t="n"/>
    </row>
    <row r="459">
      <c r="C459" s="34" t="n"/>
      <c r="E459" s="52" t="n"/>
      <c r="H459" s="34" t="n"/>
    </row>
    <row r="460">
      <c r="C460" s="34" t="n"/>
      <c r="E460" s="52" t="n"/>
      <c r="H460" s="34" t="n"/>
    </row>
    <row r="461">
      <c r="C461" s="34" t="n"/>
      <c r="E461" s="52" t="n"/>
      <c r="H461" s="34" t="n"/>
    </row>
    <row r="462">
      <c r="C462" s="34" t="n"/>
      <c r="E462" s="52" t="n"/>
      <c r="H462" s="34" t="n"/>
    </row>
    <row r="463">
      <c r="C463" s="34" t="n"/>
      <c r="E463" s="52" t="n"/>
      <c r="H463" s="34" t="n"/>
    </row>
    <row r="464">
      <c r="C464" s="34" t="n"/>
      <c r="E464" s="52" t="n"/>
      <c r="H464" s="34" t="n"/>
    </row>
    <row r="465">
      <c r="C465" s="34" t="n"/>
      <c r="E465" s="52" t="n"/>
      <c r="H465" s="34" t="n"/>
    </row>
    <row r="466">
      <c r="C466" s="34" t="n"/>
      <c r="E466" s="52" t="n"/>
      <c r="H466" s="34" t="n"/>
    </row>
    <row r="467">
      <c r="C467" s="34" t="n"/>
      <c r="E467" s="52" t="n"/>
      <c r="H467" s="34" t="n"/>
    </row>
    <row r="468">
      <c r="C468" s="34" t="n"/>
      <c r="E468" s="52" t="n"/>
      <c r="H468" s="34" t="n"/>
    </row>
    <row r="469">
      <c r="C469" s="34" t="n"/>
      <c r="E469" s="52" t="n"/>
      <c r="H469" s="34" t="n"/>
    </row>
    <row r="470">
      <c r="C470" s="34" t="n"/>
      <c r="E470" s="52" t="n"/>
      <c r="H470" s="34" t="n"/>
    </row>
    <row r="471">
      <c r="C471" s="34" t="n"/>
      <c r="E471" s="52" t="n"/>
      <c r="H471" s="34" t="n"/>
    </row>
    <row r="472">
      <c r="C472" s="34" t="n"/>
      <c r="E472" s="52" t="n"/>
      <c r="H472" s="34" t="n"/>
    </row>
    <row r="473">
      <c r="C473" s="34" t="n"/>
      <c r="E473" s="52" t="n"/>
      <c r="H473" s="34" t="n"/>
    </row>
    <row r="474">
      <c r="C474" s="34" t="n"/>
      <c r="E474" s="52" t="n"/>
      <c r="H474" s="34" t="n"/>
    </row>
    <row r="475">
      <c r="C475" s="34" t="n"/>
      <c r="E475" s="52" t="n"/>
      <c r="H475" s="34" t="n"/>
    </row>
    <row r="476">
      <c r="C476" s="34" t="n"/>
      <c r="E476" s="52" t="n"/>
      <c r="H476" s="34" t="n"/>
    </row>
    <row r="477">
      <c r="C477" s="34" t="n"/>
      <c r="E477" s="52" t="n"/>
      <c r="H477" s="34" t="n"/>
    </row>
    <row r="478">
      <c r="C478" s="34" t="n"/>
      <c r="E478" s="52" t="n"/>
      <c r="H478" s="34" t="n"/>
    </row>
    <row r="479">
      <c r="C479" s="34" t="n"/>
      <c r="E479" s="52" t="n"/>
      <c r="H479" s="34" t="n"/>
    </row>
    <row r="480">
      <c r="C480" s="34" t="n"/>
      <c r="E480" s="52" t="n"/>
      <c r="H480" s="34" t="n"/>
    </row>
    <row r="481">
      <c r="C481" s="34" t="n"/>
      <c r="E481" s="52" t="n"/>
      <c r="H481" s="34" t="n"/>
    </row>
    <row r="482">
      <c r="C482" s="34" t="n"/>
      <c r="E482" s="52" t="n"/>
      <c r="H482" s="34" t="n"/>
    </row>
    <row r="483">
      <c r="C483" s="34" t="n"/>
      <c r="E483" s="52" t="n"/>
      <c r="H483" s="34" t="n"/>
    </row>
    <row r="484">
      <c r="C484" s="34" t="n"/>
      <c r="E484" s="52" t="n"/>
      <c r="H484" s="34" t="n"/>
    </row>
    <row r="485">
      <c r="C485" s="34" t="n"/>
      <c r="E485" s="52" t="n"/>
      <c r="H485" s="34" t="n"/>
    </row>
    <row r="486">
      <c r="C486" s="34" t="n"/>
      <c r="E486" s="52" t="n"/>
      <c r="H486" s="34" t="n"/>
    </row>
    <row r="487">
      <c r="C487" s="34" t="n"/>
      <c r="E487" s="52" t="n"/>
      <c r="H487" s="34" t="n"/>
    </row>
    <row r="488">
      <c r="C488" s="34" t="n"/>
      <c r="E488" s="52" t="n"/>
      <c r="H488" s="34" t="n"/>
    </row>
    <row r="489">
      <c r="C489" s="34" t="n"/>
      <c r="E489" s="52" t="n"/>
      <c r="H489" s="34" t="n"/>
    </row>
    <row r="490">
      <c r="C490" s="34" t="n"/>
      <c r="E490" s="52" t="n"/>
      <c r="H490" s="34" t="n"/>
    </row>
    <row r="491">
      <c r="C491" s="34" t="n"/>
      <c r="E491" s="52" t="n"/>
      <c r="H491" s="34" t="n"/>
    </row>
    <row r="492">
      <c r="C492" s="34" t="n"/>
      <c r="E492" s="52" t="n"/>
      <c r="H492" s="34" t="n"/>
    </row>
    <row r="493">
      <c r="C493" s="34" t="n"/>
      <c r="E493" s="52" t="n"/>
      <c r="H493" s="34" t="n"/>
    </row>
    <row r="494">
      <c r="C494" s="34" t="n"/>
      <c r="E494" s="52" t="n"/>
      <c r="H494" s="34" t="n"/>
    </row>
    <row r="495">
      <c r="C495" s="34" t="n"/>
      <c r="E495" s="52" t="n"/>
      <c r="H495" s="34" t="n"/>
    </row>
    <row r="496">
      <c r="C496" s="34" t="n"/>
      <c r="E496" s="52" t="n"/>
      <c r="H496" s="34" t="n"/>
    </row>
    <row r="497">
      <c r="C497" s="34" t="n"/>
      <c r="E497" s="52" t="n"/>
      <c r="H497" s="34" t="n"/>
    </row>
    <row r="498">
      <c r="C498" s="34" t="n"/>
      <c r="E498" s="52" t="n"/>
      <c r="H498" s="34" t="n"/>
    </row>
    <row r="499">
      <c r="C499" s="34" t="n"/>
      <c r="E499" s="52" t="n"/>
      <c r="H499" s="34" t="n"/>
    </row>
    <row r="500">
      <c r="C500" s="34" t="n"/>
      <c r="E500" s="52" t="n"/>
      <c r="H500" s="34" t="n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00"/>
  <sheetViews>
    <sheetView tabSelected="1" zoomScaleNormal="100" workbookViewId="0">
      <pane ySplit="3" topLeftCell="A4" activePane="bottomLeft" state="frozen"/>
      <selection pane="bottomLeft" activeCell="A4" sqref="A4"/>
    </sheetView>
  </sheetViews>
  <sheetFormatPr baseColWidth="8" defaultRowHeight="15"/>
  <cols>
    <col width="21" customWidth="1" style="27" min="1" max="1"/>
    <col width="21" customWidth="1" style="43" min="2" max="7"/>
  </cols>
  <sheetData>
    <row r="1" ht="30" customHeight="1">
      <c r="A1" s="44" t="inlineStr">
        <is>
          <t>SignalStack | Team Tempo — Weekly Hours Log</t>
        </is>
      </c>
    </row>
    <row r="2" ht="15.95" customHeight="1">
      <c r="A2" s="42" t="inlineStr">
        <is>
          <t xml:space="preserve">  Log hours each week per employee. OT = hours over 40 in a week.</t>
        </is>
      </c>
    </row>
    <row r="3" ht="33.95" customHeight="1">
      <c r="A3" s="8" t="inlineStr">
        <is>
          <t>Week Of</t>
        </is>
      </c>
      <c r="B3" s="8" t="inlineStr">
        <is>
          <t>Employee</t>
        </is>
      </c>
      <c r="C3" s="8" t="inlineStr">
        <is>
          <t>Regular Hrs</t>
        </is>
      </c>
      <c r="D3" s="8" t="inlineStr">
        <is>
          <t>OT Hrs</t>
        </is>
      </c>
      <c r="E3" s="8" t="inlineStr">
        <is>
          <t>Training Hrs</t>
        </is>
      </c>
      <c r="F3" s="8" t="inlineStr">
        <is>
          <t>PTO Hrs</t>
        </is>
      </c>
      <c r="G3" s="8" t="inlineStr">
        <is>
          <t>Total Hrs</t>
        </is>
      </c>
    </row>
    <row r="4">
      <c r="A4" s="19" t="n">
        <v>45614</v>
      </c>
      <c r="B4" s="20" t="inlineStr">
        <is>
          <t>Tech A</t>
        </is>
      </c>
      <c r="C4" s="28" t="n">
        <v>36.8</v>
      </c>
      <c r="D4" s="29" t="n">
        <v>3.4</v>
      </c>
      <c r="E4" s="28" t="n">
        <v>0</v>
      </c>
      <c r="F4" s="28" t="n">
        <v>0</v>
      </c>
      <c r="G4" s="36">
        <f>C4+D4+E4+F4</f>
        <v/>
      </c>
    </row>
    <row r="5">
      <c r="A5" s="21" t="n">
        <v>45614</v>
      </c>
      <c r="B5" s="22" t="inlineStr">
        <is>
          <t>Tech B</t>
        </is>
      </c>
      <c r="C5" s="30" t="n">
        <v>17</v>
      </c>
      <c r="D5" s="30" t="n">
        <v>0</v>
      </c>
      <c r="E5" s="30" t="n">
        <v>0.4</v>
      </c>
      <c r="F5" s="30" t="n">
        <v>0</v>
      </c>
      <c r="G5" s="37">
        <f>C5+D5+E5+F5</f>
        <v/>
      </c>
    </row>
    <row r="6">
      <c r="A6" s="19" t="n">
        <v>45614</v>
      </c>
      <c r="B6" s="20" t="inlineStr">
        <is>
          <t>Tech C</t>
        </is>
      </c>
      <c r="C6" s="28" t="n">
        <v>25</v>
      </c>
      <c r="D6" s="29" t="n">
        <v>0</v>
      </c>
      <c r="E6" s="28" t="n">
        <v>0</v>
      </c>
      <c r="F6" s="28" t="n">
        <v>0</v>
      </c>
      <c r="G6" s="36">
        <f>C6+D6+E6+F6</f>
        <v/>
      </c>
    </row>
    <row r="7">
      <c r="A7" s="21" t="n">
        <v>45614</v>
      </c>
      <c r="B7" s="22" t="inlineStr">
        <is>
          <t>Tech D</t>
        </is>
      </c>
      <c r="C7" s="30" t="n">
        <v>23.4</v>
      </c>
      <c r="D7" s="29" t="n">
        <v>0</v>
      </c>
      <c r="E7" s="30" t="n">
        <v>0.7</v>
      </c>
      <c r="F7" s="30" t="n">
        <v>0</v>
      </c>
      <c r="G7" s="37">
        <f>C7+D7+E7+F7</f>
        <v/>
      </c>
    </row>
    <row r="8">
      <c r="A8" s="19" t="n">
        <v>45614</v>
      </c>
      <c r="B8" s="20" t="inlineStr">
        <is>
          <t>Tech E</t>
        </is>
      </c>
      <c r="C8" s="28" t="n">
        <v>39.9</v>
      </c>
      <c r="D8" s="28" t="n">
        <v>0</v>
      </c>
      <c r="E8" s="28" t="n">
        <v>0.6</v>
      </c>
      <c r="F8" s="28" t="n">
        <v>0</v>
      </c>
      <c r="G8" s="36">
        <f>C8+D8+E8+F8</f>
        <v/>
      </c>
    </row>
    <row r="9">
      <c r="A9" s="21" t="n">
        <v>45614</v>
      </c>
      <c r="B9" s="22" t="inlineStr">
        <is>
          <t>Tech F</t>
        </is>
      </c>
      <c r="C9" s="30" t="n">
        <v>38</v>
      </c>
      <c r="D9" s="30" t="n">
        <v>4.8</v>
      </c>
      <c r="E9" s="30" t="n">
        <v>0</v>
      </c>
      <c r="F9" s="30" t="n">
        <v>0</v>
      </c>
      <c r="G9" s="37">
        <f>C9+D9+E9+F9</f>
        <v/>
      </c>
    </row>
    <row r="10">
      <c r="A10" s="19" t="n">
        <v>45614</v>
      </c>
      <c r="B10" s="20" t="inlineStr">
        <is>
          <t>Tech G</t>
        </is>
      </c>
      <c r="C10" s="28" t="n">
        <v>45</v>
      </c>
      <c r="D10" s="29" t="n">
        <v>2.5</v>
      </c>
      <c r="E10" s="28" t="n">
        <v>0.3</v>
      </c>
      <c r="F10" s="28" t="n">
        <v>0</v>
      </c>
      <c r="G10" s="36">
        <f>C10+D10+E10+F10</f>
        <v/>
      </c>
    </row>
    <row r="11">
      <c r="A11" s="21" t="n">
        <v>45614</v>
      </c>
      <c r="B11" s="22" t="inlineStr">
        <is>
          <t>Tech H</t>
        </is>
      </c>
      <c r="C11" s="30" t="n">
        <v>18.9</v>
      </c>
      <c r="D11" s="29" t="n">
        <v>3.3</v>
      </c>
      <c r="E11" s="30" t="n">
        <v>0</v>
      </c>
      <c r="F11" s="30" t="n">
        <v>0</v>
      </c>
      <c r="G11" s="37">
        <f>C11+D11+E11+F11</f>
        <v/>
      </c>
    </row>
    <row r="12">
      <c r="A12" s="31" t="n">
        <v>45621</v>
      </c>
      <c r="B12" s="43" t="inlineStr">
        <is>
          <t>Tech A</t>
        </is>
      </c>
      <c r="C12" s="32" t="n">
        <v>27.6</v>
      </c>
      <c r="D12" s="32" t="n">
        <v>3.1</v>
      </c>
      <c r="E12" s="32" t="n">
        <v>0.6</v>
      </c>
      <c r="F12" s="32" t="n">
        <v>0</v>
      </c>
      <c r="G12" s="32">
        <f>C12+D12+E12+F12</f>
        <v/>
      </c>
    </row>
    <row r="13">
      <c r="A13" s="31" t="n">
        <v>45621</v>
      </c>
      <c r="B13" s="43" t="inlineStr">
        <is>
          <t>Tech B</t>
        </is>
      </c>
      <c r="C13" s="32" t="n">
        <v>19.6</v>
      </c>
      <c r="D13" s="32" t="n">
        <v>4.1</v>
      </c>
      <c r="E13" s="32" t="n">
        <v>0</v>
      </c>
      <c r="F13" s="32" t="n">
        <v>0</v>
      </c>
      <c r="G13" s="32">
        <f>C13+D13+E13+F13</f>
        <v/>
      </c>
    </row>
    <row r="14">
      <c r="A14" s="31" t="n">
        <v>45621</v>
      </c>
      <c r="B14" s="43" t="inlineStr">
        <is>
          <t>Tech C</t>
        </is>
      </c>
      <c r="C14" s="32" t="n">
        <v>34.6</v>
      </c>
      <c r="D14" s="32" t="n">
        <v>0</v>
      </c>
      <c r="E14" s="32" t="n">
        <v>0</v>
      </c>
      <c r="F14" s="32" t="n">
        <v>0</v>
      </c>
      <c r="G14" s="32">
        <f>C14+D14+E14+F14</f>
        <v/>
      </c>
    </row>
    <row r="15">
      <c r="A15" s="31" t="n">
        <v>45621</v>
      </c>
      <c r="B15" s="43" t="inlineStr">
        <is>
          <t>Tech D</t>
        </is>
      </c>
      <c r="C15" s="32" t="n">
        <v>22.6</v>
      </c>
      <c r="D15" s="32" t="n">
        <v>0</v>
      </c>
      <c r="E15" s="32" t="n">
        <v>0.9</v>
      </c>
      <c r="F15" s="32" t="n">
        <v>0</v>
      </c>
      <c r="G15" s="32">
        <f>C15+D15+E15+F15</f>
        <v/>
      </c>
    </row>
    <row r="16">
      <c r="A16" s="31" t="n">
        <v>45621</v>
      </c>
      <c r="B16" s="43" t="inlineStr">
        <is>
          <t>Tech E</t>
        </is>
      </c>
      <c r="C16" s="32" t="n">
        <v>51.3</v>
      </c>
      <c r="D16" s="32" t="n">
        <v>4.5</v>
      </c>
      <c r="E16" s="32" t="n">
        <v>0</v>
      </c>
      <c r="F16" s="32" t="n">
        <v>0</v>
      </c>
      <c r="G16" s="32">
        <f>C16+D16+E16+F16</f>
        <v/>
      </c>
    </row>
    <row r="17">
      <c r="A17" s="31" t="n">
        <v>45621</v>
      </c>
      <c r="B17" s="43" t="inlineStr">
        <is>
          <t>Tech F</t>
        </is>
      </c>
      <c r="C17" s="32" t="n">
        <v>20.9</v>
      </c>
      <c r="D17" s="32" t="n">
        <v>3.3</v>
      </c>
      <c r="E17" s="32" t="n">
        <v>0</v>
      </c>
      <c r="F17" s="32" t="n">
        <v>0</v>
      </c>
      <c r="G17" s="32">
        <f>C17+D17+E17+F17</f>
        <v/>
      </c>
    </row>
    <row r="18">
      <c r="A18" s="31" t="n">
        <v>45621</v>
      </c>
      <c r="B18" s="43" t="inlineStr">
        <is>
          <t>Tech G</t>
        </is>
      </c>
      <c r="C18" s="32" t="n">
        <v>28.6</v>
      </c>
      <c r="D18" s="32" t="n">
        <v>0</v>
      </c>
      <c r="E18" s="32" t="n">
        <v>0.7</v>
      </c>
      <c r="F18" s="32" t="n">
        <v>0</v>
      </c>
      <c r="G18" s="32">
        <f>C18+D18+E18+F18</f>
        <v/>
      </c>
    </row>
    <row r="19">
      <c r="A19" s="31" t="n">
        <v>45621</v>
      </c>
      <c r="B19" s="43" t="inlineStr">
        <is>
          <t>Tech H</t>
        </is>
      </c>
      <c r="C19" s="32" t="n">
        <v>40.8</v>
      </c>
      <c r="D19" s="32" t="n">
        <v>0</v>
      </c>
      <c r="E19" s="32" t="n">
        <v>0.8</v>
      </c>
      <c r="F19" s="32" t="n">
        <v>0</v>
      </c>
      <c r="G19" s="32">
        <f>C19+D19+E19+F19</f>
        <v/>
      </c>
    </row>
    <row r="20">
      <c r="A20" s="31" t="n">
        <v>45628</v>
      </c>
      <c r="B20" s="43" t="inlineStr">
        <is>
          <t>Tech A</t>
        </is>
      </c>
      <c r="C20" s="32" t="n">
        <v>23</v>
      </c>
      <c r="D20" s="32" t="n">
        <v>2</v>
      </c>
      <c r="E20" s="32" t="n">
        <v>0</v>
      </c>
      <c r="F20" s="32" t="n">
        <v>0</v>
      </c>
      <c r="G20" s="32">
        <f>C20+D20+E20+F20</f>
        <v/>
      </c>
    </row>
    <row r="21">
      <c r="A21" s="31" t="n">
        <v>45628</v>
      </c>
      <c r="B21" s="43" t="inlineStr">
        <is>
          <t>Tech B</t>
        </is>
      </c>
      <c r="C21" s="32" t="n">
        <v>39</v>
      </c>
      <c r="D21" s="32" t="n">
        <v>0</v>
      </c>
      <c r="E21" s="32" t="n">
        <v>1.3</v>
      </c>
      <c r="F21" s="32" t="n">
        <v>0</v>
      </c>
      <c r="G21" s="32">
        <f>C21+D21+E21+F21</f>
        <v/>
      </c>
    </row>
    <row r="22">
      <c r="A22" s="31" t="n">
        <v>45628</v>
      </c>
      <c r="B22" s="43" t="inlineStr">
        <is>
          <t>Tech C</t>
        </is>
      </c>
      <c r="C22" s="32" t="n">
        <v>29.8</v>
      </c>
      <c r="D22" s="32" t="n">
        <v>1.8</v>
      </c>
      <c r="E22" s="32" t="n">
        <v>0</v>
      </c>
      <c r="F22" s="32" t="n">
        <v>0</v>
      </c>
      <c r="G22" s="32">
        <f>C22+D22+E22+F22</f>
        <v/>
      </c>
    </row>
    <row r="23">
      <c r="A23" s="31" t="n">
        <v>45628</v>
      </c>
      <c r="B23" s="43" t="inlineStr">
        <is>
          <t>Tech D</t>
        </is>
      </c>
      <c r="C23" s="32" t="n">
        <v>27.6</v>
      </c>
      <c r="D23" s="32" t="n">
        <v>3.7</v>
      </c>
      <c r="E23" s="32" t="n">
        <v>2.1</v>
      </c>
      <c r="F23" s="32" t="n">
        <v>0</v>
      </c>
      <c r="G23" s="32">
        <f>C23+D23+E23+F23</f>
        <v/>
      </c>
    </row>
    <row r="24">
      <c r="A24" s="31" t="n">
        <v>45628</v>
      </c>
      <c r="B24" s="43" t="inlineStr">
        <is>
          <t>Tech E</t>
        </is>
      </c>
      <c r="C24" s="32" t="n">
        <v>31</v>
      </c>
      <c r="D24" s="32" t="n">
        <v>0</v>
      </c>
      <c r="E24" s="32" t="n">
        <v>0</v>
      </c>
      <c r="F24" s="32" t="n">
        <v>0</v>
      </c>
      <c r="G24" s="32">
        <f>C24+D24+E24+F24</f>
        <v/>
      </c>
    </row>
    <row r="25">
      <c r="A25" s="31" t="n">
        <v>45628</v>
      </c>
      <c r="B25" s="43" t="inlineStr">
        <is>
          <t>Tech F</t>
        </is>
      </c>
      <c r="C25" s="32" t="n">
        <v>35.1</v>
      </c>
      <c r="D25" s="32" t="n">
        <v>0</v>
      </c>
      <c r="E25" s="32" t="n">
        <v>1.4</v>
      </c>
      <c r="F25" s="32" t="n">
        <v>0</v>
      </c>
      <c r="G25" s="32">
        <f>C25+D25+E25+F25</f>
        <v/>
      </c>
    </row>
    <row r="26">
      <c r="A26" s="31" t="n">
        <v>45628</v>
      </c>
      <c r="B26" s="43" t="inlineStr">
        <is>
          <t>Tech G</t>
        </is>
      </c>
      <c r="C26" s="32" t="n">
        <v>33.4</v>
      </c>
      <c r="D26" s="32" t="n">
        <v>3.5</v>
      </c>
      <c r="E26" s="32" t="n">
        <v>0</v>
      </c>
      <c r="F26" s="32" t="n">
        <v>0</v>
      </c>
      <c r="G26" s="32">
        <f>C26+D26+E26+F26</f>
        <v/>
      </c>
    </row>
    <row r="27">
      <c r="A27" s="31" t="n">
        <v>45628</v>
      </c>
      <c r="B27" s="43" t="inlineStr">
        <is>
          <t>Tech H</t>
        </is>
      </c>
      <c r="C27" s="32" t="n">
        <v>19.1</v>
      </c>
      <c r="D27" s="32" t="n">
        <v>0</v>
      </c>
      <c r="E27" s="32" t="n">
        <v>1.2</v>
      </c>
      <c r="F27" s="32" t="n">
        <v>0</v>
      </c>
      <c r="G27" s="32">
        <f>C27+D27+E27+F27</f>
        <v/>
      </c>
    </row>
    <row r="28">
      <c r="A28" s="31" t="n">
        <v>45635</v>
      </c>
      <c r="B28" s="43" t="inlineStr">
        <is>
          <t>Tech A</t>
        </is>
      </c>
      <c r="C28" s="32" t="n">
        <v>34.9</v>
      </c>
      <c r="D28" s="32" t="n">
        <v>0</v>
      </c>
      <c r="E28" s="32" t="n">
        <v>0</v>
      </c>
      <c r="F28" s="32" t="n">
        <v>8</v>
      </c>
      <c r="G28" s="32">
        <f>C28+D28+E28+F28</f>
        <v/>
      </c>
    </row>
    <row r="29">
      <c r="A29" s="31" t="n">
        <v>45635</v>
      </c>
      <c r="B29" s="43" t="inlineStr">
        <is>
          <t>Tech B</t>
        </is>
      </c>
      <c r="C29" s="32" t="n">
        <v>20.4</v>
      </c>
      <c r="D29" s="32" t="n">
        <v>0</v>
      </c>
      <c r="E29" s="32" t="n">
        <v>0.7</v>
      </c>
      <c r="F29" s="32" t="n">
        <v>0</v>
      </c>
      <c r="G29" s="32">
        <f>C29+D29+E29+F29</f>
        <v/>
      </c>
    </row>
    <row r="30">
      <c r="A30" s="31" t="n">
        <v>45635</v>
      </c>
      <c r="B30" s="43" t="inlineStr">
        <is>
          <t>Tech C</t>
        </is>
      </c>
      <c r="C30" s="32" t="n">
        <v>18.9</v>
      </c>
      <c r="D30" s="32" t="n">
        <v>0</v>
      </c>
      <c r="E30" s="32" t="n">
        <v>0.5</v>
      </c>
      <c r="F30" s="32" t="n">
        <v>0</v>
      </c>
      <c r="G30" s="32">
        <f>C30+D30+E30+F30</f>
        <v/>
      </c>
    </row>
    <row r="31">
      <c r="A31" s="31" t="n">
        <v>45635</v>
      </c>
      <c r="B31" s="43" t="inlineStr">
        <is>
          <t>Tech D</t>
        </is>
      </c>
      <c r="C31" s="32" t="n">
        <v>21</v>
      </c>
      <c r="D31" s="32" t="n">
        <v>1.4</v>
      </c>
      <c r="E31" s="32" t="n">
        <v>0</v>
      </c>
      <c r="F31" s="32" t="n">
        <v>0</v>
      </c>
      <c r="G31" s="32">
        <f>C31+D31+E31+F31</f>
        <v/>
      </c>
    </row>
    <row r="32">
      <c r="A32" s="31" t="n">
        <v>45635</v>
      </c>
      <c r="B32" s="43" t="inlineStr">
        <is>
          <t>Tech E</t>
        </is>
      </c>
      <c r="C32" s="32" t="n">
        <v>38.9</v>
      </c>
      <c r="D32" s="32" t="n">
        <v>1.9</v>
      </c>
      <c r="E32" s="32" t="n">
        <v>0.4</v>
      </c>
      <c r="F32" s="32" t="n">
        <v>0</v>
      </c>
      <c r="G32" s="32">
        <f>C32+D32+E32+F32</f>
        <v/>
      </c>
    </row>
    <row r="33">
      <c r="A33" s="31" t="n">
        <v>45635</v>
      </c>
      <c r="B33" s="43" t="inlineStr">
        <is>
          <t>Tech F</t>
        </is>
      </c>
      <c r="C33" s="32" t="n">
        <v>44.6</v>
      </c>
      <c r="D33" s="32" t="n">
        <v>0</v>
      </c>
      <c r="E33" s="32" t="n">
        <v>0.4</v>
      </c>
      <c r="F33" s="32" t="n">
        <v>0</v>
      </c>
      <c r="G33" s="32">
        <f>C33+D33+E33+F33</f>
        <v/>
      </c>
    </row>
    <row r="34">
      <c r="A34" s="31" t="n">
        <v>45635</v>
      </c>
      <c r="B34" s="43" t="inlineStr">
        <is>
          <t>Tech G</t>
        </is>
      </c>
      <c r="C34" s="32" t="n">
        <v>31.8</v>
      </c>
      <c r="D34" s="32" t="n">
        <v>2.6</v>
      </c>
      <c r="E34" s="32" t="n">
        <v>0</v>
      </c>
      <c r="F34" s="32" t="n">
        <v>0</v>
      </c>
      <c r="G34" s="32">
        <f>C34+D34+E34+F34</f>
        <v/>
      </c>
    </row>
    <row r="35">
      <c r="A35" s="31" t="n">
        <v>45635</v>
      </c>
      <c r="B35" s="43" t="inlineStr">
        <is>
          <t>Tech H</t>
        </is>
      </c>
      <c r="C35" s="32" t="n">
        <v>19.5</v>
      </c>
      <c r="D35" s="32" t="n">
        <v>2.1</v>
      </c>
      <c r="E35" s="32" t="n">
        <v>0</v>
      </c>
      <c r="F35" s="32" t="n">
        <v>0</v>
      </c>
      <c r="G35" s="32">
        <f>C35+D35+E35+F35</f>
        <v/>
      </c>
    </row>
    <row r="36">
      <c r="A36" s="31" t="n">
        <v>45642</v>
      </c>
      <c r="B36" s="43" t="inlineStr">
        <is>
          <t>Tech A</t>
        </is>
      </c>
      <c r="C36" s="32" t="n">
        <v>17.8</v>
      </c>
      <c r="D36" s="32" t="n">
        <v>1.4</v>
      </c>
      <c r="E36" s="32" t="n">
        <v>0</v>
      </c>
      <c r="F36" s="32" t="n">
        <v>0</v>
      </c>
      <c r="G36" s="32">
        <f>C36+D36+E36+F36</f>
        <v/>
      </c>
    </row>
    <row r="37">
      <c r="A37" s="31" t="n">
        <v>45642</v>
      </c>
      <c r="B37" s="43" t="inlineStr">
        <is>
          <t>Tech B</t>
        </is>
      </c>
      <c r="C37" s="32" t="n">
        <v>22.2</v>
      </c>
      <c r="D37" s="32" t="n">
        <v>0</v>
      </c>
      <c r="E37" s="32" t="n">
        <v>0</v>
      </c>
      <c r="F37" s="32" t="n">
        <v>0</v>
      </c>
      <c r="G37" s="32">
        <f>C37+D37+E37+F37</f>
        <v/>
      </c>
    </row>
    <row r="38">
      <c r="A38" s="31" t="n">
        <v>45642</v>
      </c>
      <c r="B38" s="43" t="inlineStr">
        <is>
          <t>Tech C</t>
        </is>
      </c>
      <c r="C38" s="32" t="n">
        <v>16.8</v>
      </c>
      <c r="D38" s="32" t="n">
        <v>0</v>
      </c>
      <c r="E38" s="32" t="n">
        <v>0</v>
      </c>
      <c r="F38" s="32" t="n">
        <v>0</v>
      </c>
      <c r="G38" s="32">
        <f>C38+D38+E38+F38</f>
        <v/>
      </c>
    </row>
    <row r="39">
      <c r="A39" s="31" t="n">
        <v>45642</v>
      </c>
      <c r="B39" s="43" t="inlineStr">
        <is>
          <t>Tech D</t>
        </is>
      </c>
      <c r="C39" s="32" t="n">
        <v>37</v>
      </c>
      <c r="D39" s="32" t="n">
        <v>1.3</v>
      </c>
      <c r="E39" s="32" t="n">
        <v>0</v>
      </c>
      <c r="F39" s="32" t="n">
        <v>0</v>
      </c>
      <c r="G39" s="32">
        <f>C39+D39+E39+F39</f>
        <v/>
      </c>
    </row>
    <row r="40">
      <c r="A40" s="31" t="n">
        <v>45642</v>
      </c>
      <c r="B40" s="43" t="inlineStr">
        <is>
          <t>Tech E</t>
        </is>
      </c>
      <c r="C40" s="32" t="n">
        <v>36.2</v>
      </c>
      <c r="D40" s="32" t="n">
        <v>0</v>
      </c>
      <c r="E40" s="32" t="n">
        <v>0</v>
      </c>
      <c r="F40" s="32" t="n">
        <v>0</v>
      </c>
      <c r="G40" s="32">
        <f>C40+D40+E40+F40</f>
        <v/>
      </c>
    </row>
    <row r="41">
      <c r="A41" s="31" t="n">
        <v>45642</v>
      </c>
      <c r="B41" s="43" t="inlineStr">
        <is>
          <t>Tech F</t>
        </is>
      </c>
      <c r="C41" s="32" t="n">
        <v>36.1</v>
      </c>
      <c r="D41" s="32" t="n">
        <v>1.3</v>
      </c>
      <c r="E41" s="32" t="n">
        <v>0</v>
      </c>
      <c r="F41" s="32" t="n">
        <v>0</v>
      </c>
      <c r="G41" s="32">
        <f>C41+D41+E41+F41</f>
        <v/>
      </c>
    </row>
    <row r="42">
      <c r="A42" s="31" t="n">
        <v>45642</v>
      </c>
      <c r="B42" s="43" t="inlineStr">
        <is>
          <t>Tech G</t>
        </is>
      </c>
      <c r="C42" s="32" t="n">
        <v>27.9</v>
      </c>
      <c r="D42" s="32" t="n">
        <v>0</v>
      </c>
      <c r="E42" s="32" t="n">
        <v>0</v>
      </c>
      <c r="F42" s="32" t="n">
        <v>0</v>
      </c>
      <c r="G42" s="32">
        <f>C42+D42+E42+F42</f>
        <v/>
      </c>
    </row>
    <row r="43">
      <c r="A43" s="31" t="n">
        <v>45649</v>
      </c>
      <c r="B43" s="43" t="inlineStr">
        <is>
          <t>Tech A</t>
        </is>
      </c>
      <c r="C43" s="32" t="n">
        <v>29.3</v>
      </c>
      <c r="D43" s="32" t="n">
        <v>0</v>
      </c>
      <c r="E43" s="32" t="n">
        <v>0</v>
      </c>
      <c r="F43" s="32" t="n">
        <v>0</v>
      </c>
      <c r="G43" s="32">
        <f>C43+D43+E43+F43</f>
        <v/>
      </c>
    </row>
    <row r="44">
      <c r="A44" s="31" t="n">
        <v>45649</v>
      </c>
      <c r="B44" s="43" t="inlineStr">
        <is>
          <t>Tech B</t>
        </is>
      </c>
      <c r="C44" s="32" t="n">
        <v>29.4</v>
      </c>
      <c r="D44" s="32" t="n">
        <v>0.7</v>
      </c>
      <c r="E44" s="32" t="n">
        <v>0</v>
      </c>
      <c r="F44" s="32" t="n">
        <v>0</v>
      </c>
      <c r="G44" s="32">
        <f>C44+D44+E44+F44</f>
        <v/>
      </c>
    </row>
    <row r="45">
      <c r="A45" s="31" t="n">
        <v>45649</v>
      </c>
      <c r="B45" s="43" t="inlineStr">
        <is>
          <t>Tech C</t>
        </is>
      </c>
      <c r="C45" s="32" t="n">
        <v>15</v>
      </c>
      <c r="D45" s="32" t="n">
        <v>0</v>
      </c>
      <c r="E45" s="32" t="n">
        <v>0</v>
      </c>
      <c r="F45" s="32" t="n">
        <v>0</v>
      </c>
      <c r="G45" s="32">
        <f>C45+D45+E45+F45</f>
        <v/>
      </c>
    </row>
    <row r="46">
      <c r="A46" s="31" t="n">
        <v>45649</v>
      </c>
      <c r="B46" s="43" t="inlineStr">
        <is>
          <t>Tech D</t>
        </is>
      </c>
      <c r="C46" s="32" t="n">
        <v>22.7</v>
      </c>
      <c r="D46" s="32" t="n">
        <v>0.7</v>
      </c>
      <c r="E46" s="32" t="n">
        <v>0</v>
      </c>
      <c r="F46" s="32" t="n">
        <v>0</v>
      </c>
      <c r="G46" s="32">
        <f>C46+D46+E46+F46</f>
        <v/>
      </c>
    </row>
    <row r="47">
      <c r="A47" s="31" t="n">
        <v>45649</v>
      </c>
      <c r="B47" s="43" t="inlineStr">
        <is>
          <t>Tech E</t>
        </is>
      </c>
      <c r="C47" s="32" t="n">
        <v>24.4</v>
      </c>
      <c r="D47" s="32" t="n">
        <v>0.6</v>
      </c>
      <c r="E47" s="32" t="n">
        <v>0</v>
      </c>
      <c r="F47" s="32" t="n">
        <v>0</v>
      </c>
      <c r="G47" s="32">
        <f>C47+D47+E47+F47</f>
        <v/>
      </c>
    </row>
    <row r="48">
      <c r="A48" s="31" t="n">
        <v>45649</v>
      </c>
      <c r="B48" s="43" t="inlineStr">
        <is>
          <t>Tech F</t>
        </is>
      </c>
      <c r="C48" s="32" t="n">
        <v>17.8</v>
      </c>
      <c r="D48" s="32" t="n">
        <v>0</v>
      </c>
      <c r="E48" s="32" t="n">
        <v>0</v>
      </c>
      <c r="F48" s="32" t="n">
        <v>0</v>
      </c>
      <c r="G48" s="32">
        <f>C48+D48+E48+F48</f>
        <v/>
      </c>
    </row>
    <row r="49">
      <c r="A49" s="31" t="n">
        <v>45649</v>
      </c>
      <c r="B49" s="43" t="inlineStr">
        <is>
          <t>Tech G</t>
        </is>
      </c>
      <c r="C49" s="32" t="n">
        <v>31.4</v>
      </c>
      <c r="D49" s="32" t="n">
        <v>0</v>
      </c>
      <c r="E49" s="32" t="n">
        <v>0</v>
      </c>
      <c r="F49" s="32" t="n">
        <v>0</v>
      </c>
      <c r="G49" s="32">
        <f>C49+D49+E49+F49</f>
        <v/>
      </c>
    </row>
    <row r="50">
      <c r="A50" s="31" t="n">
        <v>45656</v>
      </c>
      <c r="B50" s="43" t="inlineStr">
        <is>
          <t>Tech A</t>
        </is>
      </c>
      <c r="C50" s="32" t="n">
        <v>21</v>
      </c>
      <c r="D50" s="32" t="n">
        <v>2.3</v>
      </c>
      <c r="E50" s="32" t="n">
        <v>0</v>
      </c>
      <c r="F50" s="32" t="n">
        <v>0</v>
      </c>
      <c r="G50" s="32">
        <f>C50+D50+E50+F50</f>
        <v/>
      </c>
    </row>
    <row r="51">
      <c r="A51" s="31" t="n">
        <v>45656</v>
      </c>
      <c r="B51" s="43" t="inlineStr">
        <is>
          <t>Tech B</t>
        </is>
      </c>
      <c r="C51" s="32" t="n">
        <v>42.4</v>
      </c>
      <c r="D51" s="32" t="n">
        <v>2.9</v>
      </c>
      <c r="E51" s="32" t="n">
        <v>0.9</v>
      </c>
      <c r="F51" s="32" t="n">
        <v>0</v>
      </c>
      <c r="G51" s="32">
        <f>C51+D51+E51+F51</f>
        <v/>
      </c>
    </row>
    <row r="52">
      <c r="A52" s="31" t="n">
        <v>45656</v>
      </c>
      <c r="B52" s="43" t="inlineStr">
        <is>
          <t>Tech C</t>
        </is>
      </c>
      <c r="C52" s="32" t="n">
        <v>43.8</v>
      </c>
      <c r="D52" s="32" t="n">
        <v>0</v>
      </c>
      <c r="E52" s="32" t="n">
        <v>0</v>
      </c>
      <c r="F52" s="32" t="n">
        <v>0</v>
      </c>
      <c r="G52" s="32">
        <f>C52+D52+E52+F52</f>
        <v/>
      </c>
    </row>
    <row r="53">
      <c r="A53" s="31" t="n">
        <v>45656</v>
      </c>
      <c r="B53" s="43" t="inlineStr">
        <is>
          <t>Tech D</t>
        </is>
      </c>
      <c r="C53" s="32" t="n">
        <v>20.4</v>
      </c>
      <c r="D53" s="32" t="n">
        <v>0</v>
      </c>
      <c r="E53" s="32" t="n">
        <v>0.8</v>
      </c>
      <c r="F53" s="32" t="n">
        <v>0</v>
      </c>
      <c r="G53" s="32">
        <f>C53+D53+E53+F53</f>
        <v/>
      </c>
    </row>
    <row r="54">
      <c r="A54" s="31" t="n">
        <v>45656</v>
      </c>
      <c r="B54" s="43" t="inlineStr">
        <is>
          <t>Tech E</t>
        </is>
      </c>
      <c r="C54" s="32" t="n">
        <v>48.6</v>
      </c>
      <c r="D54" s="32" t="n">
        <v>3.1</v>
      </c>
      <c r="E54" s="32" t="n">
        <v>0</v>
      </c>
      <c r="F54" s="32" t="n">
        <v>0</v>
      </c>
      <c r="G54" s="32">
        <f>C54+D54+E54+F54</f>
        <v/>
      </c>
    </row>
    <row r="55">
      <c r="A55" s="31" t="n">
        <v>45656</v>
      </c>
      <c r="B55" s="43" t="inlineStr">
        <is>
          <t>Tech F</t>
        </is>
      </c>
      <c r="C55" s="32" t="n">
        <v>22.5</v>
      </c>
      <c r="D55" s="32" t="n">
        <v>3.7</v>
      </c>
      <c r="E55" s="32" t="n">
        <v>1.2</v>
      </c>
      <c r="F55" s="32" t="n">
        <v>0</v>
      </c>
      <c r="G55" s="32">
        <f>C55+D55+E55+F55</f>
        <v/>
      </c>
    </row>
    <row r="56">
      <c r="A56" s="31" t="n">
        <v>45656</v>
      </c>
      <c r="B56" s="43" t="inlineStr">
        <is>
          <t>Tech G</t>
        </is>
      </c>
      <c r="C56" s="32" t="n">
        <v>22.8</v>
      </c>
      <c r="D56" s="32" t="n">
        <v>0</v>
      </c>
      <c r="E56" s="32" t="n">
        <v>0</v>
      </c>
      <c r="F56" s="32" t="n">
        <v>0</v>
      </c>
      <c r="G56" s="32">
        <f>C56+D56+E56+F56</f>
        <v/>
      </c>
    </row>
    <row r="57">
      <c r="A57" s="31" t="n">
        <v>45656</v>
      </c>
      <c r="B57" s="43" t="inlineStr">
        <is>
          <t>Tech H</t>
        </is>
      </c>
      <c r="C57" s="32" t="n">
        <v>21.5</v>
      </c>
      <c r="D57" s="32" t="n">
        <v>0</v>
      </c>
      <c r="E57" s="32" t="n">
        <v>1.1</v>
      </c>
      <c r="F57" s="32" t="n">
        <v>0</v>
      </c>
      <c r="G57" s="32">
        <f>C57+D57+E57+F57</f>
        <v/>
      </c>
    </row>
    <row r="58">
      <c r="A58" s="31" t="n">
        <v>45663</v>
      </c>
      <c r="B58" s="43" t="inlineStr">
        <is>
          <t>Tech A</t>
        </is>
      </c>
      <c r="C58" s="32" t="n">
        <v>25.6</v>
      </c>
      <c r="D58" s="32" t="n">
        <v>3.8</v>
      </c>
      <c r="E58" s="32" t="n">
        <v>0</v>
      </c>
      <c r="F58" s="32" t="n">
        <v>0</v>
      </c>
      <c r="G58" s="32">
        <f>C58+D58+E58+F58</f>
        <v/>
      </c>
    </row>
    <row r="59">
      <c r="A59" s="31" t="n">
        <v>45663</v>
      </c>
      <c r="B59" s="43" t="inlineStr">
        <is>
          <t>Tech B</t>
        </is>
      </c>
      <c r="C59" s="32" t="n">
        <v>23.6</v>
      </c>
      <c r="D59" s="32" t="n">
        <v>4.2</v>
      </c>
      <c r="E59" s="32" t="n">
        <v>0</v>
      </c>
      <c r="F59" s="32" t="n">
        <v>0</v>
      </c>
      <c r="G59" s="32">
        <f>C59+D59+E59+F59</f>
        <v/>
      </c>
    </row>
    <row r="60">
      <c r="A60" s="31" t="n">
        <v>45663</v>
      </c>
      <c r="B60" s="43" t="inlineStr">
        <is>
          <t>Tech C</t>
        </is>
      </c>
      <c r="C60" s="32" t="n">
        <v>32.4</v>
      </c>
      <c r="D60" s="32" t="n">
        <v>0</v>
      </c>
      <c r="E60" s="32" t="n">
        <v>0.5</v>
      </c>
      <c r="F60" s="32" t="n">
        <v>0</v>
      </c>
      <c r="G60" s="32">
        <f>C60+D60+E60+F60</f>
        <v/>
      </c>
    </row>
    <row r="61">
      <c r="A61" s="31" t="n">
        <v>45663</v>
      </c>
      <c r="B61" s="43" t="inlineStr">
        <is>
          <t>Tech D</t>
        </is>
      </c>
      <c r="C61" s="32" t="n">
        <v>31.5</v>
      </c>
      <c r="D61" s="32" t="n">
        <v>0</v>
      </c>
      <c r="E61" s="32" t="n">
        <v>0.6</v>
      </c>
      <c r="F61" s="32" t="n">
        <v>0</v>
      </c>
      <c r="G61" s="32">
        <f>C61+D61+E61+F61</f>
        <v/>
      </c>
    </row>
    <row r="62">
      <c r="A62" s="31" t="n">
        <v>45663</v>
      </c>
      <c r="B62" s="43" t="inlineStr">
        <is>
          <t>Tech E</t>
        </is>
      </c>
      <c r="C62" s="32" t="n">
        <v>26.6</v>
      </c>
      <c r="D62" s="32" t="n">
        <v>4.1</v>
      </c>
      <c r="E62" s="32" t="n">
        <v>0</v>
      </c>
      <c r="F62" s="32" t="n">
        <v>0</v>
      </c>
      <c r="G62" s="32">
        <f>C62+D62+E62+F62</f>
        <v/>
      </c>
    </row>
    <row r="63">
      <c r="A63" s="31" t="n">
        <v>45663</v>
      </c>
      <c r="B63" s="43" t="inlineStr">
        <is>
          <t>Tech F</t>
        </is>
      </c>
      <c r="C63" s="32" t="n">
        <v>25.6</v>
      </c>
      <c r="D63" s="32" t="n">
        <v>3.9</v>
      </c>
      <c r="E63" s="32" t="n">
        <v>0.4</v>
      </c>
      <c r="F63" s="32" t="n">
        <v>0</v>
      </c>
      <c r="G63" s="32">
        <f>C63+D63+E63+F63</f>
        <v/>
      </c>
    </row>
    <row r="64">
      <c r="A64" s="31" t="n">
        <v>45663</v>
      </c>
      <c r="B64" s="43" t="inlineStr">
        <is>
          <t>Tech G</t>
        </is>
      </c>
      <c r="C64" s="32" t="n">
        <v>48.6</v>
      </c>
      <c r="D64" s="32" t="n">
        <v>0</v>
      </c>
      <c r="E64" s="32" t="n">
        <v>0.5</v>
      </c>
      <c r="F64" s="32" t="n">
        <v>0</v>
      </c>
      <c r="G64" s="32">
        <f>C64+D64+E64+F64</f>
        <v/>
      </c>
    </row>
    <row r="65">
      <c r="A65" s="31" t="n">
        <v>45663</v>
      </c>
      <c r="B65" s="43" t="inlineStr">
        <is>
          <t>Tech H</t>
        </is>
      </c>
      <c r="C65" s="32" t="n">
        <v>32.1</v>
      </c>
      <c r="D65" s="32" t="n">
        <v>0</v>
      </c>
      <c r="E65" s="32" t="n">
        <v>0</v>
      </c>
      <c r="F65" s="32" t="n">
        <v>0</v>
      </c>
      <c r="G65" s="32">
        <f>C65+D65+E65+F65</f>
        <v/>
      </c>
    </row>
    <row r="66">
      <c r="A66" s="31" t="n">
        <v>45670</v>
      </c>
      <c r="B66" s="43" t="inlineStr">
        <is>
          <t>Tech A</t>
        </is>
      </c>
      <c r="C66" s="32" t="n">
        <v>37.9</v>
      </c>
      <c r="D66" s="32" t="n">
        <v>0</v>
      </c>
      <c r="E66" s="32" t="n">
        <v>0</v>
      </c>
      <c r="F66" s="32" t="n">
        <v>0</v>
      </c>
      <c r="G66" s="32">
        <f>C66+D66+E66+F66</f>
        <v/>
      </c>
    </row>
    <row r="67">
      <c r="A67" s="31" t="n">
        <v>45670</v>
      </c>
      <c r="B67" s="43" t="inlineStr">
        <is>
          <t>Tech B</t>
        </is>
      </c>
      <c r="C67" s="32" t="n">
        <v>20.4</v>
      </c>
      <c r="D67" s="32" t="n">
        <v>2.7</v>
      </c>
      <c r="E67" s="32" t="n">
        <v>0.5</v>
      </c>
      <c r="F67" s="32" t="n">
        <v>0</v>
      </c>
      <c r="G67" s="32">
        <f>C67+D67+E67+F67</f>
        <v/>
      </c>
    </row>
    <row r="68">
      <c r="A68" s="31" t="n">
        <v>45670</v>
      </c>
      <c r="B68" s="43" t="inlineStr">
        <is>
          <t>Tech C</t>
        </is>
      </c>
      <c r="C68" s="32" t="n">
        <v>24.8</v>
      </c>
      <c r="D68" s="32" t="n">
        <v>0</v>
      </c>
      <c r="E68" s="32" t="n">
        <v>0</v>
      </c>
      <c r="F68" s="32" t="n">
        <v>0</v>
      </c>
      <c r="G68" s="32">
        <f>C68+D68+E68+F68</f>
        <v/>
      </c>
    </row>
    <row r="69">
      <c r="A69" s="31" t="n">
        <v>45670</v>
      </c>
      <c r="B69" s="43" t="inlineStr">
        <is>
          <t>Tech D</t>
        </is>
      </c>
      <c r="C69" s="32" t="n">
        <v>45.7</v>
      </c>
      <c r="D69" s="32" t="n">
        <v>0</v>
      </c>
      <c r="E69" s="32" t="n">
        <v>1.1</v>
      </c>
      <c r="F69" s="32" t="n">
        <v>0</v>
      </c>
      <c r="G69" s="32">
        <f>C69+D69+E69+F69</f>
        <v/>
      </c>
    </row>
    <row r="70">
      <c r="A70" s="31" t="n">
        <v>45670</v>
      </c>
      <c r="B70" s="43" t="inlineStr">
        <is>
          <t>Tech E</t>
        </is>
      </c>
      <c r="C70" s="32" t="n">
        <v>33.6</v>
      </c>
      <c r="D70" s="32" t="n">
        <v>4.9</v>
      </c>
      <c r="E70" s="32" t="n">
        <v>0</v>
      </c>
      <c r="F70" s="32" t="n">
        <v>0</v>
      </c>
      <c r="G70" s="32">
        <f>C70+D70+E70+F70</f>
        <v/>
      </c>
    </row>
    <row r="71">
      <c r="A71" s="31" t="n">
        <v>45670</v>
      </c>
      <c r="B71" s="43" t="inlineStr">
        <is>
          <t>Tech F</t>
        </is>
      </c>
      <c r="C71" s="32" t="n">
        <v>32.4</v>
      </c>
      <c r="D71" s="32" t="n">
        <v>0</v>
      </c>
      <c r="E71" s="32" t="n">
        <v>0.6</v>
      </c>
      <c r="F71" s="32" t="n">
        <v>0</v>
      </c>
      <c r="G71" s="32">
        <f>C71+D71+E71+F71</f>
        <v/>
      </c>
    </row>
    <row r="72">
      <c r="A72" s="31" t="n">
        <v>45670</v>
      </c>
      <c r="B72" s="43" t="inlineStr">
        <is>
          <t>Tech G</t>
        </is>
      </c>
      <c r="C72" s="32" t="n">
        <v>38.8</v>
      </c>
      <c r="D72" s="32" t="n">
        <v>6.6</v>
      </c>
      <c r="E72" s="32" t="n">
        <v>0</v>
      </c>
      <c r="F72" s="32" t="n">
        <v>0</v>
      </c>
      <c r="G72" s="32">
        <f>C72+D72+E72+F72</f>
        <v/>
      </c>
    </row>
    <row r="73">
      <c r="A73" s="31" t="n">
        <v>45670</v>
      </c>
      <c r="B73" s="43" t="inlineStr">
        <is>
          <t>Tech H</t>
        </is>
      </c>
      <c r="C73" s="32" t="n">
        <v>17.4</v>
      </c>
      <c r="D73" s="32" t="n">
        <v>2.8</v>
      </c>
      <c r="E73" s="32" t="n">
        <v>0.8</v>
      </c>
      <c r="F73" s="32" t="n">
        <v>0</v>
      </c>
      <c r="G73" s="32">
        <f>C73+D73+E73+F73</f>
        <v/>
      </c>
    </row>
    <row r="74">
      <c r="A74" s="31" t="n">
        <v>45677</v>
      </c>
      <c r="B74" s="43" t="inlineStr">
        <is>
          <t>Tech A</t>
        </is>
      </c>
      <c r="C74" s="32" t="n">
        <v>28</v>
      </c>
      <c r="D74" s="32" t="n">
        <v>4.9</v>
      </c>
      <c r="E74" s="32" t="n">
        <v>0</v>
      </c>
      <c r="F74" s="32" t="n">
        <v>0</v>
      </c>
      <c r="G74" s="32">
        <f>C74+D74+E74+F74</f>
        <v/>
      </c>
    </row>
    <row r="75">
      <c r="A75" s="31" t="n">
        <v>45677</v>
      </c>
      <c r="B75" s="43" t="inlineStr">
        <is>
          <t>Tech B</t>
        </is>
      </c>
      <c r="C75" s="32" t="n">
        <v>36.6</v>
      </c>
      <c r="D75" s="32" t="n">
        <v>3.1</v>
      </c>
      <c r="E75" s="32" t="n">
        <v>0.4</v>
      </c>
      <c r="F75" s="32" t="n">
        <v>0</v>
      </c>
      <c r="G75" s="32">
        <f>C75+D75+E75+F75</f>
        <v/>
      </c>
    </row>
    <row r="76">
      <c r="A76" s="31" t="n">
        <v>45677</v>
      </c>
      <c r="B76" s="43" t="inlineStr">
        <is>
          <t>Tech C</t>
        </is>
      </c>
      <c r="C76" s="32" t="n">
        <v>25</v>
      </c>
      <c r="D76" s="32" t="n">
        <v>0</v>
      </c>
      <c r="E76" s="32" t="n">
        <v>0.5</v>
      </c>
      <c r="F76" s="32" t="n">
        <v>0</v>
      </c>
      <c r="G76" s="32">
        <f>C76+D76+E76+F76</f>
        <v/>
      </c>
    </row>
    <row r="77">
      <c r="A77" s="31" t="n">
        <v>45677</v>
      </c>
      <c r="B77" s="43" t="inlineStr">
        <is>
          <t>Tech D</t>
        </is>
      </c>
      <c r="C77" s="32" t="n">
        <v>25.5</v>
      </c>
      <c r="D77" s="32" t="n">
        <v>0</v>
      </c>
      <c r="E77" s="32" t="n">
        <v>0.4</v>
      </c>
      <c r="F77" s="32" t="n">
        <v>0</v>
      </c>
      <c r="G77" s="32">
        <f>C77+D77+E77+F77</f>
        <v/>
      </c>
    </row>
    <row r="78">
      <c r="A78" s="31" t="n">
        <v>45677</v>
      </c>
      <c r="B78" s="43" t="inlineStr">
        <is>
          <t>Tech E</t>
        </is>
      </c>
      <c r="C78" s="32" t="n">
        <v>39.1</v>
      </c>
      <c r="D78" s="32" t="n">
        <v>4.2</v>
      </c>
      <c r="E78" s="32" t="n">
        <v>0</v>
      </c>
      <c r="F78" s="32" t="n">
        <v>0</v>
      </c>
      <c r="G78" s="32">
        <f>C78+D78+E78+F78</f>
        <v/>
      </c>
    </row>
    <row r="79">
      <c r="A79" s="31" t="n">
        <v>45677</v>
      </c>
      <c r="B79" s="43" t="inlineStr">
        <is>
          <t>Tech F</t>
        </is>
      </c>
      <c r="C79" s="32" t="n">
        <v>17.9</v>
      </c>
      <c r="D79" s="32" t="n">
        <v>0</v>
      </c>
      <c r="E79" s="32" t="n">
        <v>0</v>
      </c>
      <c r="F79" s="32" t="n">
        <v>0</v>
      </c>
      <c r="G79" s="32">
        <f>C79+D79+E79+F79</f>
        <v/>
      </c>
    </row>
    <row r="80">
      <c r="A80" s="31" t="n">
        <v>45677</v>
      </c>
      <c r="B80" s="43" t="inlineStr">
        <is>
          <t>Tech G</t>
        </is>
      </c>
      <c r="C80" s="32" t="n">
        <v>30</v>
      </c>
      <c r="D80" s="32" t="n">
        <v>0</v>
      </c>
      <c r="E80" s="32" t="n">
        <v>0.7</v>
      </c>
      <c r="F80" s="32" t="n">
        <v>0</v>
      </c>
      <c r="G80" s="32">
        <f>C80+D80+E80+F80</f>
        <v/>
      </c>
    </row>
    <row r="81">
      <c r="A81" s="31" t="n">
        <v>45677</v>
      </c>
      <c r="B81" s="43" t="inlineStr">
        <is>
          <t>Tech H</t>
        </is>
      </c>
      <c r="C81" s="32" t="n">
        <v>46.9</v>
      </c>
      <c r="D81" s="32" t="n">
        <v>2.8</v>
      </c>
      <c r="E81" s="32" t="n">
        <v>0</v>
      </c>
      <c r="F81" s="32" t="n">
        <v>0</v>
      </c>
      <c r="G81" s="32">
        <f>C81+D81+E81+F81</f>
        <v/>
      </c>
    </row>
    <row r="82">
      <c r="A82" s="31" t="n">
        <v>45684</v>
      </c>
      <c r="B82" s="43" t="inlineStr">
        <is>
          <t>Tech A</t>
        </is>
      </c>
      <c r="C82" s="32" t="n">
        <v>43.1</v>
      </c>
      <c r="D82" s="32" t="n">
        <v>5.3</v>
      </c>
      <c r="E82" s="32" t="n">
        <v>0</v>
      </c>
      <c r="F82" s="32" t="n">
        <v>0</v>
      </c>
      <c r="G82" s="32">
        <f>C82+D82+E82+F82</f>
        <v/>
      </c>
    </row>
    <row r="83">
      <c r="A83" s="31" t="n">
        <v>45684</v>
      </c>
      <c r="B83" s="43" t="inlineStr">
        <is>
          <t>Tech B</t>
        </is>
      </c>
      <c r="C83" s="32" t="n">
        <v>38.5</v>
      </c>
      <c r="D83" s="32" t="n">
        <v>0</v>
      </c>
      <c r="E83" s="32" t="n">
        <v>1.3</v>
      </c>
      <c r="F83" s="32" t="n">
        <v>0</v>
      </c>
      <c r="G83" s="32">
        <f>C83+D83+E83+F83</f>
        <v/>
      </c>
    </row>
    <row r="84">
      <c r="A84" s="31" t="n">
        <v>45684</v>
      </c>
      <c r="B84" s="43" t="inlineStr">
        <is>
          <t>Tech C</t>
        </is>
      </c>
      <c r="C84" s="32" t="n">
        <v>20.3</v>
      </c>
      <c r="D84" s="32" t="n">
        <v>6.2</v>
      </c>
      <c r="E84" s="32" t="n">
        <v>1.1</v>
      </c>
      <c r="F84" s="32" t="n">
        <v>0</v>
      </c>
      <c r="G84" s="32">
        <f>C84+D84+E84+F84</f>
        <v/>
      </c>
    </row>
    <row r="85">
      <c r="A85" s="31" t="n">
        <v>45684</v>
      </c>
      <c r="B85" s="43" t="inlineStr">
        <is>
          <t>Tech D</t>
        </is>
      </c>
      <c r="C85" s="32" t="n">
        <v>24.2</v>
      </c>
      <c r="D85" s="32" t="n">
        <v>0</v>
      </c>
      <c r="E85" s="32" t="n">
        <v>0</v>
      </c>
      <c r="F85" s="32" t="n">
        <v>0</v>
      </c>
      <c r="G85" s="32">
        <f>C85+D85+E85+F85</f>
        <v/>
      </c>
    </row>
    <row r="86">
      <c r="A86" s="31" t="n">
        <v>45684</v>
      </c>
      <c r="B86" s="43" t="inlineStr">
        <is>
          <t>Tech E</t>
        </is>
      </c>
      <c r="C86" s="32" t="n">
        <v>22</v>
      </c>
      <c r="D86" s="32" t="n">
        <v>0</v>
      </c>
      <c r="E86" s="32" t="n">
        <v>0</v>
      </c>
      <c r="F86" s="32" t="n">
        <v>0</v>
      </c>
      <c r="G86" s="32">
        <f>C86+D86+E86+F86</f>
        <v/>
      </c>
    </row>
    <row r="87">
      <c r="A87" s="31" t="n">
        <v>45684</v>
      </c>
      <c r="B87" s="43" t="inlineStr">
        <is>
          <t>Tech F</t>
        </is>
      </c>
      <c r="C87" s="32" t="n">
        <v>26.1</v>
      </c>
      <c r="D87" s="32" t="n">
        <v>2.5</v>
      </c>
      <c r="E87" s="32" t="n">
        <v>1</v>
      </c>
      <c r="F87" s="32" t="n">
        <v>0</v>
      </c>
      <c r="G87" s="32">
        <f>C87+D87+E87+F87</f>
        <v/>
      </c>
    </row>
    <row r="88">
      <c r="A88" s="31" t="n">
        <v>45684</v>
      </c>
      <c r="B88" s="43" t="inlineStr">
        <is>
          <t>Tech G</t>
        </is>
      </c>
      <c r="C88" s="32" t="n">
        <v>36.8</v>
      </c>
      <c r="D88" s="32" t="n">
        <v>0</v>
      </c>
      <c r="E88" s="32" t="n">
        <v>0</v>
      </c>
      <c r="F88" s="32" t="n">
        <v>0</v>
      </c>
      <c r="G88" s="32">
        <f>C88+D88+E88+F88</f>
        <v/>
      </c>
    </row>
    <row r="89">
      <c r="A89" s="31" t="n">
        <v>45684</v>
      </c>
      <c r="B89" s="43" t="inlineStr">
        <is>
          <t>Tech H</t>
        </is>
      </c>
      <c r="C89" s="32" t="n">
        <v>42</v>
      </c>
      <c r="D89" s="32" t="n">
        <v>4</v>
      </c>
      <c r="E89" s="32" t="n">
        <v>0.6</v>
      </c>
      <c r="F89" s="32" t="n">
        <v>0</v>
      </c>
      <c r="G89" s="32">
        <f>C89+D89+E89+F89</f>
        <v/>
      </c>
    </row>
    <row r="90">
      <c r="A90" s="31" t="n">
        <v>45691</v>
      </c>
      <c r="B90" s="43" t="inlineStr">
        <is>
          <t>Tech A</t>
        </is>
      </c>
      <c r="C90" s="32" t="n">
        <v>24.5</v>
      </c>
      <c r="D90" s="32" t="n">
        <v>0</v>
      </c>
      <c r="E90" s="32" t="n">
        <v>0.5</v>
      </c>
      <c r="F90" s="32" t="n">
        <v>0</v>
      </c>
      <c r="G90" s="32">
        <f>C90+D90+E90+F90</f>
        <v/>
      </c>
    </row>
    <row r="91">
      <c r="A91" s="31" t="n">
        <v>45691</v>
      </c>
      <c r="B91" s="43" t="inlineStr">
        <is>
          <t>Tech B</t>
        </is>
      </c>
      <c r="C91" s="32" t="n">
        <v>42.3</v>
      </c>
      <c r="D91" s="32" t="n">
        <v>5.9</v>
      </c>
      <c r="E91" s="32" t="n">
        <v>0.3</v>
      </c>
      <c r="F91" s="32" t="n">
        <v>0</v>
      </c>
      <c r="G91" s="32">
        <f>C91+D91+E91+F91</f>
        <v/>
      </c>
    </row>
    <row r="92">
      <c r="A92" s="31" t="n">
        <v>45691</v>
      </c>
      <c r="B92" s="43" t="inlineStr">
        <is>
          <t>Tech C</t>
        </is>
      </c>
      <c r="C92" s="32" t="n">
        <v>39.2</v>
      </c>
      <c r="D92" s="32" t="n">
        <v>0</v>
      </c>
      <c r="E92" s="32" t="n">
        <v>0.6</v>
      </c>
      <c r="F92" s="32" t="n">
        <v>0</v>
      </c>
      <c r="G92" s="32">
        <f>C92+D92+E92+F92</f>
        <v/>
      </c>
    </row>
    <row r="93">
      <c r="A93" s="31" t="n">
        <v>45691</v>
      </c>
      <c r="B93" s="43" t="inlineStr">
        <is>
          <t>Tech D</t>
        </is>
      </c>
      <c r="C93" s="32" t="n">
        <v>41.2</v>
      </c>
      <c r="D93" s="32" t="n">
        <v>0</v>
      </c>
      <c r="E93" s="32" t="n">
        <v>0.6</v>
      </c>
      <c r="F93" s="32" t="n">
        <v>0</v>
      </c>
      <c r="G93" s="32">
        <f>C93+D93+E93+F93</f>
        <v/>
      </c>
    </row>
    <row r="94">
      <c r="A94" s="31" t="n">
        <v>45691</v>
      </c>
      <c r="B94" s="43" t="inlineStr">
        <is>
          <t>Tech E</t>
        </is>
      </c>
      <c r="C94" s="32" t="n">
        <v>42.3</v>
      </c>
      <c r="D94" s="32" t="n">
        <v>3</v>
      </c>
      <c r="E94" s="32" t="n">
        <v>0</v>
      </c>
      <c r="F94" s="32" t="n">
        <v>0</v>
      </c>
      <c r="G94" s="32">
        <f>C94+D94+E94+F94</f>
        <v/>
      </c>
    </row>
    <row r="95">
      <c r="A95" s="31" t="n">
        <v>45691</v>
      </c>
      <c r="B95" s="43" t="inlineStr">
        <is>
          <t>Tech F</t>
        </is>
      </c>
      <c r="C95" s="32" t="n">
        <v>21.5</v>
      </c>
      <c r="D95" s="32" t="n">
        <v>2.7</v>
      </c>
      <c r="E95" s="32" t="n">
        <v>0</v>
      </c>
      <c r="F95" s="32" t="n">
        <v>0</v>
      </c>
      <c r="G95" s="32">
        <f>C95+D95+E95+F95</f>
        <v/>
      </c>
    </row>
    <row r="96">
      <c r="A96" s="31" t="n">
        <v>45691</v>
      </c>
      <c r="B96" s="43" t="inlineStr">
        <is>
          <t>Tech G</t>
        </is>
      </c>
      <c r="C96" s="32" t="n">
        <v>22.7</v>
      </c>
      <c r="D96" s="32" t="n">
        <v>5.4</v>
      </c>
      <c r="E96" s="32" t="n">
        <v>0</v>
      </c>
      <c r="F96" s="32" t="n">
        <v>0</v>
      </c>
      <c r="G96" s="32">
        <f>C96+D96+E96+F96</f>
        <v/>
      </c>
    </row>
    <row r="97">
      <c r="A97" s="31" t="n">
        <v>45691</v>
      </c>
      <c r="B97" s="43" t="inlineStr">
        <is>
          <t>Tech H</t>
        </is>
      </c>
      <c r="C97" s="32" t="n">
        <v>18.3</v>
      </c>
      <c r="D97" s="32" t="n">
        <v>0</v>
      </c>
      <c r="E97" s="32" t="n">
        <v>0</v>
      </c>
      <c r="F97" s="32" t="n">
        <v>0</v>
      </c>
      <c r="G97" s="32">
        <f>C97+D97+E97+F97</f>
        <v/>
      </c>
    </row>
    <row r="98">
      <c r="A98" s="31" t="n">
        <v>45698</v>
      </c>
      <c r="B98" s="43" t="inlineStr">
        <is>
          <t>Tech A</t>
        </is>
      </c>
      <c r="C98" s="32" t="n">
        <v>47</v>
      </c>
      <c r="D98" s="32" t="n">
        <v>0</v>
      </c>
      <c r="E98" s="32" t="n">
        <v>0.8</v>
      </c>
      <c r="F98" s="32" t="n">
        <v>0</v>
      </c>
      <c r="G98" s="32">
        <f>C98+D98+E98+F98</f>
        <v/>
      </c>
    </row>
    <row r="99">
      <c r="A99" s="31" t="n">
        <v>45698</v>
      </c>
      <c r="B99" s="43" t="inlineStr">
        <is>
          <t>Tech B</t>
        </is>
      </c>
      <c r="C99" s="32" t="n">
        <v>34.2</v>
      </c>
      <c r="D99" s="32" t="n">
        <v>4.8</v>
      </c>
      <c r="E99" s="32" t="n">
        <v>1.1</v>
      </c>
      <c r="F99" s="32" t="n">
        <v>0</v>
      </c>
      <c r="G99" s="32">
        <f>C99+D99+E99+F99</f>
        <v/>
      </c>
    </row>
    <row r="100">
      <c r="A100" s="31" t="n">
        <v>45698</v>
      </c>
      <c r="B100" s="43" t="inlineStr">
        <is>
          <t>Tech C</t>
        </is>
      </c>
      <c r="C100" s="32" t="n">
        <v>28.7</v>
      </c>
      <c r="D100" s="32" t="n">
        <v>3.7</v>
      </c>
      <c r="E100" s="32" t="n">
        <v>0.4</v>
      </c>
      <c r="F100" s="32" t="n">
        <v>0</v>
      </c>
      <c r="G100" s="32">
        <f>C100+D100+E100+F100</f>
        <v/>
      </c>
    </row>
    <row r="101">
      <c r="A101" s="31" t="n">
        <v>45698</v>
      </c>
      <c r="B101" s="43" t="inlineStr">
        <is>
          <t>Tech D</t>
        </is>
      </c>
      <c r="C101" s="32" t="n">
        <v>46.2</v>
      </c>
      <c r="D101" s="32" t="n">
        <v>0</v>
      </c>
      <c r="E101" s="32" t="n">
        <v>0</v>
      </c>
      <c r="F101" s="32" t="n">
        <v>0</v>
      </c>
      <c r="G101" s="32">
        <f>C101+D101+E101+F101</f>
        <v/>
      </c>
    </row>
    <row r="102">
      <c r="A102" s="31" t="n">
        <v>45698</v>
      </c>
      <c r="B102" s="43" t="inlineStr">
        <is>
          <t>Tech E</t>
        </is>
      </c>
      <c r="C102" s="32" t="n">
        <v>25.9</v>
      </c>
      <c r="D102" s="32" t="n">
        <v>0</v>
      </c>
      <c r="E102" s="32" t="n">
        <v>0</v>
      </c>
      <c r="F102" s="32" t="n">
        <v>0</v>
      </c>
      <c r="G102" s="32">
        <f>C102+D102+E102+F102</f>
        <v/>
      </c>
    </row>
    <row r="103">
      <c r="A103" s="31" t="n">
        <v>45698</v>
      </c>
      <c r="B103" s="43" t="inlineStr">
        <is>
          <t>Tech F</t>
        </is>
      </c>
      <c r="C103" s="32" t="n">
        <v>18.7</v>
      </c>
      <c r="D103" s="32" t="n">
        <v>6.2</v>
      </c>
      <c r="E103" s="32" t="n">
        <v>0</v>
      </c>
      <c r="F103" s="32" t="n">
        <v>0</v>
      </c>
      <c r="G103" s="32">
        <f>C103+D103+E103+F103</f>
        <v/>
      </c>
    </row>
    <row r="104">
      <c r="A104" s="31" t="n">
        <v>45698</v>
      </c>
      <c r="B104" s="43" t="inlineStr">
        <is>
          <t>Tech G</t>
        </is>
      </c>
      <c r="C104" s="32" t="n">
        <v>24.7</v>
      </c>
      <c r="D104" s="32" t="n">
        <v>4.3</v>
      </c>
      <c r="E104" s="32" t="n">
        <v>0</v>
      </c>
      <c r="F104" s="32" t="n">
        <v>0</v>
      </c>
      <c r="G104" s="32">
        <f>C104+D104+E104+F104</f>
        <v/>
      </c>
    </row>
    <row r="105">
      <c r="A105" s="31" t="n">
        <v>45698</v>
      </c>
      <c r="B105" s="43" t="inlineStr">
        <is>
          <t>Tech H</t>
        </is>
      </c>
      <c r="C105" s="32" t="n">
        <v>29.6</v>
      </c>
      <c r="D105" s="32" t="n">
        <v>0</v>
      </c>
      <c r="E105" s="32" t="n">
        <v>0.7</v>
      </c>
      <c r="F105" s="32" t="n">
        <v>0</v>
      </c>
      <c r="G105" s="32">
        <f>C105+D105+E105+F105</f>
        <v/>
      </c>
    </row>
    <row r="106">
      <c r="A106" s="31" t="n">
        <v>45705</v>
      </c>
      <c r="B106" s="43" t="inlineStr">
        <is>
          <t>Tech A</t>
        </is>
      </c>
      <c r="C106" s="32" t="n">
        <v>27.4</v>
      </c>
      <c r="D106" s="32" t="n">
        <v>6.5</v>
      </c>
      <c r="E106" s="32" t="n">
        <v>0</v>
      </c>
      <c r="F106" s="32" t="n">
        <v>0</v>
      </c>
      <c r="G106" s="32">
        <f>C106+D106+E106+F106</f>
        <v/>
      </c>
    </row>
    <row r="107">
      <c r="A107" s="31" t="n">
        <v>45705</v>
      </c>
      <c r="B107" s="43" t="inlineStr">
        <is>
          <t>Tech B</t>
        </is>
      </c>
      <c r="C107" s="32" t="n">
        <v>29.8</v>
      </c>
      <c r="D107" s="32" t="n">
        <v>0</v>
      </c>
      <c r="E107" s="32" t="n">
        <v>0</v>
      </c>
      <c r="F107" s="32" t="n">
        <v>0</v>
      </c>
      <c r="G107" s="32">
        <f>C107+D107+E107+F107</f>
        <v/>
      </c>
    </row>
    <row r="108">
      <c r="A108" s="31" t="n">
        <v>45705</v>
      </c>
      <c r="B108" s="43" t="inlineStr">
        <is>
          <t>Tech C</t>
        </is>
      </c>
      <c r="C108" s="32" t="n">
        <v>38.2</v>
      </c>
      <c r="D108" s="32" t="n">
        <v>4.3</v>
      </c>
      <c r="E108" s="32" t="n">
        <v>0.3</v>
      </c>
      <c r="F108" s="32" t="n">
        <v>0</v>
      </c>
      <c r="G108" s="32">
        <f>C108+D108+E108+F108</f>
        <v/>
      </c>
    </row>
    <row r="109">
      <c r="A109" s="31" t="n">
        <v>45705</v>
      </c>
      <c r="B109" s="43" t="inlineStr">
        <is>
          <t>Tech D</t>
        </is>
      </c>
      <c r="C109" s="32" t="n">
        <v>34.7</v>
      </c>
      <c r="D109" s="32" t="n">
        <v>0</v>
      </c>
      <c r="E109" s="32" t="n">
        <v>0</v>
      </c>
      <c r="F109" s="32" t="n">
        <v>0</v>
      </c>
      <c r="G109" s="32">
        <f>C109+D109+E109+F109</f>
        <v/>
      </c>
    </row>
    <row r="110">
      <c r="A110" s="31" t="n">
        <v>45705</v>
      </c>
      <c r="B110" s="43" t="inlineStr">
        <is>
          <t>Tech E</t>
        </is>
      </c>
      <c r="C110" s="32" t="n">
        <v>42.1</v>
      </c>
      <c r="D110" s="32" t="n">
        <v>4.3</v>
      </c>
      <c r="E110" s="32" t="n">
        <v>0.4</v>
      </c>
      <c r="F110" s="32" t="n">
        <v>8</v>
      </c>
      <c r="G110" s="32">
        <f>C110+D110+E110+F110</f>
        <v/>
      </c>
    </row>
    <row r="111">
      <c r="A111" s="31" t="n">
        <v>45705</v>
      </c>
      <c r="B111" s="43" t="inlineStr">
        <is>
          <t>Tech F</t>
        </is>
      </c>
      <c r="C111" s="32" t="n">
        <v>36.2</v>
      </c>
      <c r="D111" s="32" t="n">
        <v>4.9</v>
      </c>
      <c r="E111" s="32" t="n">
        <v>0.7</v>
      </c>
      <c r="F111" s="32" t="n">
        <v>0</v>
      </c>
      <c r="G111" s="32">
        <f>C111+D111+E111+F111</f>
        <v/>
      </c>
    </row>
    <row r="112">
      <c r="A112" s="31" t="n">
        <v>45705</v>
      </c>
      <c r="B112" s="43" t="inlineStr">
        <is>
          <t>Tech G</t>
        </is>
      </c>
      <c r="C112" s="32" t="n">
        <v>20.4</v>
      </c>
      <c r="D112" s="32" t="n">
        <v>0</v>
      </c>
      <c r="E112" s="32" t="n">
        <v>0.6</v>
      </c>
      <c r="F112" s="32" t="n">
        <v>0</v>
      </c>
      <c r="G112" s="32">
        <f>C112+D112+E112+F112</f>
        <v/>
      </c>
    </row>
    <row r="113">
      <c r="A113" s="31" t="n">
        <v>45705</v>
      </c>
      <c r="B113" s="43" t="inlineStr">
        <is>
          <t>Tech H</t>
        </is>
      </c>
      <c r="C113" s="32" t="n">
        <v>27.2</v>
      </c>
      <c r="D113" s="32" t="n">
        <v>0</v>
      </c>
      <c r="E113" s="32" t="n">
        <v>0</v>
      </c>
      <c r="F113" s="32" t="n">
        <v>0</v>
      </c>
      <c r="G113" s="32">
        <f>C113+D113+E113+F113</f>
        <v/>
      </c>
    </row>
    <row r="114">
      <c r="A114" s="31" t="n">
        <v>45712</v>
      </c>
      <c r="B114" s="43" t="inlineStr">
        <is>
          <t>Tech A</t>
        </is>
      </c>
      <c r="C114" s="32" t="n">
        <v>22.9</v>
      </c>
      <c r="D114" s="32" t="n">
        <v>0</v>
      </c>
      <c r="E114" s="32" t="n">
        <v>0</v>
      </c>
      <c r="F114" s="32" t="n">
        <v>0</v>
      </c>
      <c r="G114" s="32">
        <f>C114+D114+E114+F114</f>
        <v/>
      </c>
    </row>
    <row r="115">
      <c r="A115" s="31" t="n">
        <v>45712</v>
      </c>
      <c r="B115" s="43" t="inlineStr">
        <is>
          <t>Tech B</t>
        </is>
      </c>
      <c r="C115" s="32" t="n">
        <v>26.2</v>
      </c>
      <c r="D115" s="32" t="n">
        <v>0</v>
      </c>
      <c r="E115" s="32" t="n">
        <v>0.6</v>
      </c>
      <c r="F115" s="32" t="n">
        <v>0</v>
      </c>
      <c r="G115" s="32">
        <f>C115+D115+E115+F115</f>
        <v/>
      </c>
    </row>
    <row r="116">
      <c r="A116" s="31" t="n">
        <v>45712</v>
      </c>
      <c r="B116" s="43" t="inlineStr">
        <is>
          <t>Tech C</t>
        </is>
      </c>
      <c r="C116" s="32" t="n">
        <v>32.7</v>
      </c>
      <c r="D116" s="32" t="n">
        <v>0</v>
      </c>
      <c r="E116" s="32" t="n">
        <v>0</v>
      </c>
      <c r="F116" s="32" t="n">
        <v>0</v>
      </c>
      <c r="G116" s="32">
        <f>C116+D116+E116+F116</f>
        <v/>
      </c>
    </row>
    <row r="117">
      <c r="A117" s="31" t="n">
        <v>45712</v>
      </c>
      <c r="B117" s="43" t="inlineStr">
        <is>
          <t>Tech D</t>
        </is>
      </c>
      <c r="C117" s="32" t="n">
        <v>28.1</v>
      </c>
      <c r="D117" s="32" t="n">
        <v>0</v>
      </c>
      <c r="E117" s="32" t="n">
        <v>0.8</v>
      </c>
      <c r="F117" s="32" t="n">
        <v>0</v>
      </c>
      <c r="G117" s="32">
        <f>C117+D117+E117+F117</f>
        <v/>
      </c>
    </row>
    <row r="118">
      <c r="A118" s="31" t="n">
        <v>45712</v>
      </c>
      <c r="B118" s="43" t="inlineStr">
        <is>
          <t>Tech E</t>
        </is>
      </c>
      <c r="C118" s="32" t="n">
        <v>36</v>
      </c>
      <c r="D118" s="32" t="n">
        <v>3.3</v>
      </c>
      <c r="E118" s="32" t="n">
        <v>0</v>
      </c>
      <c r="F118" s="32" t="n">
        <v>0</v>
      </c>
      <c r="G118" s="32">
        <f>C118+D118+E118+F118</f>
        <v/>
      </c>
    </row>
    <row r="119">
      <c r="A119" s="31" t="n">
        <v>45712</v>
      </c>
      <c r="B119" s="43" t="inlineStr">
        <is>
          <t>Tech F</t>
        </is>
      </c>
      <c r="C119" s="32" t="n">
        <v>40.6</v>
      </c>
      <c r="D119" s="32" t="n">
        <v>5.2</v>
      </c>
      <c r="E119" s="32" t="n">
        <v>1.1</v>
      </c>
      <c r="F119" s="32" t="n">
        <v>0</v>
      </c>
      <c r="G119" s="32">
        <f>C119+D119+E119+F119</f>
        <v/>
      </c>
    </row>
    <row r="120">
      <c r="A120" s="31" t="n">
        <v>45712</v>
      </c>
      <c r="B120" s="43" t="inlineStr">
        <is>
          <t>Tech G</t>
        </is>
      </c>
      <c r="C120" s="32" t="n">
        <v>34.4</v>
      </c>
      <c r="D120" s="32" t="n">
        <v>4.9</v>
      </c>
      <c r="E120" s="32" t="n">
        <v>1.5</v>
      </c>
      <c r="F120" s="32" t="n">
        <v>0</v>
      </c>
      <c r="G120" s="32">
        <f>C120+D120+E120+F120</f>
        <v/>
      </c>
    </row>
    <row r="121">
      <c r="A121" s="31" t="n">
        <v>45712</v>
      </c>
      <c r="B121" s="43" t="inlineStr">
        <is>
          <t>Tech H</t>
        </is>
      </c>
      <c r="C121" s="32" t="n">
        <v>32.1</v>
      </c>
      <c r="D121" s="32" t="n">
        <v>4.6</v>
      </c>
      <c r="E121" s="32" t="n">
        <v>0</v>
      </c>
      <c r="F121" s="32" t="n">
        <v>0</v>
      </c>
      <c r="G121" s="32">
        <f>C121+D121+E121+F121</f>
        <v/>
      </c>
    </row>
    <row r="122">
      <c r="A122" s="31" t="n">
        <v>45719</v>
      </c>
      <c r="B122" s="43" t="inlineStr">
        <is>
          <t>Tech A</t>
        </is>
      </c>
      <c r="C122" s="32" t="n">
        <v>16.9</v>
      </c>
      <c r="D122" s="32" t="n">
        <v>3.9</v>
      </c>
      <c r="E122" s="32" t="n">
        <v>0</v>
      </c>
      <c r="F122" s="32" t="n">
        <v>0</v>
      </c>
      <c r="G122" s="32">
        <f>C122+D122+E122+F122</f>
        <v/>
      </c>
    </row>
    <row r="123">
      <c r="A123" s="31" t="n">
        <v>45719</v>
      </c>
      <c r="B123" s="43" t="inlineStr">
        <is>
          <t>Tech B</t>
        </is>
      </c>
      <c r="C123" s="32" t="n">
        <v>41.9</v>
      </c>
      <c r="D123" s="32" t="n">
        <v>5.3</v>
      </c>
      <c r="E123" s="32" t="n">
        <v>0</v>
      </c>
      <c r="F123" s="32" t="n">
        <v>0</v>
      </c>
      <c r="G123" s="32">
        <f>C123+D123+E123+F123</f>
        <v/>
      </c>
    </row>
    <row r="124">
      <c r="A124" s="31" t="n">
        <v>45719</v>
      </c>
      <c r="B124" s="43" t="inlineStr">
        <is>
          <t>Tech C</t>
        </is>
      </c>
      <c r="C124" s="32" t="n">
        <v>42.5</v>
      </c>
      <c r="D124" s="32" t="n">
        <v>0</v>
      </c>
      <c r="E124" s="32" t="n">
        <v>0</v>
      </c>
      <c r="F124" s="32" t="n">
        <v>0</v>
      </c>
      <c r="G124" s="32">
        <f>C124+D124+E124+F124</f>
        <v/>
      </c>
    </row>
    <row r="125">
      <c r="A125" s="31" t="n">
        <v>45719</v>
      </c>
      <c r="B125" s="43" t="inlineStr">
        <is>
          <t>Tech D</t>
        </is>
      </c>
      <c r="C125" s="32" t="n">
        <v>20.3</v>
      </c>
      <c r="D125" s="32" t="n">
        <v>0</v>
      </c>
      <c r="E125" s="32" t="n">
        <v>0.5</v>
      </c>
      <c r="F125" s="32" t="n">
        <v>0</v>
      </c>
      <c r="G125" s="32">
        <f>C125+D125+E125+F125</f>
        <v/>
      </c>
    </row>
    <row r="126">
      <c r="A126" s="31" t="n">
        <v>45719</v>
      </c>
      <c r="B126" s="43" t="inlineStr">
        <is>
          <t>Tech E</t>
        </is>
      </c>
      <c r="C126" s="32" t="n">
        <v>31</v>
      </c>
      <c r="D126" s="32" t="n">
        <v>4.8</v>
      </c>
      <c r="E126" s="32" t="n">
        <v>0.6</v>
      </c>
      <c r="F126" s="32" t="n">
        <v>0</v>
      </c>
      <c r="G126" s="32">
        <f>C126+D126+E126+F126</f>
        <v/>
      </c>
    </row>
    <row r="127">
      <c r="A127" s="31" t="n">
        <v>45719</v>
      </c>
      <c r="B127" s="43" t="inlineStr">
        <is>
          <t>Tech F</t>
        </is>
      </c>
      <c r="C127" s="32" t="n">
        <v>22.6</v>
      </c>
      <c r="D127" s="32" t="n">
        <v>0</v>
      </c>
      <c r="E127" s="32" t="n">
        <v>0.4</v>
      </c>
      <c r="F127" s="32" t="n">
        <v>0</v>
      </c>
      <c r="G127" s="32">
        <f>C127+D127+E127+F127</f>
        <v/>
      </c>
    </row>
    <row r="128">
      <c r="A128" s="31" t="n">
        <v>45719</v>
      </c>
      <c r="B128" s="43" t="inlineStr">
        <is>
          <t>Tech G</t>
        </is>
      </c>
      <c r="C128" s="32" t="n">
        <v>48.8</v>
      </c>
      <c r="D128" s="32" t="n">
        <v>0</v>
      </c>
      <c r="E128" s="32" t="n">
        <v>0.5</v>
      </c>
      <c r="F128" s="32" t="n">
        <v>0</v>
      </c>
      <c r="G128" s="32">
        <f>C128+D128+E128+F128</f>
        <v/>
      </c>
    </row>
    <row r="129">
      <c r="A129" s="31" t="n">
        <v>45719</v>
      </c>
      <c r="B129" s="43" t="inlineStr">
        <is>
          <t>Tech H</t>
        </is>
      </c>
      <c r="C129" s="32" t="n">
        <v>34</v>
      </c>
      <c r="D129" s="32" t="n">
        <v>6</v>
      </c>
      <c r="E129" s="32" t="n">
        <v>0</v>
      </c>
      <c r="F129" s="32" t="n">
        <v>0</v>
      </c>
      <c r="G129" s="32">
        <f>C129+D129+E129+F129</f>
        <v/>
      </c>
    </row>
    <row r="130">
      <c r="A130" s="31" t="n">
        <v>45726</v>
      </c>
      <c r="B130" s="43" t="inlineStr">
        <is>
          <t>Tech A</t>
        </is>
      </c>
      <c r="C130" s="32" t="n">
        <v>33.2</v>
      </c>
      <c r="D130" s="32" t="n">
        <v>0</v>
      </c>
      <c r="E130" s="32" t="n">
        <v>1.3</v>
      </c>
      <c r="F130" s="32" t="n">
        <v>0</v>
      </c>
      <c r="G130" s="32">
        <f>C130+D130+E130+F130</f>
        <v/>
      </c>
    </row>
    <row r="131">
      <c r="A131" s="31" t="n">
        <v>45726</v>
      </c>
      <c r="B131" s="43" t="inlineStr">
        <is>
          <t>Tech B</t>
        </is>
      </c>
      <c r="C131" s="32" t="n">
        <v>24.9</v>
      </c>
      <c r="D131" s="32" t="n">
        <v>4.9</v>
      </c>
      <c r="E131" s="32" t="n">
        <v>1.8</v>
      </c>
      <c r="F131" s="32" t="n">
        <v>0</v>
      </c>
      <c r="G131" s="32">
        <f>C131+D131+E131+F131</f>
        <v/>
      </c>
    </row>
    <row r="132">
      <c r="A132" s="31" t="n">
        <v>45726</v>
      </c>
      <c r="B132" s="43" t="inlineStr">
        <is>
          <t>Tech C</t>
        </is>
      </c>
      <c r="C132" s="32" t="n">
        <v>31.7</v>
      </c>
      <c r="D132" s="32" t="n">
        <v>2.3</v>
      </c>
      <c r="E132" s="32" t="n">
        <v>0</v>
      </c>
      <c r="F132" s="32" t="n">
        <v>0</v>
      </c>
      <c r="G132" s="32">
        <f>C132+D132+E132+F132</f>
        <v/>
      </c>
    </row>
    <row r="133">
      <c r="A133" s="31" t="n">
        <v>45726</v>
      </c>
      <c r="B133" s="43" t="inlineStr">
        <is>
          <t>Tech D</t>
        </is>
      </c>
      <c r="C133" s="32" t="n">
        <v>40.9</v>
      </c>
      <c r="D133" s="32" t="n">
        <v>3.7</v>
      </c>
      <c r="E133" s="32" t="n">
        <v>2.1</v>
      </c>
      <c r="F133" s="32" t="n">
        <v>0</v>
      </c>
      <c r="G133" s="32">
        <f>C133+D133+E133+F133</f>
        <v/>
      </c>
    </row>
    <row r="134">
      <c r="A134" s="31" t="n">
        <v>45726</v>
      </c>
      <c r="B134" s="43" t="inlineStr">
        <is>
          <t>Tech E</t>
        </is>
      </c>
      <c r="C134" s="32" t="n">
        <v>24.7</v>
      </c>
      <c r="D134" s="32" t="n">
        <v>0</v>
      </c>
      <c r="E134" s="32" t="n">
        <v>0</v>
      </c>
      <c r="F134" s="32" t="n">
        <v>0</v>
      </c>
      <c r="G134" s="32">
        <f>C134+D134+E134+F134</f>
        <v/>
      </c>
    </row>
    <row r="135">
      <c r="A135" s="31" t="n">
        <v>45726</v>
      </c>
      <c r="B135" s="43" t="inlineStr">
        <is>
          <t>Tech F</t>
        </is>
      </c>
      <c r="C135" s="32" t="n">
        <v>28.2</v>
      </c>
      <c r="D135" s="32" t="n">
        <v>0</v>
      </c>
      <c r="E135" s="32" t="n">
        <v>0</v>
      </c>
      <c r="F135" s="32" t="n">
        <v>0</v>
      </c>
      <c r="G135" s="32">
        <f>C135+D135+E135+F135</f>
        <v/>
      </c>
    </row>
    <row r="136">
      <c r="A136" s="31" t="n">
        <v>45726</v>
      </c>
      <c r="B136" s="43" t="inlineStr">
        <is>
          <t>Tech G</t>
        </is>
      </c>
      <c r="C136" s="32" t="n">
        <v>46.9</v>
      </c>
      <c r="D136" s="32" t="n">
        <v>4.1</v>
      </c>
      <c r="E136" s="32" t="n">
        <v>0.8</v>
      </c>
      <c r="F136" s="32" t="n">
        <v>0</v>
      </c>
      <c r="G136" s="32">
        <f>C136+D136+E136+F136</f>
        <v/>
      </c>
    </row>
    <row r="137">
      <c r="A137" s="31" t="n">
        <v>45726</v>
      </c>
      <c r="B137" s="43" t="inlineStr">
        <is>
          <t>Tech H</t>
        </is>
      </c>
      <c r="C137" s="32" t="n">
        <v>19.5</v>
      </c>
      <c r="D137" s="32" t="n">
        <v>0</v>
      </c>
      <c r="E137" s="32" t="n">
        <v>0</v>
      </c>
      <c r="F137" s="32" t="n">
        <v>0</v>
      </c>
      <c r="G137" s="32">
        <f>C137+D137+E137+F137</f>
        <v/>
      </c>
    </row>
    <row r="138">
      <c r="A138" s="31" t="n">
        <v>45733</v>
      </c>
      <c r="B138" s="43" t="inlineStr">
        <is>
          <t>Tech A</t>
        </is>
      </c>
      <c r="C138" s="32" t="n">
        <v>31.2</v>
      </c>
      <c r="D138" s="32" t="n">
        <v>0</v>
      </c>
      <c r="E138" s="32" t="n">
        <v>0.4</v>
      </c>
      <c r="F138" s="32" t="n">
        <v>0</v>
      </c>
      <c r="G138" s="32">
        <f>C138+D138+E138+F138</f>
        <v/>
      </c>
    </row>
    <row r="139">
      <c r="A139" s="31" t="n">
        <v>45733</v>
      </c>
      <c r="B139" s="43" t="inlineStr">
        <is>
          <t>Tech B</t>
        </is>
      </c>
      <c r="C139" s="32" t="n">
        <v>37.2</v>
      </c>
      <c r="D139" s="32" t="n">
        <v>5.6</v>
      </c>
      <c r="E139" s="32" t="n">
        <v>0</v>
      </c>
      <c r="F139" s="32" t="n">
        <v>0</v>
      </c>
      <c r="G139" s="32">
        <f>C139+D139+E139+F139</f>
        <v/>
      </c>
    </row>
    <row r="140">
      <c r="A140" s="31" t="n">
        <v>45733</v>
      </c>
      <c r="B140" s="43" t="inlineStr">
        <is>
          <t>Tech C</t>
        </is>
      </c>
      <c r="C140" s="32" t="n">
        <v>39.1</v>
      </c>
      <c r="D140" s="32" t="n">
        <v>0</v>
      </c>
      <c r="E140" s="32" t="n">
        <v>0</v>
      </c>
      <c r="F140" s="32" t="n">
        <v>0</v>
      </c>
      <c r="G140" s="32">
        <f>C140+D140+E140+F140</f>
        <v/>
      </c>
    </row>
    <row r="141">
      <c r="A141" s="31" t="n">
        <v>45733</v>
      </c>
      <c r="B141" s="43" t="inlineStr">
        <is>
          <t>Tech D</t>
        </is>
      </c>
      <c r="C141" s="32" t="n">
        <v>42.1</v>
      </c>
      <c r="D141" s="32" t="n">
        <v>5.8</v>
      </c>
      <c r="E141" s="32" t="n">
        <v>0.6</v>
      </c>
      <c r="F141" s="32" t="n">
        <v>0</v>
      </c>
      <c r="G141" s="32">
        <f>C141+D141+E141+F141</f>
        <v/>
      </c>
    </row>
    <row r="142">
      <c r="A142" s="31" t="n">
        <v>45733</v>
      </c>
      <c r="B142" s="43" t="inlineStr">
        <is>
          <t>Tech E</t>
        </is>
      </c>
      <c r="C142" s="32" t="n">
        <v>29.7</v>
      </c>
      <c r="D142" s="32" t="n">
        <v>0</v>
      </c>
      <c r="E142" s="32" t="n">
        <v>0</v>
      </c>
      <c r="F142" s="32" t="n">
        <v>0</v>
      </c>
      <c r="G142" s="32">
        <f>C142+D142+E142+F142</f>
        <v/>
      </c>
    </row>
    <row r="143">
      <c r="A143" s="31" t="n">
        <v>45733</v>
      </c>
      <c r="B143" s="43" t="inlineStr">
        <is>
          <t>Tech F</t>
        </is>
      </c>
      <c r="C143" s="32" t="n">
        <v>23.3</v>
      </c>
      <c r="D143" s="32" t="n">
        <v>4.1</v>
      </c>
      <c r="E143" s="32" t="n">
        <v>0.4</v>
      </c>
      <c r="F143" s="32" t="n">
        <v>0</v>
      </c>
      <c r="G143" s="32">
        <f>C143+D143+E143+F143</f>
        <v/>
      </c>
    </row>
    <row r="144">
      <c r="A144" s="31" t="n">
        <v>45733</v>
      </c>
      <c r="B144" s="43" t="inlineStr">
        <is>
          <t>Tech G</t>
        </is>
      </c>
      <c r="C144" s="32" t="n">
        <v>29.7</v>
      </c>
      <c r="D144" s="32" t="n">
        <v>5.5</v>
      </c>
      <c r="E144" s="32" t="n">
        <v>0</v>
      </c>
      <c r="F144" s="32" t="n">
        <v>0</v>
      </c>
      <c r="G144" s="32">
        <f>C144+D144+E144+F144</f>
        <v/>
      </c>
    </row>
    <row r="145">
      <c r="A145" s="31" t="n">
        <v>45733</v>
      </c>
      <c r="B145" s="43" t="inlineStr">
        <is>
          <t>Tech H</t>
        </is>
      </c>
      <c r="C145" s="32" t="n">
        <v>26.7</v>
      </c>
      <c r="D145" s="32" t="n">
        <v>0</v>
      </c>
      <c r="E145" s="32" t="n">
        <v>0.6</v>
      </c>
      <c r="F145" s="32" t="n">
        <v>0</v>
      </c>
      <c r="G145" s="32">
        <f>C145+D145+E145+F145</f>
        <v/>
      </c>
    </row>
    <row r="146">
      <c r="A146" s="31" t="n">
        <v>45740</v>
      </c>
      <c r="B146" s="43" t="inlineStr">
        <is>
          <t>Tech A</t>
        </is>
      </c>
      <c r="C146" s="32" t="n">
        <v>15</v>
      </c>
      <c r="D146" s="32" t="n">
        <v>4.7</v>
      </c>
      <c r="E146" s="32" t="n">
        <v>0</v>
      </c>
      <c r="F146" s="32" t="n">
        <v>0</v>
      </c>
      <c r="G146" s="32">
        <f>C146+D146+E146+F146</f>
        <v/>
      </c>
    </row>
    <row r="147">
      <c r="A147" s="31" t="n">
        <v>45740</v>
      </c>
      <c r="B147" s="43" t="inlineStr">
        <is>
          <t>Tech B</t>
        </is>
      </c>
      <c r="C147" s="32" t="n">
        <v>27.7</v>
      </c>
      <c r="D147" s="32" t="n">
        <v>6.2</v>
      </c>
      <c r="E147" s="32" t="n">
        <v>0</v>
      </c>
      <c r="F147" s="32" t="n">
        <v>0</v>
      </c>
      <c r="G147" s="32">
        <f>C147+D147+E147+F147</f>
        <v/>
      </c>
    </row>
    <row r="148">
      <c r="A148" s="31" t="n">
        <v>45740</v>
      </c>
      <c r="B148" s="43" t="inlineStr">
        <is>
          <t>Tech C</t>
        </is>
      </c>
      <c r="C148" s="32" t="n">
        <v>38.9</v>
      </c>
      <c r="D148" s="32" t="n">
        <v>0</v>
      </c>
      <c r="E148" s="32" t="n">
        <v>0.6</v>
      </c>
      <c r="F148" s="32" t="n">
        <v>0</v>
      </c>
      <c r="G148" s="32">
        <f>C148+D148+E148+F148</f>
        <v/>
      </c>
    </row>
    <row r="149">
      <c r="A149" s="31" t="n">
        <v>45740</v>
      </c>
      <c r="B149" s="43" t="inlineStr">
        <is>
          <t>Tech D</t>
        </is>
      </c>
      <c r="C149" s="32" t="n">
        <v>22.7</v>
      </c>
      <c r="D149" s="32" t="n">
        <v>3.9</v>
      </c>
      <c r="E149" s="32" t="n">
        <v>0</v>
      </c>
      <c r="F149" s="32" t="n">
        <v>8</v>
      </c>
      <c r="G149" s="32">
        <f>C149+D149+E149+F149</f>
        <v/>
      </c>
    </row>
    <row r="150">
      <c r="A150" s="31" t="n">
        <v>45740</v>
      </c>
      <c r="B150" s="43" t="inlineStr">
        <is>
          <t>Tech E</t>
        </is>
      </c>
      <c r="C150" s="32" t="n">
        <v>30.7</v>
      </c>
      <c r="D150" s="32" t="n">
        <v>9.199999999999999</v>
      </c>
      <c r="E150" s="32" t="n">
        <v>0.9</v>
      </c>
      <c r="F150" s="32" t="n">
        <v>0</v>
      </c>
      <c r="G150" s="32">
        <f>C150+D150+E150+F150</f>
        <v/>
      </c>
    </row>
    <row r="151">
      <c r="A151" s="31" t="n">
        <v>45740</v>
      </c>
      <c r="B151" s="43" t="inlineStr">
        <is>
          <t>Tech F</t>
        </is>
      </c>
      <c r="C151" s="32" t="n">
        <v>34.2</v>
      </c>
      <c r="D151" s="32" t="n">
        <v>0</v>
      </c>
      <c r="E151" s="32" t="n">
        <v>0</v>
      </c>
      <c r="F151" s="32" t="n">
        <v>0</v>
      </c>
      <c r="G151" s="32">
        <f>C151+D151+E151+F151</f>
        <v/>
      </c>
    </row>
    <row r="152">
      <c r="A152" s="31" t="n">
        <v>45740</v>
      </c>
      <c r="B152" s="43" t="inlineStr">
        <is>
          <t>Tech G</t>
        </is>
      </c>
      <c r="C152" s="32" t="n">
        <v>30.7</v>
      </c>
      <c r="D152" s="32" t="n">
        <v>0</v>
      </c>
      <c r="E152" s="32" t="n">
        <v>1</v>
      </c>
      <c r="F152" s="32" t="n">
        <v>0</v>
      </c>
      <c r="G152" s="32">
        <f>C152+D152+E152+F152</f>
        <v/>
      </c>
    </row>
    <row r="153">
      <c r="A153" s="31" t="n">
        <v>45740</v>
      </c>
      <c r="B153" s="43" t="inlineStr">
        <is>
          <t>Tech H</t>
        </is>
      </c>
      <c r="C153" s="32" t="n">
        <v>33.5</v>
      </c>
      <c r="D153" s="32" t="n">
        <v>0</v>
      </c>
      <c r="E153" s="32" t="n">
        <v>0.5</v>
      </c>
      <c r="F153" s="32" t="n">
        <v>0</v>
      </c>
      <c r="G153" s="32">
        <f>C153+D153+E153+F153</f>
        <v/>
      </c>
    </row>
    <row r="154">
      <c r="A154" s="31" t="n">
        <v>45740</v>
      </c>
      <c r="B154" s="43" t="inlineStr">
        <is>
          <t>Tech I</t>
        </is>
      </c>
      <c r="C154" s="32" t="n">
        <v>38.6</v>
      </c>
      <c r="D154" s="32" t="n">
        <v>0</v>
      </c>
      <c r="E154" s="32" t="n">
        <v>0</v>
      </c>
      <c r="F154" s="32" t="n">
        <v>0</v>
      </c>
      <c r="G154" s="32">
        <f>C154+D154+E154+F154</f>
        <v/>
      </c>
    </row>
    <row r="155">
      <c r="A155" s="31" t="n">
        <v>45747</v>
      </c>
      <c r="B155" s="43" t="inlineStr">
        <is>
          <t>Tech A</t>
        </is>
      </c>
      <c r="C155" s="32" t="n">
        <v>30.2</v>
      </c>
      <c r="D155" s="32" t="n">
        <v>8.9</v>
      </c>
      <c r="E155" s="32" t="n">
        <v>0.6</v>
      </c>
      <c r="F155" s="32" t="n">
        <v>0</v>
      </c>
      <c r="G155" s="32">
        <f>C155+D155+E155+F155</f>
        <v/>
      </c>
    </row>
    <row r="156">
      <c r="A156" s="31" t="n">
        <v>45747</v>
      </c>
      <c r="B156" s="43" t="inlineStr">
        <is>
          <t>Tech B</t>
        </is>
      </c>
      <c r="C156" s="32" t="n">
        <v>36.8</v>
      </c>
      <c r="D156" s="32" t="n">
        <v>0</v>
      </c>
      <c r="E156" s="32" t="n">
        <v>0</v>
      </c>
      <c r="F156" s="32" t="n">
        <v>0</v>
      </c>
      <c r="G156" s="32">
        <f>C156+D156+E156+F156</f>
        <v/>
      </c>
    </row>
    <row r="157">
      <c r="A157" s="31" t="n">
        <v>45747</v>
      </c>
      <c r="B157" s="43" t="inlineStr">
        <is>
          <t>Tech C</t>
        </is>
      </c>
      <c r="C157" s="32" t="n">
        <v>20.5</v>
      </c>
      <c r="D157" s="32" t="n">
        <v>0</v>
      </c>
      <c r="E157" s="32" t="n">
        <v>0</v>
      </c>
      <c r="F157" s="32" t="n">
        <v>0</v>
      </c>
      <c r="G157" s="32">
        <f>C157+D157+E157+F157</f>
        <v/>
      </c>
    </row>
    <row r="158">
      <c r="A158" s="31" t="n">
        <v>45747</v>
      </c>
      <c r="B158" s="43" t="inlineStr">
        <is>
          <t>Tech D</t>
        </is>
      </c>
      <c r="C158" s="32" t="n">
        <v>33.1</v>
      </c>
      <c r="D158" s="32" t="n">
        <v>4.4</v>
      </c>
      <c r="E158" s="32" t="n">
        <v>0.4</v>
      </c>
      <c r="F158" s="32" t="n">
        <v>0</v>
      </c>
      <c r="G158" s="32">
        <f>C158+D158+E158+F158</f>
        <v/>
      </c>
    </row>
    <row r="159">
      <c r="A159" s="31" t="n">
        <v>45747</v>
      </c>
      <c r="B159" s="43" t="inlineStr">
        <is>
          <t>Tech E</t>
        </is>
      </c>
      <c r="C159" s="32" t="n">
        <v>22.2</v>
      </c>
      <c r="D159" s="32" t="n">
        <v>8.800000000000001</v>
      </c>
      <c r="E159" s="32" t="n">
        <v>0</v>
      </c>
      <c r="F159" s="32" t="n">
        <v>0</v>
      </c>
      <c r="G159" s="32">
        <f>C159+D159+E159+F159</f>
        <v/>
      </c>
    </row>
    <row r="160">
      <c r="A160" s="31" t="n">
        <v>45747</v>
      </c>
      <c r="B160" s="43" t="inlineStr">
        <is>
          <t>Tech F</t>
        </is>
      </c>
      <c r="C160" s="32" t="n">
        <v>32.8</v>
      </c>
      <c r="D160" s="32" t="n">
        <v>3.9</v>
      </c>
      <c r="E160" s="32" t="n">
        <v>0</v>
      </c>
      <c r="F160" s="32" t="n">
        <v>0</v>
      </c>
      <c r="G160" s="32">
        <f>C160+D160+E160+F160</f>
        <v/>
      </c>
    </row>
    <row r="161">
      <c r="A161" s="31" t="n">
        <v>45747</v>
      </c>
      <c r="B161" s="43" t="inlineStr">
        <is>
          <t>Tech G</t>
        </is>
      </c>
      <c r="C161" s="32" t="n">
        <v>36.1</v>
      </c>
      <c r="D161" s="32" t="n">
        <v>0</v>
      </c>
      <c r="E161" s="32" t="n">
        <v>0.5</v>
      </c>
      <c r="F161" s="32" t="n">
        <v>0</v>
      </c>
      <c r="G161" s="32">
        <f>C161+D161+E161+F161</f>
        <v/>
      </c>
    </row>
    <row r="162">
      <c r="A162" s="31" t="n">
        <v>45747</v>
      </c>
      <c r="B162" s="43" t="inlineStr">
        <is>
          <t>Tech H</t>
        </is>
      </c>
      <c r="C162" s="32" t="n">
        <v>35.8</v>
      </c>
      <c r="D162" s="32" t="n">
        <v>0</v>
      </c>
      <c r="E162" s="32" t="n">
        <v>0.5</v>
      </c>
      <c r="F162" s="32" t="n">
        <v>0</v>
      </c>
      <c r="G162" s="32">
        <f>C162+D162+E162+F162</f>
        <v/>
      </c>
    </row>
    <row r="163">
      <c r="A163" s="31" t="n">
        <v>45747</v>
      </c>
      <c r="B163" s="43" t="inlineStr">
        <is>
          <t>Tech I</t>
        </is>
      </c>
      <c r="C163" s="32" t="n">
        <v>29.5</v>
      </c>
      <c r="D163" s="32" t="n">
        <v>0</v>
      </c>
      <c r="E163" s="32" t="n">
        <v>0</v>
      </c>
      <c r="F163" s="32" t="n">
        <v>0</v>
      </c>
      <c r="G163" s="32">
        <f>C163+D163+E163+F163</f>
        <v/>
      </c>
    </row>
    <row r="164">
      <c r="A164" s="31" t="n">
        <v>45754</v>
      </c>
      <c r="B164" s="43" t="inlineStr">
        <is>
          <t>Tech A</t>
        </is>
      </c>
      <c r="C164" s="32" t="n">
        <v>28.2</v>
      </c>
      <c r="D164" s="32" t="n">
        <v>0</v>
      </c>
      <c r="E164" s="32" t="n">
        <v>0</v>
      </c>
      <c r="F164" s="32" t="n">
        <v>0</v>
      </c>
      <c r="G164" s="32">
        <f>C164+D164+E164+F164</f>
        <v/>
      </c>
    </row>
    <row r="165">
      <c r="A165" s="31" t="n">
        <v>45754</v>
      </c>
      <c r="B165" s="43" t="inlineStr">
        <is>
          <t>Tech B</t>
        </is>
      </c>
      <c r="C165" s="32" t="n">
        <v>49.7</v>
      </c>
      <c r="D165" s="32" t="n">
        <v>0</v>
      </c>
      <c r="E165" s="32" t="n">
        <v>1.1</v>
      </c>
      <c r="F165" s="32" t="n">
        <v>0</v>
      </c>
      <c r="G165" s="32">
        <f>C165+D165+E165+F165</f>
        <v/>
      </c>
    </row>
    <row r="166">
      <c r="A166" s="31" t="n">
        <v>45754</v>
      </c>
      <c r="B166" s="43" t="inlineStr">
        <is>
          <t>Tech C</t>
        </is>
      </c>
      <c r="C166" s="32" t="n">
        <v>48.9</v>
      </c>
      <c r="D166" s="32" t="n">
        <v>0</v>
      </c>
      <c r="E166" s="32" t="n">
        <v>0.7</v>
      </c>
      <c r="F166" s="32" t="n">
        <v>4</v>
      </c>
      <c r="G166" s="32">
        <f>C166+D166+E166+F166</f>
        <v/>
      </c>
    </row>
    <row r="167">
      <c r="A167" s="31" t="n">
        <v>45754</v>
      </c>
      <c r="B167" s="43" t="inlineStr">
        <is>
          <t>Tech D</t>
        </is>
      </c>
      <c r="C167" s="32" t="n">
        <v>21.6</v>
      </c>
      <c r="D167" s="32" t="n">
        <v>7.6</v>
      </c>
      <c r="E167" s="32" t="n">
        <v>1.2</v>
      </c>
      <c r="F167" s="32" t="n">
        <v>0</v>
      </c>
      <c r="G167" s="32">
        <f>C167+D167+E167+F167</f>
        <v/>
      </c>
    </row>
    <row r="168">
      <c r="A168" s="31" t="n">
        <v>45754</v>
      </c>
      <c r="B168" s="43" t="inlineStr">
        <is>
          <t>Tech E</t>
        </is>
      </c>
      <c r="C168" s="32" t="n">
        <v>50.8</v>
      </c>
      <c r="D168" s="32" t="n">
        <v>9</v>
      </c>
      <c r="E168" s="32" t="n">
        <v>0</v>
      </c>
      <c r="F168" s="32" t="n">
        <v>0</v>
      </c>
      <c r="G168" s="32">
        <f>C168+D168+E168+F168</f>
        <v/>
      </c>
    </row>
    <row r="169">
      <c r="A169" s="31" t="n">
        <v>45754</v>
      </c>
      <c r="B169" s="43" t="inlineStr">
        <is>
          <t>Tech F</t>
        </is>
      </c>
      <c r="C169" s="32" t="n">
        <v>27.3</v>
      </c>
      <c r="D169" s="32" t="n">
        <v>7.4</v>
      </c>
      <c r="E169" s="32" t="n">
        <v>0</v>
      </c>
      <c r="F169" s="32" t="n">
        <v>0</v>
      </c>
      <c r="G169" s="32">
        <f>C169+D169+E169+F169</f>
        <v/>
      </c>
    </row>
    <row r="170">
      <c r="A170" s="31" t="n">
        <v>45754</v>
      </c>
      <c r="B170" s="43" t="inlineStr">
        <is>
          <t>Tech G</t>
        </is>
      </c>
      <c r="C170" s="32" t="n">
        <v>35.5</v>
      </c>
      <c r="D170" s="32" t="n">
        <v>0</v>
      </c>
      <c r="E170" s="32" t="n">
        <v>0</v>
      </c>
      <c r="F170" s="32" t="n">
        <v>0</v>
      </c>
      <c r="G170" s="32">
        <f>C170+D170+E170+F170</f>
        <v/>
      </c>
    </row>
    <row r="171">
      <c r="A171" s="31" t="n">
        <v>45761</v>
      </c>
      <c r="B171" s="43" t="inlineStr">
        <is>
          <t>Tech A</t>
        </is>
      </c>
      <c r="C171" s="32" t="n">
        <v>39.9</v>
      </c>
      <c r="D171" s="32" t="n">
        <v>0</v>
      </c>
      <c r="E171" s="32" t="n">
        <v>0</v>
      </c>
      <c r="F171" s="32" t="n">
        <v>0</v>
      </c>
      <c r="G171" s="32">
        <f>C171+D171+E171+F171</f>
        <v/>
      </c>
    </row>
    <row r="172">
      <c r="A172" s="31" t="n">
        <v>45761</v>
      </c>
      <c r="B172" s="43" t="inlineStr">
        <is>
          <t>Tech B</t>
        </is>
      </c>
      <c r="C172" s="32" t="n">
        <v>38.4</v>
      </c>
      <c r="D172" s="32" t="n">
        <v>0</v>
      </c>
      <c r="E172" s="32" t="n">
        <v>0</v>
      </c>
      <c r="F172" s="32" t="n">
        <v>0</v>
      </c>
      <c r="G172" s="32">
        <f>C172+D172+E172+F172</f>
        <v/>
      </c>
    </row>
    <row r="173">
      <c r="A173" s="31" t="n">
        <v>45761</v>
      </c>
      <c r="B173" s="43" t="inlineStr">
        <is>
          <t>Tech C</t>
        </is>
      </c>
      <c r="C173" s="32" t="n">
        <v>33.2</v>
      </c>
      <c r="D173" s="32" t="n">
        <v>0</v>
      </c>
      <c r="E173" s="32" t="n">
        <v>0.7</v>
      </c>
      <c r="F173" s="32" t="n">
        <v>0</v>
      </c>
      <c r="G173" s="32">
        <f>C173+D173+E173+F173</f>
        <v/>
      </c>
    </row>
    <row r="174">
      <c r="A174" s="31" t="n">
        <v>45761</v>
      </c>
      <c r="B174" s="43" t="inlineStr">
        <is>
          <t>Tech D</t>
        </is>
      </c>
      <c r="C174" s="32" t="n">
        <v>43.4</v>
      </c>
      <c r="D174" s="32" t="n">
        <v>4</v>
      </c>
      <c r="E174" s="32" t="n">
        <v>0</v>
      </c>
      <c r="F174" s="32" t="n">
        <v>0</v>
      </c>
      <c r="G174" s="32">
        <f>C174+D174+E174+F174</f>
        <v/>
      </c>
    </row>
    <row r="175">
      <c r="A175" s="31" t="n">
        <v>45761</v>
      </c>
      <c r="B175" s="43" t="inlineStr">
        <is>
          <t>Tech E</t>
        </is>
      </c>
      <c r="C175" s="32" t="n">
        <v>19.9</v>
      </c>
      <c r="D175" s="32" t="n">
        <v>7.1</v>
      </c>
      <c r="E175" s="32" t="n">
        <v>0</v>
      </c>
      <c r="F175" s="32" t="n">
        <v>0</v>
      </c>
      <c r="G175" s="32">
        <f>C175+D175+E175+F175</f>
        <v/>
      </c>
    </row>
    <row r="176">
      <c r="A176" s="31" t="n">
        <v>45761</v>
      </c>
      <c r="B176" s="43" t="inlineStr">
        <is>
          <t>Tech F</t>
        </is>
      </c>
      <c r="C176" s="32" t="n">
        <v>24.2</v>
      </c>
      <c r="D176" s="32" t="n">
        <v>5</v>
      </c>
      <c r="E176" s="32" t="n">
        <v>1.2</v>
      </c>
      <c r="F176" s="32" t="n">
        <v>0</v>
      </c>
      <c r="G176" s="32">
        <f>C176+D176+E176+F176</f>
        <v/>
      </c>
    </row>
    <row r="177">
      <c r="A177" s="31" t="n">
        <v>45761</v>
      </c>
      <c r="B177" s="43" t="inlineStr">
        <is>
          <t>Tech G</t>
        </is>
      </c>
      <c r="C177" s="32" t="n">
        <v>40</v>
      </c>
      <c r="D177" s="32" t="n">
        <v>0</v>
      </c>
      <c r="E177" s="32" t="n">
        <v>0.8</v>
      </c>
      <c r="F177" s="32" t="n">
        <v>0</v>
      </c>
      <c r="G177" s="32">
        <f>C177+D177+E177+F177</f>
        <v/>
      </c>
    </row>
    <row r="178">
      <c r="A178" s="31" t="n">
        <v>45761</v>
      </c>
      <c r="B178" s="43" t="inlineStr">
        <is>
          <t>Tech H</t>
        </is>
      </c>
      <c r="C178" s="32" t="n">
        <v>27</v>
      </c>
      <c r="D178" s="32" t="n">
        <v>3.9</v>
      </c>
      <c r="E178" s="32" t="n">
        <v>1.3</v>
      </c>
      <c r="F178" s="32" t="n">
        <v>0</v>
      </c>
      <c r="G178" s="32">
        <f>C178+D178+E178+F178</f>
        <v/>
      </c>
    </row>
    <row r="179">
      <c r="A179" s="31" t="n">
        <v>45768</v>
      </c>
      <c r="B179" s="43" t="inlineStr">
        <is>
          <t>Tech A</t>
        </is>
      </c>
      <c r="C179" s="32" t="n">
        <v>49.9</v>
      </c>
      <c r="D179" s="32" t="n">
        <v>6.2</v>
      </c>
      <c r="E179" s="32" t="n">
        <v>0</v>
      </c>
      <c r="F179" s="32" t="n">
        <v>0</v>
      </c>
      <c r="G179" s="32">
        <f>C179+D179+E179+F179</f>
        <v/>
      </c>
    </row>
    <row r="180">
      <c r="A180" s="31" t="n">
        <v>45768</v>
      </c>
      <c r="B180" s="43" t="inlineStr">
        <is>
          <t>Tech B</t>
        </is>
      </c>
      <c r="C180" s="32" t="n">
        <v>44.9</v>
      </c>
      <c r="D180" s="32" t="n">
        <v>6.8</v>
      </c>
      <c r="E180" s="32" t="n">
        <v>0</v>
      </c>
      <c r="F180" s="32" t="n">
        <v>0</v>
      </c>
      <c r="G180" s="32">
        <f>C180+D180+E180+F180</f>
        <v/>
      </c>
    </row>
    <row r="181">
      <c r="A181" s="31" t="n">
        <v>45768</v>
      </c>
      <c r="B181" s="43" t="inlineStr">
        <is>
          <t>Tech C</t>
        </is>
      </c>
      <c r="C181" s="32" t="n">
        <v>26.8</v>
      </c>
      <c r="D181" s="32" t="n">
        <v>3.3</v>
      </c>
      <c r="E181" s="32" t="n">
        <v>0</v>
      </c>
      <c r="F181" s="32" t="n">
        <v>0</v>
      </c>
      <c r="G181" s="32">
        <f>C181+D181+E181+F181</f>
        <v/>
      </c>
    </row>
    <row r="182">
      <c r="A182" s="31" t="n">
        <v>45768</v>
      </c>
      <c r="B182" s="43" t="inlineStr">
        <is>
          <t>Tech D</t>
        </is>
      </c>
      <c r="C182" s="32" t="n">
        <v>29</v>
      </c>
      <c r="D182" s="32" t="n">
        <v>0</v>
      </c>
      <c r="E182" s="32" t="n">
        <v>0.6</v>
      </c>
      <c r="F182" s="32" t="n">
        <v>0</v>
      </c>
      <c r="G182" s="32">
        <f>C182+D182+E182+F182</f>
        <v/>
      </c>
    </row>
    <row r="183">
      <c r="A183" s="31" t="n">
        <v>45768</v>
      </c>
      <c r="B183" s="43" t="inlineStr">
        <is>
          <t>Tech E</t>
        </is>
      </c>
      <c r="C183" s="32" t="n">
        <v>27</v>
      </c>
      <c r="D183" s="32" t="n">
        <v>2.7</v>
      </c>
      <c r="E183" s="32" t="n">
        <v>1</v>
      </c>
      <c r="F183" s="32" t="n">
        <v>0</v>
      </c>
      <c r="G183" s="32">
        <f>C183+D183+E183+F183</f>
        <v/>
      </c>
    </row>
    <row r="184">
      <c r="A184" s="31" t="n">
        <v>45768</v>
      </c>
      <c r="B184" s="43" t="inlineStr">
        <is>
          <t>Tech F</t>
        </is>
      </c>
      <c r="C184" s="32" t="n">
        <v>40.7</v>
      </c>
      <c r="D184" s="32" t="n">
        <v>0</v>
      </c>
      <c r="E184" s="32" t="n">
        <v>0.5</v>
      </c>
      <c r="F184" s="32" t="n">
        <v>0</v>
      </c>
      <c r="G184" s="32">
        <f>C184+D184+E184+F184</f>
        <v/>
      </c>
    </row>
    <row r="185">
      <c r="A185" s="31" t="n">
        <v>45768</v>
      </c>
      <c r="B185" s="43" t="inlineStr">
        <is>
          <t>Tech G</t>
        </is>
      </c>
      <c r="C185" s="32" t="n">
        <v>21.1</v>
      </c>
      <c r="D185" s="32" t="n">
        <v>0</v>
      </c>
      <c r="E185" s="32" t="n">
        <v>0.9</v>
      </c>
      <c r="F185" s="32" t="n">
        <v>0</v>
      </c>
      <c r="G185" s="32">
        <f>C185+D185+E185+F185</f>
        <v/>
      </c>
    </row>
    <row r="186">
      <c r="A186" s="31" t="n">
        <v>45768</v>
      </c>
      <c r="B186" s="43" t="inlineStr">
        <is>
          <t>Tech H</t>
        </is>
      </c>
      <c r="C186" s="32" t="n">
        <v>18.6</v>
      </c>
      <c r="D186" s="32" t="n">
        <v>0</v>
      </c>
      <c r="E186" s="32" t="n">
        <v>0</v>
      </c>
      <c r="F186" s="32" t="n">
        <v>0</v>
      </c>
      <c r="G186" s="32">
        <f>C186+D186+E186+F186</f>
        <v/>
      </c>
    </row>
    <row r="187">
      <c r="A187" s="31" t="n">
        <v>45775</v>
      </c>
      <c r="B187" s="43" t="inlineStr">
        <is>
          <t>Tech A</t>
        </is>
      </c>
      <c r="C187" s="32" t="n">
        <v>22.7</v>
      </c>
      <c r="D187" s="32" t="n">
        <v>0</v>
      </c>
      <c r="E187" s="32" t="n">
        <v>0.6</v>
      </c>
      <c r="F187" s="32" t="n">
        <v>0</v>
      </c>
      <c r="G187" s="32">
        <f>C187+D187+E187+F187</f>
        <v/>
      </c>
    </row>
    <row r="188">
      <c r="A188" s="31" t="n">
        <v>45775</v>
      </c>
      <c r="B188" s="43" t="inlineStr">
        <is>
          <t>Tech B</t>
        </is>
      </c>
      <c r="C188" s="32" t="n">
        <v>29.1</v>
      </c>
      <c r="D188" s="32" t="n">
        <v>0</v>
      </c>
      <c r="E188" s="32" t="n">
        <v>0</v>
      </c>
      <c r="F188" s="32" t="n">
        <v>0</v>
      </c>
      <c r="G188" s="32">
        <f>C188+D188+E188+F188</f>
        <v/>
      </c>
    </row>
    <row r="189">
      <c r="A189" s="31" t="n">
        <v>45775</v>
      </c>
      <c r="B189" s="43" t="inlineStr">
        <is>
          <t>Tech C</t>
        </is>
      </c>
      <c r="C189" s="32" t="n">
        <v>41.1</v>
      </c>
      <c r="D189" s="32" t="n">
        <v>0</v>
      </c>
      <c r="E189" s="32" t="n">
        <v>0</v>
      </c>
      <c r="F189" s="32" t="n">
        <v>0</v>
      </c>
      <c r="G189" s="32">
        <f>C189+D189+E189+F189</f>
        <v/>
      </c>
    </row>
    <row r="190">
      <c r="A190" s="31" t="n">
        <v>45775</v>
      </c>
      <c r="B190" s="43" t="inlineStr">
        <is>
          <t>Tech D</t>
        </is>
      </c>
      <c r="C190" s="32" t="n">
        <v>35.6</v>
      </c>
      <c r="D190" s="32" t="n">
        <v>6.2</v>
      </c>
      <c r="E190" s="32" t="n">
        <v>0</v>
      </c>
      <c r="F190" s="32" t="n">
        <v>0</v>
      </c>
      <c r="G190" s="32">
        <f>C190+D190+E190+F190</f>
        <v/>
      </c>
    </row>
    <row r="191">
      <c r="A191" s="31" t="n">
        <v>45775</v>
      </c>
      <c r="B191" s="43" t="inlineStr">
        <is>
          <t>Tech E</t>
        </is>
      </c>
      <c r="C191" s="32" t="n">
        <v>42.6</v>
      </c>
      <c r="D191" s="32" t="n">
        <v>0</v>
      </c>
      <c r="E191" s="32" t="n">
        <v>0.7</v>
      </c>
      <c r="F191" s="32" t="n">
        <v>0</v>
      </c>
      <c r="G191" s="32">
        <f>C191+D191+E191+F191</f>
        <v/>
      </c>
    </row>
    <row r="192">
      <c r="A192" s="31" t="n">
        <v>45775</v>
      </c>
      <c r="B192" s="43" t="inlineStr">
        <is>
          <t>Tech F</t>
        </is>
      </c>
      <c r="C192" s="32" t="n">
        <v>43.4</v>
      </c>
      <c r="D192" s="32" t="n">
        <v>8.5</v>
      </c>
      <c r="E192" s="32" t="n">
        <v>0</v>
      </c>
      <c r="F192" s="32" t="n">
        <v>0</v>
      </c>
      <c r="G192" s="32">
        <f>C192+D192+E192+F192</f>
        <v/>
      </c>
    </row>
    <row r="193">
      <c r="A193" s="31" t="n">
        <v>45775</v>
      </c>
      <c r="B193" s="43" t="inlineStr">
        <is>
          <t>Tech G</t>
        </is>
      </c>
      <c r="C193" s="32" t="n">
        <v>49.5</v>
      </c>
      <c r="D193" s="32" t="n">
        <v>7.3</v>
      </c>
      <c r="E193" s="32" t="n">
        <v>0.7</v>
      </c>
      <c r="F193" s="32" t="n">
        <v>8</v>
      </c>
      <c r="G193" s="32">
        <f>C193+D193+E193+F193</f>
        <v/>
      </c>
    </row>
    <row r="194">
      <c r="A194" s="31" t="n">
        <v>45782</v>
      </c>
      <c r="B194" s="43" t="inlineStr">
        <is>
          <t>Tech A</t>
        </is>
      </c>
      <c r="C194" s="32" t="n">
        <v>45</v>
      </c>
      <c r="D194" s="32" t="n">
        <v>0</v>
      </c>
      <c r="E194" s="32" t="n">
        <v>1</v>
      </c>
      <c r="F194" s="32" t="n">
        <v>0</v>
      </c>
      <c r="G194" s="32">
        <f>C194+D194+E194+F194</f>
        <v/>
      </c>
    </row>
    <row r="195">
      <c r="A195" s="31" t="n">
        <v>45782</v>
      </c>
      <c r="B195" s="43" t="inlineStr">
        <is>
          <t>Tech B</t>
        </is>
      </c>
      <c r="C195" s="32" t="n">
        <v>36.7</v>
      </c>
      <c r="D195" s="32" t="n">
        <v>0</v>
      </c>
      <c r="E195" s="32" t="n">
        <v>2.4</v>
      </c>
      <c r="F195" s="32" t="n">
        <v>0</v>
      </c>
      <c r="G195" s="32">
        <f>C195+D195+E195+F195</f>
        <v/>
      </c>
    </row>
    <row r="196">
      <c r="A196" s="31" t="n">
        <v>45782</v>
      </c>
      <c r="B196" s="43" t="inlineStr">
        <is>
          <t>Tech C</t>
        </is>
      </c>
      <c r="C196" s="32" t="n">
        <v>20.1</v>
      </c>
      <c r="D196" s="32" t="n">
        <v>0</v>
      </c>
      <c r="E196" s="32" t="n">
        <v>2.1</v>
      </c>
      <c r="F196" s="32" t="n">
        <v>0</v>
      </c>
      <c r="G196" s="32">
        <f>C196+D196+E196+F196</f>
        <v/>
      </c>
    </row>
    <row r="197">
      <c r="A197" s="31" t="n">
        <v>45782</v>
      </c>
      <c r="B197" s="43" t="inlineStr">
        <is>
          <t>Tech D</t>
        </is>
      </c>
      <c r="C197" s="32" t="n">
        <v>29.8</v>
      </c>
      <c r="D197" s="32" t="n">
        <v>0</v>
      </c>
      <c r="E197" s="32" t="n">
        <v>0</v>
      </c>
      <c r="F197" s="32" t="n">
        <v>0</v>
      </c>
      <c r="G197" s="32">
        <f>C197+D197+E197+F197</f>
        <v/>
      </c>
    </row>
    <row r="198">
      <c r="A198" s="31" t="n">
        <v>45782</v>
      </c>
      <c r="B198" s="43" t="inlineStr">
        <is>
          <t>Tech E</t>
        </is>
      </c>
      <c r="C198" s="32" t="n">
        <v>29.6</v>
      </c>
      <c r="D198" s="32" t="n">
        <v>3.6</v>
      </c>
      <c r="E198" s="32" t="n">
        <v>0</v>
      </c>
      <c r="F198" s="32" t="n">
        <v>0</v>
      </c>
      <c r="G198" s="32">
        <f>C198+D198+E198+F198</f>
        <v/>
      </c>
    </row>
    <row r="199">
      <c r="A199" s="31" t="n">
        <v>45782</v>
      </c>
      <c r="B199" s="43" t="inlineStr">
        <is>
          <t>Tech F</t>
        </is>
      </c>
      <c r="C199" s="32" t="n">
        <v>51.4</v>
      </c>
      <c r="D199" s="32" t="n">
        <v>4.4</v>
      </c>
      <c r="E199" s="32" t="n">
        <v>0</v>
      </c>
      <c r="F199" s="32" t="n">
        <v>0</v>
      </c>
      <c r="G199" s="32">
        <f>C199+D199+E199+F199</f>
        <v/>
      </c>
    </row>
    <row r="200">
      <c r="A200" s="31" t="n">
        <v>45782</v>
      </c>
      <c r="B200" s="43" t="inlineStr">
        <is>
          <t>Tech G</t>
        </is>
      </c>
      <c r="C200" s="32" t="n">
        <v>21.6</v>
      </c>
      <c r="D200" s="32" t="n">
        <v>2.8</v>
      </c>
      <c r="E200" s="32" t="n">
        <v>0</v>
      </c>
      <c r="F200" s="32" t="n">
        <v>0</v>
      </c>
      <c r="G200" s="32">
        <f>C200+D200+E200+F200</f>
        <v/>
      </c>
    </row>
    <row r="201">
      <c r="A201" s="31" t="n">
        <v>45782</v>
      </c>
      <c r="B201" s="43" t="inlineStr">
        <is>
          <t>Tech H</t>
        </is>
      </c>
      <c r="C201" s="32" t="n">
        <v>27.8</v>
      </c>
      <c r="D201" s="32" t="n">
        <v>3.2</v>
      </c>
      <c r="E201" s="32" t="n">
        <v>2.5</v>
      </c>
      <c r="F201" s="32" t="n">
        <v>0</v>
      </c>
      <c r="G201" s="32">
        <f>C201+D201+E201+F201</f>
        <v/>
      </c>
    </row>
    <row r="202">
      <c r="A202" s="31" t="n">
        <v>45789</v>
      </c>
      <c r="B202" s="43" t="inlineStr">
        <is>
          <t>Tech A</t>
        </is>
      </c>
      <c r="C202" s="32" t="n">
        <v>33.8</v>
      </c>
      <c r="D202" s="32" t="n">
        <v>5.9</v>
      </c>
      <c r="E202" s="32" t="n">
        <v>0</v>
      </c>
      <c r="F202" s="32" t="n">
        <v>0</v>
      </c>
      <c r="G202" s="32">
        <f>C202+D202+E202+F202</f>
        <v/>
      </c>
    </row>
    <row r="203">
      <c r="A203" s="31" t="n">
        <v>45789</v>
      </c>
      <c r="B203" s="43" t="inlineStr">
        <is>
          <t>Tech B</t>
        </is>
      </c>
      <c r="C203" s="32" t="n">
        <v>42.7</v>
      </c>
      <c r="D203" s="32" t="n">
        <v>0</v>
      </c>
      <c r="E203" s="32" t="n">
        <v>0.8</v>
      </c>
      <c r="F203" s="32" t="n">
        <v>0</v>
      </c>
      <c r="G203" s="32">
        <f>C203+D203+E203+F203</f>
        <v/>
      </c>
    </row>
    <row r="204">
      <c r="A204" s="31" t="n">
        <v>45789</v>
      </c>
      <c r="B204" s="43" t="inlineStr">
        <is>
          <t>Tech C</t>
        </is>
      </c>
      <c r="C204" s="32" t="n">
        <v>38</v>
      </c>
      <c r="D204" s="32" t="n">
        <v>6.9</v>
      </c>
      <c r="E204" s="32" t="n">
        <v>1.1</v>
      </c>
      <c r="F204" s="32" t="n">
        <v>0</v>
      </c>
      <c r="G204" s="32">
        <f>C204+D204+E204+F204</f>
        <v/>
      </c>
    </row>
    <row r="205">
      <c r="A205" s="31" t="n">
        <v>45789</v>
      </c>
      <c r="B205" s="43" t="inlineStr">
        <is>
          <t>Tech D</t>
        </is>
      </c>
      <c r="C205" s="32" t="n">
        <v>33.9</v>
      </c>
      <c r="D205" s="32" t="n">
        <v>0</v>
      </c>
      <c r="E205" s="32" t="n">
        <v>0</v>
      </c>
      <c r="F205" s="32" t="n">
        <v>0</v>
      </c>
      <c r="G205" s="32">
        <f>C205+D205+E205+F205</f>
        <v/>
      </c>
    </row>
    <row r="206">
      <c r="A206" s="31" t="n">
        <v>45789</v>
      </c>
      <c r="B206" s="43" t="inlineStr">
        <is>
          <t>Tech E</t>
        </is>
      </c>
      <c r="C206" s="32" t="n">
        <v>16.2</v>
      </c>
      <c r="D206" s="32" t="n">
        <v>0</v>
      </c>
      <c r="E206" s="32" t="n">
        <v>1.3</v>
      </c>
      <c r="F206" s="32" t="n">
        <v>0</v>
      </c>
      <c r="G206" s="32">
        <f>C206+D206+E206+F206</f>
        <v/>
      </c>
    </row>
    <row r="207">
      <c r="A207" s="31" t="n">
        <v>45789</v>
      </c>
      <c r="B207" s="43" t="inlineStr">
        <is>
          <t>Tech F</t>
        </is>
      </c>
      <c r="C207" s="32" t="n">
        <v>22.4</v>
      </c>
      <c r="D207" s="32" t="n">
        <v>3.7</v>
      </c>
      <c r="E207" s="32" t="n">
        <v>0</v>
      </c>
      <c r="F207" s="32" t="n">
        <v>0</v>
      </c>
      <c r="G207" s="32">
        <f>C207+D207+E207+F207</f>
        <v/>
      </c>
    </row>
    <row r="208">
      <c r="A208" s="31" t="n">
        <v>45789</v>
      </c>
      <c r="B208" s="43" t="inlineStr">
        <is>
          <t>Tech G</t>
        </is>
      </c>
      <c r="C208" s="32" t="n">
        <v>36.1</v>
      </c>
      <c r="D208" s="32" t="n">
        <v>5.5</v>
      </c>
      <c r="E208" s="32" t="n">
        <v>0</v>
      </c>
      <c r="F208" s="32" t="n">
        <v>0</v>
      </c>
      <c r="G208" s="32">
        <f>C208+D208+E208+F208</f>
        <v/>
      </c>
    </row>
    <row r="209">
      <c r="A209" s="31" t="n">
        <v>45789</v>
      </c>
      <c r="B209" s="43" t="inlineStr">
        <is>
          <t>Tech H</t>
        </is>
      </c>
      <c r="C209" s="32" t="n">
        <v>41.9</v>
      </c>
      <c r="D209" s="32" t="n">
        <v>0</v>
      </c>
      <c r="E209" s="32" t="n">
        <v>0.8</v>
      </c>
      <c r="F209" s="32" t="n">
        <v>0</v>
      </c>
      <c r="G209" s="32">
        <f>C209+D209+E209+F209</f>
        <v/>
      </c>
    </row>
    <row r="210">
      <c r="A210" s="31" t="n">
        <v>45796</v>
      </c>
      <c r="B210" s="43" t="inlineStr">
        <is>
          <t>Tech A</t>
        </is>
      </c>
      <c r="C210" s="32" t="n">
        <v>43.9</v>
      </c>
      <c r="D210" s="32" t="n">
        <v>5.4</v>
      </c>
      <c r="E210" s="32" t="n">
        <v>0.6</v>
      </c>
      <c r="F210" s="32" t="n">
        <v>0</v>
      </c>
      <c r="G210" s="32">
        <f>C210+D210+E210+F210</f>
        <v/>
      </c>
    </row>
    <row r="211">
      <c r="A211" s="31" t="n">
        <v>45796</v>
      </c>
      <c r="B211" s="43" t="inlineStr">
        <is>
          <t>Tech B</t>
        </is>
      </c>
      <c r="C211" s="32" t="n">
        <v>18.7</v>
      </c>
      <c r="D211" s="32" t="n">
        <v>0</v>
      </c>
      <c r="E211" s="32" t="n">
        <v>0.5</v>
      </c>
      <c r="F211" s="32" t="n">
        <v>4</v>
      </c>
      <c r="G211" s="32">
        <f>C211+D211+E211+F211</f>
        <v/>
      </c>
    </row>
    <row r="212">
      <c r="A212" s="31" t="n">
        <v>45796</v>
      </c>
      <c r="B212" s="43" t="inlineStr">
        <is>
          <t>Tech C</t>
        </is>
      </c>
      <c r="C212" s="32" t="n">
        <v>20.5</v>
      </c>
      <c r="D212" s="32" t="n">
        <v>0</v>
      </c>
      <c r="E212" s="32" t="n">
        <v>0</v>
      </c>
      <c r="F212" s="32" t="n">
        <v>0</v>
      </c>
      <c r="G212" s="32">
        <f>C212+D212+E212+F212</f>
        <v/>
      </c>
    </row>
    <row r="213">
      <c r="A213" s="31" t="n">
        <v>45796</v>
      </c>
      <c r="B213" s="43" t="inlineStr">
        <is>
          <t>Tech D</t>
        </is>
      </c>
      <c r="C213" s="32" t="n">
        <v>26.2</v>
      </c>
      <c r="D213" s="32" t="n">
        <v>4.1</v>
      </c>
      <c r="E213" s="32" t="n">
        <v>0</v>
      </c>
      <c r="F213" s="32" t="n">
        <v>0</v>
      </c>
      <c r="G213" s="32">
        <f>C213+D213+E213+F213</f>
        <v/>
      </c>
    </row>
    <row r="214">
      <c r="A214" s="31" t="n">
        <v>45796</v>
      </c>
      <c r="B214" s="43" t="inlineStr">
        <is>
          <t>Tech E</t>
        </is>
      </c>
      <c r="C214" s="32" t="n">
        <v>21.5</v>
      </c>
      <c r="D214" s="32" t="n">
        <v>5.1</v>
      </c>
      <c r="E214" s="32" t="n">
        <v>0</v>
      </c>
      <c r="F214" s="32" t="n">
        <v>8</v>
      </c>
      <c r="G214" s="32">
        <f>C214+D214+E214+F214</f>
        <v/>
      </c>
    </row>
    <row r="215">
      <c r="A215" s="31" t="n">
        <v>45796</v>
      </c>
      <c r="B215" s="43" t="inlineStr">
        <is>
          <t>Tech F</t>
        </is>
      </c>
      <c r="C215" s="32" t="n">
        <v>44.4</v>
      </c>
      <c r="D215" s="32" t="n">
        <v>7.4</v>
      </c>
      <c r="E215" s="32" t="n">
        <v>0</v>
      </c>
      <c r="F215" s="32" t="n">
        <v>0</v>
      </c>
      <c r="G215" s="32">
        <f>C215+D215+E215+F215</f>
        <v/>
      </c>
    </row>
    <row r="216">
      <c r="A216" s="31" t="n">
        <v>45796</v>
      </c>
      <c r="B216" s="43" t="inlineStr">
        <is>
          <t>Tech G</t>
        </is>
      </c>
      <c r="C216" s="32" t="n">
        <v>47.6</v>
      </c>
      <c r="D216" s="32" t="n">
        <v>0</v>
      </c>
      <c r="E216" s="32" t="n">
        <v>0.7</v>
      </c>
      <c r="F216" s="32" t="n">
        <v>0</v>
      </c>
      <c r="G216" s="32">
        <f>C216+D216+E216+F216</f>
        <v/>
      </c>
    </row>
    <row r="217">
      <c r="A217" s="31" t="n">
        <v>45796</v>
      </c>
      <c r="B217" s="43" t="inlineStr">
        <is>
          <t>Tech H</t>
        </is>
      </c>
      <c r="C217" s="32" t="n">
        <v>46.2</v>
      </c>
      <c r="D217" s="32" t="n">
        <v>0</v>
      </c>
      <c r="E217" s="32" t="n">
        <v>1.2</v>
      </c>
      <c r="F217" s="32" t="n">
        <v>0</v>
      </c>
      <c r="G217" s="32">
        <f>C217+D217+E217+F217</f>
        <v/>
      </c>
    </row>
    <row r="218">
      <c r="A218" s="31" t="n">
        <v>45803</v>
      </c>
      <c r="B218" s="43" t="inlineStr">
        <is>
          <t>Tech A</t>
        </is>
      </c>
      <c r="C218" s="32" t="n">
        <v>26.2</v>
      </c>
      <c r="D218" s="32" t="n">
        <v>0</v>
      </c>
      <c r="E218" s="32" t="n">
        <v>0</v>
      </c>
      <c r="F218" s="32" t="n">
        <v>0</v>
      </c>
      <c r="G218" s="32">
        <f>C218+D218+E218+F218</f>
        <v/>
      </c>
    </row>
    <row r="219">
      <c r="A219" s="31" t="n">
        <v>45803</v>
      </c>
      <c r="B219" s="43" t="inlineStr">
        <is>
          <t>Tech B</t>
        </is>
      </c>
      <c r="C219" s="32" t="n">
        <v>16.8</v>
      </c>
      <c r="D219" s="32" t="n">
        <v>5.1</v>
      </c>
      <c r="E219" s="32" t="n">
        <v>0.2</v>
      </c>
      <c r="F219" s="32" t="n">
        <v>0</v>
      </c>
      <c r="G219" s="32">
        <f>C219+D219+E219+F219</f>
        <v/>
      </c>
    </row>
    <row r="220">
      <c r="A220" s="31" t="n">
        <v>45803</v>
      </c>
      <c r="B220" s="43" t="inlineStr">
        <is>
          <t>Tech C</t>
        </is>
      </c>
      <c r="C220" s="32" t="n">
        <v>36.3</v>
      </c>
      <c r="D220" s="32" t="n">
        <v>0</v>
      </c>
      <c r="E220" s="32" t="n">
        <v>0</v>
      </c>
      <c r="F220" s="32" t="n">
        <v>0</v>
      </c>
      <c r="G220" s="32">
        <f>C220+D220+E220+F220</f>
        <v/>
      </c>
    </row>
    <row r="221">
      <c r="A221" s="31" t="n">
        <v>45803</v>
      </c>
      <c r="B221" s="43" t="inlineStr">
        <is>
          <t>Tech D</t>
        </is>
      </c>
      <c r="C221" s="32" t="n">
        <v>27.2</v>
      </c>
      <c r="D221" s="32" t="n">
        <v>8.199999999999999</v>
      </c>
      <c r="E221" s="32" t="n">
        <v>0.4</v>
      </c>
      <c r="F221" s="32" t="n">
        <v>0</v>
      </c>
      <c r="G221" s="32">
        <f>C221+D221+E221+F221</f>
        <v/>
      </c>
    </row>
    <row r="222">
      <c r="A222" s="31" t="n">
        <v>45803</v>
      </c>
      <c r="B222" s="43" t="inlineStr">
        <is>
          <t>Tech E</t>
        </is>
      </c>
      <c r="C222" s="32" t="n">
        <v>33.2</v>
      </c>
      <c r="D222" s="32" t="n">
        <v>5.8</v>
      </c>
      <c r="E222" s="32" t="n">
        <v>0.2</v>
      </c>
      <c r="F222" s="32" t="n">
        <v>0</v>
      </c>
      <c r="G222" s="32">
        <f>C222+D222+E222+F222</f>
        <v/>
      </c>
    </row>
    <row r="223">
      <c r="A223" s="31" t="n">
        <v>45803</v>
      </c>
      <c r="B223" s="43" t="inlineStr">
        <is>
          <t>Tech F</t>
        </is>
      </c>
      <c r="C223" s="32" t="n">
        <v>27.5</v>
      </c>
      <c r="D223" s="32" t="n">
        <v>0</v>
      </c>
      <c r="E223" s="32" t="n">
        <v>0</v>
      </c>
      <c r="F223" s="32" t="n">
        <v>0</v>
      </c>
      <c r="G223" s="32">
        <f>C223+D223+E223+F223</f>
        <v/>
      </c>
    </row>
    <row r="224">
      <c r="A224" s="31" t="n">
        <v>45803</v>
      </c>
      <c r="B224" s="43" t="inlineStr">
        <is>
          <t>Tech G</t>
        </is>
      </c>
      <c r="C224" s="32" t="n">
        <v>21.1</v>
      </c>
      <c r="D224" s="32" t="n">
        <v>0</v>
      </c>
      <c r="E224" s="32" t="n">
        <v>0.2</v>
      </c>
      <c r="F224" s="32" t="n">
        <v>0</v>
      </c>
      <c r="G224" s="32">
        <f>C224+D224+E224+F224</f>
        <v/>
      </c>
    </row>
    <row r="225">
      <c r="A225" s="31" t="n">
        <v>45803</v>
      </c>
      <c r="B225" s="43" t="inlineStr">
        <is>
          <t>Tech H</t>
        </is>
      </c>
      <c r="C225" s="32" t="n">
        <v>36.4</v>
      </c>
      <c r="D225" s="32" t="n">
        <v>7.9</v>
      </c>
      <c r="E225" s="32" t="n">
        <v>0</v>
      </c>
      <c r="F225" s="32" t="n">
        <v>0</v>
      </c>
      <c r="G225" s="32">
        <f>C225+D225+E225+F225</f>
        <v/>
      </c>
    </row>
    <row r="226">
      <c r="A226" s="31" t="n">
        <v>45803</v>
      </c>
      <c r="B226" s="43" t="inlineStr">
        <is>
          <t>Tech I</t>
        </is>
      </c>
      <c r="C226" s="32" t="n">
        <v>40.3</v>
      </c>
      <c r="D226" s="32" t="n">
        <v>0</v>
      </c>
      <c r="E226" s="32" t="n">
        <v>0</v>
      </c>
      <c r="F226" s="32" t="n">
        <v>0</v>
      </c>
      <c r="G226" s="32">
        <f>C226+D226+E226+F226</f>
        <v/>
      </c>
    </row>
    <row r="227">
      <c r="A227" s="31" t="n">
        <v>45810</v>
      </c>
      <c r="B227" s="43" t="inlineStr">
        <is>
          <t>Tech A</t>
        </is>
      </c>
      <c r="C227" s="32" t="n">
        <v>29</v>
      </c>
      <c r="D227" s="32" t="n">
        <v>6</v>
      </c>
      <c r="E227" s="32" t="n">
        <v>0</v>
      </c>
      <c r="F227" s="32" t="n">
        <v>0</v>
      </c>
      <c r="G227" s="32">
        <f>C227+D227+E227+F227</f>
        <v/>
      </c>
    </row>
    <row r="228">
      <c r="A228" s="31" t="n">
        <v>45810</v>
      </c>
      <c r="B228" s="43" t="inlineStr">
        <is>
          <t>Tech B</t>
        </is>
      </c>
      <c r="C228" s="32" t="n">
        <v>47.4</v>
      </c>
      <c r="D228" s="32" t="n">
        <v>0</v>
      </c>
      <c r="E228" s="32" t="n">
        <v>1.2</v>
      </c>
      <c r="F228" s="32" t="n">
        <v>0</v>
      </c>
      <c r="G228" s="32">
        <f>C228+D228+E228+F228</f>
        <v/>
      </c>
    </row>
    <row r="229">
      <c r="A229" s="31" t="n">
        <v>45810</v>
      </c>
      <c r="B229" s="43" t="inlineStr">
        <is>
          <t>Tech C</t>
        </is>
      </c>
      <c r="C229" s="32" t="n">
        <v>45.3</v>
      </c>
      <c r="D229" s="32" t="n">
        <v>5.8</v>
      </c>
      <c r="E229" s="32" t="n">
        <v>0</v>
      </c>
      <c r="F229" s="32" t="n">
        <v>0</v>
      </c>
      <c r="G229" s="32">
        <f>C229+D229+E229+F229</f>
        <v/>
      </c>
    </row>
    <row r="230">
      <c r="A230" s="31" t="n">
        <v>45810</v>
      </c>
      <c r="B230" s="43" t="inlineStr">
        <is>
          <t>Tech D</t>
        </is>
      </c>
      <c r="C230" s="32" t="n">
        <v>48.9</v>
      </c>
      <c r="D230" s="32" t="n">
        <v>6.2</v>
      </c>
      <c r="E230" s="32" t="n">
        <v>0.6</v>
      </c>
      <c r="F230" s="32" t="n">
        <v>0</v>
      </c>
      <c r="G230" s="32">
        <f>C230+D230+E230+F230</f>
        <v/>
      </c>
    </row>
    <row r="231">
      <c r="A231" s="31" t="n">
        <v>45810</v>
      </c>
      <c r="B231" s="43" t="inlineStr">
        <is>
          <t>Tech E</t>
        </is>
      </c>
      <c r="C231" s="32" t="n">
        <v>24.4</v>
      </c>
      <c r="D231" s="32" t="n">
        <v>0</v>
      </c>
      <c r="E231" s="32" t="n">
        <v>0</v>
      </c>
      <c r="F231" s="32" t="n">
        <v>0</v>
      </c>
      <c r="G231" s="32">
        <f>C231+D231+E231+F231</f>
        <v/>
      </c>
    </row>
    <row r="232">
      <c r="A232" s="31" t="n">
        <v>45810</v>
      </c>
      <c r="B232" s="43" t="inlineStr">
        <is>
          <t>Tech F</t>
        </is>
      </c>
      <c r="C232" s="32" t="n">
        <v>29.2</v>
      </c>
      <c r="D232" s="32" t="n">
        <v>0</v>
      </c>
      <c r="E232" s="32" t="n">
        <v>1.2</v>
      </c>
      <c r="F232" s="32" t="n">
        <v>0</v>
      </c>
      <c r="G232" s="32">
        <f>C232+D232+E232+F232</f>
        <v/>
      </c>
    </row>
    <row r="233">
      <c r="A233" s="31" t="n">
        <v>45810</v>
      </c>
      <c r="B233" s="43" t="inlineStr">
        <is>
          <t>Tech G</t>
        </is>
      </c>
      <c r="C233" s="32" t="n">
        <v>44.8</v>
      </c>
      <c r="D233" s="32" t="n">
        <v>0</v>
      </c>
      <c r="E233" s="32" t="n">
        <v>0</v>
      </c>
      <c r="F233" s="32" t="n">
        <v>0</v>
      </c>
      <c r="G233" s="32">
        <f>C233+D233+E233+F233</f>
        <v/>
      </c>
    </row>
    <row r="234">
      <c r="A234" s="31" t="n">
        <v>45817</v>
      </c>
      <c r="B234" s="43" t="inlineStr">
        <is>
          <t>Tech A</t>
        </is>
      </c>
      <c r="C234" s="32" t="n">
        <v>28.5</v>
      </c>
      <c r="D234" s="32" t="n">
        <v>0</v>
      </c>
      <c r="E234" s="32" t="n">
        <v>0.6</v>
      </c>
      <c r="F234" s="32" t="n">
        <v>0</v>
      </c>
      <c r="G234" s="32">
        <f>C234+D234+E234+F234</f>
        <v/>
      </c>
    </row>
    <row r="235">
      <c r="A235" s="31" t="n">
        <v>45817</v>
      </c>
      <c r="B235" s="43" t="inlineStr">
        <is>
          <t>Tech B</t>
        </is>
      </c>
      <c r="C235" s="32" t="n">
        <v>36.1</v>
      </c>
      <c r="D235" s="32" t="n">
        <v>0</v>
      </c>
      <c r="E235" s="32" t="n">
        <v>0.8</v>
      </c>
      <c r="F235" s="32" t="n">
        <v>0</v>
      </c>
      <c r="G235" s="32">
        <f>C235+D235+E235+F235</f>
        <v/>
      </c>
    </row>
    <row r="236">
      <c r="A236" s="31" t="n">
        <v>45817</v>
      </c>
      <c r="B236" s="43" t="inlineStr">
        <is>
          <t>Tech C</t>
        </is>
      </c>
      <c r="C236" s="32" t="n">
        <v>20.5</v>
      </c>
      <c r="D236" s="32" t="n">
        <v>0</v>
      </c>
      <c r="E236" s="32" t="n">
        <v>0</v>
      </c>
      <c r="F236" s="32" t="n">
        <v>0</v>
      </c>
      <c r="G236" s="32">
        <f>C236+D236+E236+F236</f>
        <v/>
      </c>
    </row>
    <row r="237">
      <c r="A237" s="31" t="n">
        <v>45817</v>
      </c>
      <c r="B237" s="43" t="inlineStr">
        <is>
          <t>Tech D</t>
        </is>
      </c>
      <c r="C237" s="32" t="n">
        <v>30.3</v>
      </c>
      <c r="D237" s="32" t="n">
        <v>0</v>
      </c>
      <c r="E237" s="32" t="n">
        <v>0</v>
      </c>
      <c r="F237" s="32" t="n">
        <v>0</v>
      </c>
      <c r="G237" s="32">
        <f>C237+D237+E237+F237</f>
        <v/>
      </c>
    </row>
    <row r="238">
      <c r="A238" s="31" t="n">
        <v>45817</v>
      </c>
      <c r="B238" s="43" t="inlineStr">
        <is>
          <t>Tech E</t>
        </is>
      </c>
      <c r="C238" s="32" t="n">
        <v>46</v>
      </c>
      <c r="D238" s="32" t="n">
        <v>4.4</v>
      </c>
      <c r="E238" s="32" t="n">
        <v>0.8</v>
      </c>
      <c r="F238" s="32" t="n">
        <v>0</v>
      </c>
      <c r="G238" s="32">
        <f>C238+D238+E238+F238</f>
        <v/>
      </c>
    </row>
    <row r="239">
      <c r="A239" s="31" t="n">
        <v>45817</v>
      </c>
      <c r="B239" s="43" t="inlineStr">
        <is>
          <t>Tech F</t>
        </is>
      </c>
      <c r="C239" s="32" t="n">
        <v>26.2</v>
      </c>
      <c r="D239" s="32" t="n">
        <v>4.1</v>
      </c>
      <c r="E239" s="32" t="n">
        <v>0</v>
      </c>
      <c r="F239" s="32" t="n">
        <v>0</v>
      </c>
      <c r="G239" s="32">
        <f>C239+D239+E239+F239</f>
        <v/>
      </c>
    </row>
    <row r="240">
      <c r="A240" s="31" t="n">
        <v>45817</v>
      </c>
      <c r="B240" s="43" t="inlineStr">
        <is>
          <t>Tech G</t>
        </is>
      </c>
      <c r="C240" s="32" t="n">
        <v>37.3</v>
      </c>
      <c r="D240" s="32" t="n">
        <v>6.1</v>
      </c>
      <c r="E240" s="32" t="n">
        <v>0</v>
      </c>
      <c r="F240" s="32" t="n">
        <v>0</v>
      </c>
      <c r="G240" s="32">
        <f>C240+D240+E240+F240</f>
        <v/>
      </c>
    </row>
    <row r="241">
      <c r="A241" s="31" t="n">
        <v>45817</v>
      </c>
      <c r="B241" s="43" t="inlineStr">
        <is>
          <t>Tech H</t>
        </is>
      </c>
      <c r="C241" s="32" t="n">
        <v>36.1</v>
      </c>
      <c r="D241" s="32" t="n">
        <v>6.4</v>
      </c>
      <c r="E241" s="32" t="n">
        <v>0.8</v>
      </c>
      <c r="F241" s="32" t="n">
        <v>0</v>
      </c>
      <c r="G241" s="32">
        <f>C241+D241+E241+F241</f>
        <v/>
      </c>
    </row>
    <row r="242">
      <c r="A242" s="31" t="n">
        <v>45824</v>
      </c>
      <c r="B242" s="43" t="inlineStr">
        <is>
          <t>Tech A</t>
        </is>
      </c>
      <c r="C242" s="32" t="n">
        <v>42.2</v>
      </c>
      <c r="D242" s="32" t="n">
        <v>0</v>
      </c>
      <c r="E242" s="32" t="n">
        <v>1.3</v>
      </c>
      <c r="F242" s="32" t="n">
        <v>0</v>
      </c>
      <c r="G242" s="32">
        <f>C242+D242+E242+F242</f>
        <v/>
      </c>
    </row>
    <row r="243">
      <c r="A243" s="31" t="n">
        <v>45824</v>
      </c>
      <c r="B243" s="43" t="inlineStr">
        <is>
          <t>Tech B</t>
        </is>
      </c>
      <c r="C243" s="32" t="n">
        <v>25.9</v>
      </c>
      <c r="D243" s="32" t="n">
        <v>6.5</v>
      </c>
      <c r="E243" s="32" t="n">
        <v>0</v>
      </c>
      <c r="F243" s="32" t="n">
        <v>0</v>
      </c>
      <c r="G243" s="32">
        <f>C243+D243+E243+F243</f>
        <v/>
      </c>
    </row>
    <row r="244">
      <c r="A244" s="31" t="n">
        <v>45824</v>
      </c>
      <c r="B244" s="43" t="inlineStr">
        <is>
          <t>Tech C</t>
        </is>
      </c>
      <c r="C244" s="32" t="n">
        <v>28.5</v>
      </c>
      <c r="D244" s="32" t="n">
        <v>0</v>
      </c>
      <c r="E244" s="32" t="n">
        <v>0.9</v>
      </c>
      <c r="F244" s="32" t="n">
        <v>0</v>
      </c>
      <c r="G244" s="32">
        <f>C244+D244+E244+F244</f>
        <v/>
      </c>
    </row>
    <row r="245">
      <c r="A245" s="31" t="n">
        <v>45824</v>
      </c>
      <c r="B245" s="43" t="inlineStr">
        <is>
          <t>Tech D</t>
        </is>
      </c>
      <c r="C245" s="32" t="n">
        <v>21</v>
      </c>
      <c r="D245" s="32" t="n">
        <v>5.5</v>
      </c>
      <c r="E245" s="32" t="n">
        <v>0.8</v>
      </c>
      <c r="F245" s="32" t="n">
        <v>0</v>
      </c>
      <c r="G245" s="32">
        <f>C245+D245+E245+F245</f>
        <v/>
      </c>
    </row>
    <row r="246">
      <c r="A246" s="31" t="n">
        <v>45824</v>
      </c>
      <c r="B246" s="43" t="inlineStr">
        <is>
          <t>Tech E</t>
        </is>
      </c>
      <c r="C246" s="32" t="n">
        <v>33.6</v>
      </c>
      <c r="D246" s="32" t="n">
        <v>6</v>
      </c>
      <c r="E246" s="32" t="n">
        <v>1</v>
      </c>
      <c r="F246" s="32" t="n">
        <v>0</v>
      </c>
      <c r="G246" s="32">
        <f>C246+D246+E246+F246</f>
        <v/>
      </c>
    </row>
    <row r="247">
      <c r="A247" s="31" t="n">
        <v>45824</v>
      </c>
      <c r="B247" s="43" t="inlineStr">
        <is>
          <t>Tech F</t>
        </is>
      </c>
      <c r="C247" s="32" t="n">
        <v>34.7</v>
      </c>
      <c r="D247" s="32" t="n">
        <v>0</v>
      </c>
      <c r="E247" s="32" t="n">
        <v>0</v>
      </c>
      <c r="F247" s="32" t="n">
        <v>0</v>
      </c>
      <c r="G247" s="32">
        <f>C247+D247+E247+F247</f>
        <v/>
      </c>
    </row>
    <row r="248">
      <c r="A248" s="31" t="n">
        <v>45824</v>
      </c>
      <c r="B248" s="43" t="inlineStr">
        <is>
          <t>Tech G</t>
        </is>
      </c>
      <c r="C248" s="32" t="n">
        <v>42.1</v>
      </c>
      <c r="D248" s="32" t="n">
        <v>4</v>
      </c>
      <c r="E248" s="32" t="n">
        <v>0</v>
      </c>
      <c r="F248" s="32" t="n">
        <v>0</v>
      </c>
      <c r="G248" s="32">
        <f>C248+D248+E248+F248</f>
        <v/>
      </c>
    </row>
    <row r="249">
      <c r="A249" s="31" t="n">
        <v>45824</v>
      </c>
      <c r="B249" s="43" t="inlineStr">
        <is>
          <t>Tech H</t>
        </is>
      </c>
      <c r="C249" s="32" t="n">
        <v>22</v>
      </c>
      <c r="D249" s="32" t="n">
        <v>0</v>
      </c>
      <c r="E249" s="32" t="n">
        <v>0</v>
      </c>
      <c r="F249" s="32" t="n">
        <v>0</v>
      </c>
      <c r="G249" s="32">
        <f>C249+D249+E249+F249</f>
        <v/>
      </c>
    </row>
    <row r="250">
      <c r="A250" s="31" t="n">
        <v>45831</v>
      </c>
      <c r="B250" s="43" t="inlineStr">
        <is>
          <t>Tech A</t>
        </is>
      </c>
      <c r="C250" s="32" t="n">
        <v>50.1</v>
      </c>
      <c r="D250" s="32" t="n">
        <v>4.7</v>
      </c>
      <c r="E250" s="32" t="n">
        <v>0</v>
      </c>
      <c r="F250" s="32" t="n">
        <v>0</v>
      </c>
      <c r="G250" s="32">
        <f>C250+D250+E250+F250</f>
        <v/>
      </c>
    </row>
    <row r="251">
      <c r="A251" s="31" t="n">
        <v>45831</v>
      </c>
      <c r="B251" s="43" t="inlineStr">
        <is>
          <t>Tech B</t>
        </is>
      </c>
      <c r="C251" s="32" t="n">
        <v>45.2</v>
      </c>
      <c r="D251" s="32" t="n">
        <v>0</v>
      </c>
      <c r="E251" s="32" t="n">
        <v>0.8</v>
      </c>
      <c r="F251" s="32" t="n">
        <v>0</v>
      </c>
      <c r="G251" s="32">
        <f>C251+D251+E251+F251</f>
        <v/>
      </c>
    </row>
    <row r="252">
      <c r="A252" s="31" t="n">
        <v>45831</v>
      </c>
      <c r="B252" s="43" t="inlineStr">
        <is>
          <t>Tech C</t>
        </is>
      </c>
      <c r="C252" s="32" t="n">
        <v>20.3</v>
      </c>
      <c r="D252" s="32" t="n">
        <v>4.4</v>
      </c>
      <c r="E252" s="32" t="n">
        <v>0.6</v>
      </c>
      <c r="F252" s="32" t="n">
        <v>0</v>
      </c>
      <c r="G252" s="32">
        <f>C252+D252+E252+F252</f>
        <v/>
      </c>
    </row>
    <row r="253">
      <c r="A253" s="31" t="n">
        <v>45831</v>
      </c>
      <c r="B253" s="43" t="inlineStr">
        <is>
          <t>Tech D</t>
        </is>
      </c>
      <c r="C253" s="32" t="n">
        <v>29.5</v>
      </c>
      <c r="D253" s="32" t="n">
        <v>0</v>
      </c>
      <c r="E253" s="32" t="n">
        <v>0</v>
      </c>
      <c r="F253" s="32" t="n">
        <v>0</v>
      </c>
      <c r="G253" s="32">
        <f>C253+D253+E253+F253</f>
        <v/>
      </c>
    </row>
    <row r="254">
      <c r="A254" s="31" t="n">
        <v>45831</v>
      </c>
      <c r="B254" s="43" t="inlineStr">
        <is>
          <t>Tech E</t>
        </is>
      </c>
      <c r="C254" s="32" t="n">
        <v>28.7</v>
      </c>
      <c r="D254" s="32" t="n">
        <v>5.1</v>
      </c>
      <c r="E254" s="32" t="n">
        <v>0</v>
      </c>
      <c r="F254" s="32" t="n">
        <v>0</v>
      </c>
      <c r="G254" s="32">
        <f>C254+D254+E254+F254</f>
        <v/>
      </c>
    </row>
    <row r="255">
      <c r="A255" s="31" t="n">
        <v>45831</v>
      </c>
      <c r="B255" s="43" t="inlineStr">
        <is>
          <t>Tech F</t>
        </is>
      </c>
      <c r="C255" s="32" t="n">
        <v>26.6</v>
      </c>
      <c r="D255" s="32" t="n">
        <v>0</v>
      </c>
      <c r="E255" s="32" t="n">
        <v>0</v>
      </c>
      <c r="F255" s="32" t="n">
        <v>0</v>
      </c>
      <c r="G255" s="32">
        <f>C255+D255+E255+F255</f>
        <v/>
      </c>
    </row>
    <row r="256">
      <c r="A256" s="31" t="n">
        <v>45831</v>
      </c>
      <c r="B256" s="43" t="inlineStr">
        <is>
          <t>Tech G</t>
        </is>
      </c>
      <c r="C256" s="32" t="n">
        <v>40.1</v>
      </c>
      <c r="D256" s="32" t="n">
        <v>4.8</v>
      </c>
      <c r="E256" s="32" t="n">
        <v>0.8</v>
      </c>
      <c r="F256" s="32" t="n">
        <v>0</v>
      </c>
      <c r="G256" s="32">
        <f>C256+D256+E256+F256</f>
        <v/>
      </c>
    </row>
    <row r="257">
      <c r="A257" s="31" t="n">
        <v>45831</v>
      </c>
      <c r="B257" s="43" t="inlineStr">
        <is>
          <t>Tech H</t>
        </is>
      </c>
      <c r="C257" s="32" t="n">
        <v>17.5</v>
      </c>
      <c r="D257" s="32" t="n">
        <v>0</v>
      </c>
      <c r="E257" s="32" t="n">
        <v>0.8</v>
      </c>
      <c r="F257" s="32" t="n">
        <v>0</v>
      </c>
      <c r="G257" s="32">
        <f>C257+D257+E257+F257</f>
        <v/>
      </c>
    </row>
    <row r="258">
      <c r="A258" s="31" t="n">
        <v>45838</v>
      </c>
      <c r="B258" s="43" t="inlineStr">
        <is>
          <t>Tech A</t>
        </is>
      </c>
      <c r="C258" s="32" t="n">
        <v>33.2</v>
      </c>
      <c r="D258" s="32" t="n">
        <v>0</v>
      </c>
      <c r="E258" s="32" t="n">
        <v>2.2</v>
      </c>
      <c r="F258" s="32" t="n">
        <v>0</v>
      </c>
      <c r="G258" s="32">
        <f>C258+D258+E258+F258</f>
        <v/>
      </c>
    </row>
    <row r="259">
      <c r="A259" s="31" t="n">
        <v>45838</v>
      </c>
      <c r="B259" s="43" t="inlineStr">
        <is>
          <t>Tech B</t>
        </is>
      </c>
      <c r="C259" s="32" t="n">
        <v>38.1</v>
      </c>
      <c r="D259" s="32" t="n">
        <v>0</v>
      </c>
      <c r="E259" s="32" t="n">
        <v>0</v>
      </c>
      <c r="F259" s="32" t="n">
        <v>0</v>
      </c>
      <c r="G259" s="32">
        <f>C259+D259+E259+F259</f>
        <v/>
      </c>
    </row>
    <row r="260">
      <c r="A260" s="31" t="n">
        <v>45838</v>
      </c>
      <c r="B260" s="43" t="inlineStr">
        <is>
          <t>Tech C</t>
        </is>
      </c>
      <c r="C260" s="32" t="n">
        <v>43.5</v>
      </c>
      <c r="D260" s="32" t="n">
        <v>5.1</v>
      </c>
      <c r="E260" s="32" t="n">
        <v>1.3</v>
      </c>
      <c r="F260" s="32" t="n">
        <v>0</v>
      </c>
      <c r="G260" s="32">
        <f>C260+D260+E260+F260</f>
        <v/>
      </c>
    </row>
    <row r="261">
      <c r="A261" s="31" t="n">
        <v>45838</v>
      </c>
      <c r="B261" s="43" t="inlineStr">
        <is>
          <t>Tech D</t>
        </is>
      </c>
      <c r="C261" s="32" t="n">
        <v>20.8</v>
      </c>
      <c r="D261" s="32" t="n">
        <v>0</v>
      </c>
      <c r="E261" s="32" t="n">
        <v>0</v>
      </c>
      <c r="F261" s="32" t="n">
        <v>0</v>
      </c>
      <c r="G261" s="32">
        <f>C261+D261+E261+F261</f>
        <v/>
      </c>
    </row>
    <row r="262">
      <c r="A262" s="31" t="n">
        <v>45838</v>
      </c>
      <c r="B262" s="43" t="inlineStr">
        <is>
          <t>Tech E</t>
        </is>
      </c>
      <c r="C262" s="32" t="n">
        <v>28.1</v>
      </c>
      <c r="D262" s="32" t="n">
        <v>2.9</v>
      </c>
      <c r="E262" s="32" t="n">
        <v>2.8</v>
      </c>
      <c r="F262" s="32" t="n">
        <v>0</v>
      </c>
      <c r="G262" s="32">
        <f>C262+D262+E262+F262</f>
        <v/>
      </c>
    </row>
    <row r="263">
      <c r="A263" s="31" t="n">
        <v>45838</v>
      </c>
      <c r="B263" s="43" t="inlineStr">
        <is>
          <t>Tech F</t>
        </is>
      </c>
      <c r="C263" s="32" t="n">
        <v>44</v>
      </c>
      <c r="D263" s="32" t="n">
        <v>5.1</v>
      </c>
      <c r="E263" s="32" t="n">
        <v>1.7</v>
      </c>
      <c r="F263" s="32" t="n">
        <v>0</v>
      </c>
      <c r="G263" s="32">
        <f>C263+D263+E263+F263</f>
        <v/>
      </c>
    </row>
    <row r="264">
      <c r="A264" s="31" t="n">
        <v>45838</v>
      </c>
      <c r="B264" s="43" t="inlineStr">
        <is>
          <t>Tech G</t>
        </is>
      </c>
      <c r="C264" s="32" t="n">
        <v>23.9</v>
      </c>
      <c r="D264" s="32" t="n">
        <v>3.9</v>
      </c>
      <c r="E264" s="32" t="n">
        <v>0</v>
      </c>
      <c r="F264" s="32" t="n">
        <v>0</v>
      </c>
      <c r="G264" s="32">
        <f>C264+D264+E264+F264</f>
        <v/>
      </c>
    </row>
    <row r="265">
      <c r="A265" s="31" t="n">
        <v>45838</v>
      </c>
      <c r="B265" s="43" t="inlineStr">
        <is>
          <t>Tech H</t>
        </is>
      </c>
      <c r="C265" s="32" t="n">
        <v>22.4</v>
      </c>
      <c r="D265" s="32" t="n">
        <v>0</v>
      </c>
      <c r="E265" s="32" t="n">
        <v>0</v>
      </c>
      <c r="F265" s="32" t="n">
        <v>0</v>
      </c>
      <c r="G265" s="32">
        <f>C265+D265+E265+F265</f>
        <v/>
      </c>
    </row>
    <row r="266">
      <c r="A266" s="31" t="n">
        <v>45845</v>
      </c>
      <c r="B266" s="43" t="inlineStr">
        <is>
          <t>Tech A</t>
        </is>
      </c>
      <c r="C266" s="32" t="n">
        <v>21.1</v>
      </c>
      <c r="D266" s="32" t="n">
        <v>3.7</v>
      </c>
      <c r="E266" s="32" t="n">
        <v>0</v>
      </c>
      <c r="F266" s="32" t="n">
        <v>0</v>
      </c>
      <c r="G266" s="32">
        <f>C266+D266+E266+F266</f>
        <v/>
      </c>
    </row>
    <row r="267">
      <c r="A267" s="31" t="n">
        <v>45845</v>
      </c>
      <c r="B267" s="43" t="inlineStr">
        <is>
          <t>Tech B</t>
        </is>
      </c>
      <c r="C267" s="32" t="n">
        <v>29.4</v>
      </c>
      <c r="D267" s="32" t="n">
        <v>0</v>
      </c>
      <c r="E267" s="32" t="n">
        <v>0</v>
      </c>
      <c r="F267" s="32" t="n">
        <v>0</v>
      </c>
      <c r="G267" s="32">
        <f>C267+D267+E267+F267</f>
        <v/>
      </c>
    </row>
    <row r="268">
      <c r="A268" s="31" t="n">
        <v>45845</v>
      </c>
      <c r="B268" s="43" t="inlineStr">
        <is>
          <t>Tech C</t>
        </is>
      </c>
      <c r="C268" s="32" t="n">
        <v>42.2</v>
      </c>
      <c r="D268" s="32" t="n">
        <v>0</v>
      </c>
      <c r="E268" s="32" t="n">
        <v>0.4</v>
      </c>
      <c r="F268" s="32" t="n">
        <v>0</v>
      </c>
      <c r="G268" s="32">
        <f>C268+D268+E268+F268</f>
        <v/>
      </c>
    </row>
    <row r="269">
      <c r="A269" s="31" t="n">
        <v>45845</v>
      </c>
      <c r="B269" s="43" t="inlineStr">
        <is>
          <t>Tech D</t>
        </is>
      </c>
      <c r="C269" s="32" t="n">
        <v>25.8</v>
      </c>
      <c r="D269" s="32" t="n">
        <v>0</v>
      </c>
      <c r="E269" s="32" t="n">
        <v>0.3</v>
      </c>
      <c r="F269" s="32" t="n">
        <v>0</v>
      </c>
      <c r="G269" s="32">
        <f>C269+D269+E269+F269</f>
        <v/>
      </c>
    </row>
    <row r="270">
      <c r="A270" s="31" t="n">
        <v>45845</v>
      </c>
      <c r="B270" s="43" t="inlineStr">
        <is>
          <t>Tech E</t>
        </is>
      </c>
      <c r="C270" s="32" t="n">
        <v>29.8</v>
      </c>
      <c r="D270" s="32" t="n">
        <v>5</v>
      </c>
      <c r="E270" s="32" t="n">
        <v>0</v>
      </c>
      <c r="F270" s="32" t="n">
        <v>0</v>
      </c>
      <c r="G270" s="32">
        <f>C270+D270+E270+F270</f>
        <v/>
      </c>
    </row>
    <row r="271">
      <c r="A271" s="31" t="n">
        <v>45845</v>
      </c>
      <c r="B271" s="43" t="inlineStr">
        <is>
          <t>Tech F</t>
        </is>
      </c>
      <c r="C271" s="32" t="n">
        <v>38.5</v>
      </c>
      <c r="D271" s="32" t="n">
        <v>5.2</v>
      </c>
      <c r="E271" s="32" t="n">
        <v>0.3</v>
      </c>
      <c r="F271" s="32" t="n">
        <v>0</v>
      </c>
      <c r="G271" s="32">
        <f>C271+D271+E271+F271</f>
        <v/>
      </c>
    </row>
    <row r="272">
      <c r="A272" s="31" t="n">
        <v>45845</v>
      </c>
      <c r="B272" s="43" t="inlineStr">
        <is>
          <t>Tech G</t>
        </is>
      </c>
      <c r="C272" s="32" t="n">
        <v>29.5</v>
      </c>
      <c r="D272" s="32" t="n">
        <v>0</v>
      </c>
      <c r="E272" s="32" t="n">
        <v>0</v>
      </c>
      <c r="F272" s="32" t="n">
        <v>0</v>
      </c>
      <c r="G272" s="32">
        <f>C272+D272+E272+F272</f>
        <v/>
      </c>
    </row>
    <row r="273">
      <c r="A273" s="31" t="n">
        <v>45845</v>
      </c>
      <c r="B273" s="43" t="inlineStr">
        <is>
          <t>Tech H</t>
        </is>
      </c>
      <c r="C273" s="32" t="n">
        <v>39.7</v>
      </c>
      <c r="D273" s="32" t="n">
        <v>5.1</v>
      </c>
      <c r="E273" s="32" t="n">
        <v>1</v>
      </c>
      <c r="F273" s="32" t="n">
        <v>0</v>
      </c>
      <c r="G273" s="32">
        <f>C273+D273+E273+F273</f>
        <v/>
      </c>
    </row>
    <row r="274">
      <c r="A274" s="31" t="n">
        <v>45852</v>
      </c>
      <c r="B274" s="43" t="inlineStr">
        <is>
          <t>Tech A</t>
        </is>
      </c>
      <c r="C274" s="32" t="n">
        <v>29.8</v>
      </c>
      <c r="D274" s="32" t="n">
        <v>0</v>
      </c>
      <c r="E274" s="32" t="n">
        <v>0.4</v>
      </c>
      <c r="F274" s="32" t="n">
        <v>0</v>
      </c>
      <c r="G274" s="32">
        <f>C274+D274+E274+F274</f>
        <v/>
      </c>
    </row>
    <row r="275">
      <c r="A275" s="31" t="n">
        <v>45852</v>
      </c>
      <c r="B275" s="43" t="inlineStr">
        <is>
          <t>Tech B</t>
        </is>
      </c>
      <c r="C275" s="32" t="n">
        <v>33.6</v>
      </c>
      <c r="D275" s="32" t="n">
        <v>5.1</v>
      </c>
      <c r="E275" s="32" t="n">
        <v>0</v>
      </c>
      <c r="F275" s="32" t="n">
        <v>0</v>
      </c>
      <c r="G275" s="32">
        <f>C275+D275+E275+F275</f>
        <v/>
      </c>
    </row>
    <row r="276">
      <c r="A276" s="31" t="n">
        <v>45852</v>
      </c>
      <c r="B276" s="43" t="inlineStr">
        <is>
          <t>Tech C</t>
        </is>
      </c>
      <c r="C276" s="32" t="n">
        <v>38</v>
      </c>
      <c r="D276" s="32" t="n">
        <v>0</v>
      </c>
      <c r="E276" s="32" t="n">
        <v>0.3</v>
      </c>
      <c r="F276" s="32" t="n">
        <v>0</v>
      </c>
      <c r="G276" s="32">
        <f>C276+D276+E276+F276</f>
        <v/>
      </c>
    </row>
    <row r="277">
      <c r="A277" s="31" t="n">
        <v>45852</v>
      </c>
      <c r="B277" s="43" t="inlineStr">
        <is>
          <t>Tech D</t>
        </is>
      </c>
      <c r="C277" s="32" t="n">
        <v>31.7</v>
      </c>
      <c r="D277" s="32" t="n">
        <v>4.7</v>
      </c>
      <c r="E277" s="32" t="n">
        <v>0.7</v>
      </c>
      <c r="F277" s="32" t="n">
        <v>8</v>
      </c>
      <c r="G277" s="32">
        <f>C277+D277+E277+F277</f>
        <v/>
      </c>
    </row>
    <row r="278">
      <c r="A278" s="31" t="n">
        <v>45852</v>
      </c>
      <c r="B278" s="43" t="inlineStr">
        <is>
          <t>Tech E</t>
        </is>
      </c>
      <c r="C278" s="32" t="n">
        <v>36.6</v>
      </c>
      <c r="D278" s="32" t="n">
        <v>0</v>
      </c>
      <c r="E278" s="32" t="n">
        <v>0</v>
      </c>
      <c r="F278" s="32" t="n">
        <v>0</v>
      </c>
      <c r="G278" s="32">
        <f>C278+D278+E278+F278</f>
        <v/>
      </c>
    </row>
    <row r="279">
      <c r="A279" s="31" t="n">
        <v>45852</v>
      </c>
      <c r="B279" s="43" t="inlineStr">
        <is>
          <t>Tech F</t>
        </is>
      </c>
      <c r="C279" s="32" t="n">
        <v>30.6</v>
      </c>
      <c r="D279" s="32" t="n">
        <v>2.1</v>
      </c>
      <c r="E279" s="32" t="n">
        <v>0.6</v>
      </c>
      <c r="F279" s="32" t="n">
        <v>0</v>
      </c>
      <c r="G279" s="32">
        <f>C279+D279+E279+F279</f>
        <v/>
      </c>
    </row>
    <row r="280">
      <c r="A280" s="31" t="n">
        <v>45852</v>
      </c>
      <c r="B280" s="43" t="inlineStr">
        <is>
          <t>Tech G</t>
        </is>
      </c>
      <c r="C280" s="32" t="n">
        <v>39.4</v>
      </c>
      <c r="D280" s="32" t="n">
        <v>0</v>
      </c>
      <c r="E280" s="32" t="n">
        <v>0</v>
      </c>
      <c r="F280" s="32" t="n">
        <v>0</v>
      </c>
      <c r="G280" s="32">
        <f>C280+D280+E280+F280</f>
        <v/>
      </c>
    </row>
    <row r="281">
      <c r="A281" s="31" t="n">
        <v>45852</v>
      </c>
      <c r="B281" s="43" t="inlineStr">
        <is>
          <t>Tech H</t>
        </is>
      </c>
      <c r="C281" s="32" t="n">
        <v>21.3</v>
      </c>
      <c r="D281" s="32" t="n">
        <v>4.1</v>
      </c>
      <c r="E281" s="32" t="n">
        <v>0</v>
      </c>
      <c r="F281" s="32" t="n">
        <v>0</v>
      </c>
      <c r="G281" s="32">
        <f>C281+D281+E281+F281</f>
        <v/>
      </c>
    </row>
    <row r="282">
      <c r="A282" s="31" t="n">
        <v>45859</v>
      </c>
      <c r="B282" s="43" t="inlineStr">
        <is>
          <t>Tech A</t>
        </is>
      </c>
      <c r="C282" s="32" t="n">
        <v>43.4</v>
      </c>
      <c r="D282" s="32" t="n">
        <v>0</v>
      </c>
      <c r="E282" s="32" t="n">
        <v>0</v>
      </c>
      <c r="F282" s="32" t="n">
        <v>0</v>
      </c>
      <c r="G282" s="32">
        <f>C282+D282+E282+F282</f>
        <v/>
      </c>
    </row>
    <row r="283">
      <c r="A283" s="31" t="n">
        <v>45859</v>
      </c>
      <c r="B283" s="43" t="inlineStr">
        <is>
          <t>Tech B</t>
        </is>
      </c>
      <c r="C283" s="32" t="n">
        <v>24.2</v>
      </c>
      <c r="D283" s="32" t="n">
        <v>9</v>
      </c>
      <c r="E283" s="32" t="n">
        <v>0.3</v>
      </c>
      <c r="F283" s="32" t="n">
        <v>0</v>
      </c>
      <c r="G283" s="32">
        <f>C283+D283+E283+F283</f>
        <v/>
      </c>
    </row>
    <row r="284">
      <c r="A284" s="31" t="n">
        <v>45859</v>
      </c>
      <c r="B284" s="43" t="inlineStr">
        <is>
          <t>Tech C</t>
        </is>
      </c>
      <c r="C284" s="32" t="n">
        <v>24.5</v>
      </c>
      <c r="D284" s="32" t="n">
        <v>4.2</v>
      </c>
      <c r="E284" s="32" t="n">
        <v>0</v>
      </c>
      <c r="F284" s="32" t="n">
        <v>0</v>
      </c>
      <c r="G284" s="32">
        <f>C284+D284+E284+F284</f>
        <v/>
      </c>
    </row>
    <row r="285">
      <c r="A285" s="31" t="n">
        <v>45859</v>
      </c>
      <c r="B285" s="43" t="inlineStr">
        <is>
          <t>Tech D</t>
        </is>
      </c>
      <c r="C285" s="32" t="n">
        <v>47</v>
      </c>
      <c r="D285" s="32" t="n">
        <v>0</v>
      </c>
      <c r="E285" s="32" t="n">
        <v>0</v>
      </c>
      <c r="F285" s="32" t="n">
        <v>0</v>
      </c>
      <c r="G285" s="32">
        <f>C285+D285+E285+F285</f>
        <v/>
      </c>
    </row>
    <row r="286">
      <c r="A286" s="31" t="n">
        <v>45859</v>
      </c>
      <c r="B286" s="43" t="inlineStr">
        <is>
          <t>Tech E</t>
        </is>
      </c>
      <c r="C286" s="32" t="n">
        <v>28.4</v>
      </c>
      <c r="D286" s="32" t="n">
        <v>9.4</v>
      </c>
      <c r="E286" s="32" t="n">
        <v>0.2</v>
      </c>
      <c r="F286" s="32" t="n">
        <v>0</v>
      </c>
      <c r="G286" s="32">
        <f>C286+D286+E286+F286</f>
        <v/>
      </c>
    </row>
    <row r="287">
      <c r="A287" s="31" t="n">
        <v>45859</v>
      </c>
      <c r="B287" s="43" t="inlineStr">
        <is>
          <t>Tech F</t>
        </is>
      </c>
      <c r="C287" s="32" t="n">
        <v>22.2</v>
      </c>
      <c r="D287" s="32" t="n">
        <v>0</v>
      </c>
      <c r="E287" s="32" t="n">
        <v>0.2</v>
      </c>
      <c r="F287" s="32" t="n">
        <v>0</v>
      </c>
      <c r="G287" s="32">
        <f>C287+D287+E287+F287</f>
        <v/>
      </c>
    </row>
    <row r="288">
      <c r="A288" s="31" t="n">
        <v>45859</v>
      </c>
      <c r="B288" s="43" t="inlineStr">
        <is>
          <t>Tech G</t>
        </is>
      </c>
      <c r="C288" s="32" t="n">
        <v>48</v>
      </c>
      <c r="D288" s="32" t="n">
        <v>0</v>
      </c>
      <c r="E288" s="32" t="n">
        <v>0.3</v>
      </c>
      <c r="F288" s="32" t="n">
        <v>0</v>
      </c>
      <c r="G288" s="32">
        <f>C288+D288+E288+F288</f>
        <v/>
      </c>
    </row>
    <row r="289">
      <c r="A289" s="31" t="n">
        <v>45859</v>
      </c>
      <c r="B289" s="43" t="inlineStr">
        <is>
          <t>Tech H</t>
        </is>
      </c>
      <c r="C289" s="32" t="n">
        <v>17.3</v>
      </c>
      <c r="D289" s="32" t="n">
        <v>4.4</v>
      </c>
      <c r="E289" s="32" t="n">
        <v>0</v>
      </c>
      <c r="F289" s="32" t="n">
        <v>0</v>
      </c>
      <c r="G289" s="32">
        <f>C289+D289+E289+F289</f>
        <v/>
      </c>
    </row>
    <row r="290">
      <c r="A290" s="31" t="n">
        <v>45866</v>
      </c>
      <c r="B290" s="43" t="inlineStr">
        <is>
          <t>Tech A</t>
        </is>
      </c>
      <c r="C290" s="32" t="n">
        <v>16.2</v>
      </c>
      <c r="D290" s="32" t="n">
        <v>0</v>
      </c>
      <c r="E290" s="32" t="n">
        <v>0</v>
      </c>
      <c r="F290" s="32" t="n">
        <v>0</v>
      </c>
      <c r="G290" s="32">
        <f>C290+D290+E290+F290</f>
        <v/>
      </c>
    </row>
    <row r="291">
      <c r="A291" s="31" t="n">
        <v>45866</v>
      </c>
      <c r="B291" s="43" t="inlineStr">
        <is>
          <t>Tech B</t>
        </is>
      </c>
      <c r="C291" s="32" t="n">
        <v>38.3</v>
      </c>
      <c r="D291" s="32" t="n">
        <v>2.2</v>
      </c>
      <c r="E291" s="32" t="n">
        <v>0</v>
      </c>
      <c r="F291" s="32" t="n">
        <v>0</v>
      </c>
      <c r="G291" s="32">
        <f>C291+D291+E291+F291</f>
        <v/>
      </c>
    </row>
    <row r="292">
      <c r="A292" s="31" t="n">
        <v>45866</v>
      </c>
      <c r="B292" s="43" t="inlineStr">
        <is>
          <t>Tech C</t>
        </is>
      </c>
      <c r="C292" s="32" t="n">
        <v>40.8</v>
      </c>
      <c r="D292" s="32" t="n">
        <v>0</v>
      </c>
      <c r="E292" s="32" t="n">
        <v>0</v>
      </c>
      <c r="F292" s="32" t="n">
        <v>0</v>
      </c>
      <c r="G292" s="32">
        <f>C292+D292+E292+F292</f>
        <v/>
      </c>
    </row>
    <row r="293">
      <c r="A293" s="31" t="n">
        <v>45866</v>
      </c>
      <c r="B293" s="43" t="inlineStr">
        <is>
          <t>Tech D</t>
        </is>
      </c>
      <c r="C293" s="32" t="n">
        <v>30.5</v>
      </c>
      <c r="D293" s="32" t="n">
        <v>2.3</v>
      </c>
      <c r="E293" s="32" t="n">
        <v>2</v>
      </c>
      <c r="F293" s="32" t="n">
        <v>0</v>
      </c>
      <c r="G293" s="32">
        <f>C293+D293+E293+F293</f>
        <v/>
      </c>
    </row>
    <row r="294">
      <c r="A294" s="31" t="n">
        <v>45866</v>
      </c>
      <c r="B294" s="43" t="inlineStr">
        <is>
          <t>Tech E</t>
        </is>
      </c>
      <c r="C294" s="32" t="n">
        <v>28.6</v>
      </c>
      <c r="D294" s="32" t="n">
        <v>0</v>
      </c>
      <c r="E294" s="32" t="n">
        <v>1.8</v>
      </c>
      <c r="F294" s="32" t="n">
        <v>0</v>
      </c>
      <c r="G294" s="32">
        <f>C294+D294+E294+F294</f>
        <v/>
      </c>
    </row>
    <row r="295">
      <c r="A295" s="31" t="n">
        <v>45866</v>
      </c>
      <c r="B295" s="43" t="inlineStr">
        <is>
          <t>Tech F</t>
        </is>
      </c>
      <c r="C295" s="32" t="n">
        <v>43.7</v>
      </c>
      <c r="D295" s="32" t="n">
        <v>4.3</v>
      </c>
      <c r="E295" s="32" t="n">
        <v>2.1</v>
      </c>
      <c r="F295" s="32" t="n">
        <v>0</v>
      </c>
      <c r="G295" s="32">
        <f>C295+D295+E295+F295</f>
        <v/>
      </c>
    </row>
    <row r="296">
      <c r="A296" s="31" t="n">
        <v>45866</v>
      </c>
      <c r="B296" s="43" t="inlineStr">
        <is>
          <t>Tech G</t>
        </is>
      </c>
      <c r="C296" s="32" t="n">
        <v>16.7</v>
      </c>
      <c r="D296" s="32" t="n">
        <v>0</v>
      </c>
      <c r="E296" s="32" t="n">
        <v>0</v>
      </c>
      <c r="F296" s="32" t="n">
        <v>0</v>
      </c>
      <c r="G296" s="32">
        <f>C296+D296+E296+F296</f>
        <v/>
      </c>
    </row>
    <row r="297">
      <c r="A297" s="31" t="n">
        <v>45866</v>
      </c>
      <c r="B297" s="43" t="inlineStr">
        <is>
          <t>Tech H</t>
        </is>
      </c>
      <c r="C297" s="32" t="n">
        <v>29.2</v>
      </c>
      <c r="D297" s="32" t="n">
        <v>2.2</v>
      </c>
      <c r="E297" s="32" t="n">
        <v>0</v>
      </c>
      <c r="F297" s="32" t="n">
        <v>0</v>
      </c>
      <c r="G297" s="32">
        <f>C297+D297+E297+F297</f>
        <v/>
      </c>
    </row>
    <row r="298">
      <c r="A298" s="31" t="n">
        <v>45866</v>
      </c>
      <c r="B298" s="43" t="inlineStr">
        <is>
          <t>Tech I</t>
        </is>
      </c>
      <c r="C298" s="32" t="n">
        <v>27</v>
      </c>
      <c r="D298" s="32" t="n">
        <v>0</v>
      </c>
      <c r="E298" s="32" t="n">
        <v>1.1</v>
      </c>
      <c r="F298" s="32" t="n">
        <v>0</v>
      </c>
      <c r="G298" s="32">
        <f>C298+D298+E298+F298</f>
        <v/>
      </c>
    </row>
    <row r="299">
      <c r="A299" s="31" t="n">
        <v>45873</v>
      </c>
      <c r="B299" s="43" t="inlineStr">
        <is>
          <t>Tech A</t>
        </is>
      </c>
      <c r="C299" s="32" t="n">
        <v>32.6</v>
      </c>
      <c r="D299" s="32" t="n">
        <v>5.1</v>
      </c>
      <c r="E299" s="32" t="n">
        <v>0.5</v>
      </c>
      <c r="F299" s="32" t="n">
        <v>0</v>
      </c>
      <c r="G299" s="32">
        <f>C299+D299+E299+F299</f>
        <v/>
      </c>
    </row>
    <row r="300">
      <c r="A300" s="31" t="n">
        <v>45873</v>
      </c>
      <c r="B300" s="43" t="inlineStr">
        <is>
          <t>Tech B</t>
        </is>
      </c>
      <c r="C300" s="32" t="n">
        <v>31.4</v>
      </c>
      <c r="D300" s="32" t="n">
        <v>6.8</v>
      </c>
      <c r="E300" s="32" t="n">
        <v>0</v>
      </c>
      <c r="F300" s="32" t="n">
        <v>0</v>
      </c>
      <c r="G300" s="32">
        <f>C300+D300+E300+F300</f>
        <v/>
      </c>
    </row>
    <row r="301">
      <c r="A301" s="31" t="n">
        <v>45873</v>
      </c>
      <c r="B301" s="43" t="inlineStr">
        <is>
          <t>Tech C</t>
        </is>
      </c>
      <c r="C301" s="32" t="n">
        <v>20.4</v>
      </c>
      <c r="D301" s="32" t="n">
        <v>0</v>
      </c>
      <c r="E301" s="32" t="n">
        <v>0</v>
      </c>
      <c r="F301" s="32" t="n">
        <v>0</v>
      </c>
      <c r="G301" s="32">
        <f>C301+D301+E301+F301</f>
        <v/>
      </c>
    </row>
    <row r="302">
      <c r="A302" s="31" t="n">
        <v>45873</v>
      </c>
      <c r="B302" s="43" t="inlineStr">
        <is>
          <t>Tech D</t>
        </is>
      </c>
      <c r="C302" s="32" t="n">
        <v>31.7</v>
      </c>
      <c r="D302" s="32" t="n">
        <v>0</v>
      </c>
      <c r="E302" s="32" t="n">
        <v>0</v>
      </c>
      <c r="F302" s="32" t="n">
        <v>0</v>
      </c>
      <c r="G302" s="32">
        <f>C302+D302+E302+F302</f>
        <v/>
      </c>
    </row>
    <row r="303">
      <c r="A303" s="31" t="n">
        <v>45873</v>
      </c>
      <c r="B303" s="43" t="inlineStr">
        <is>
          <t>Tech E</t>
        </is>
      </c>
      <c r="C303" s="32" t="n">
        <v>39.9</v>
      </c>
      <c r="D303" s="32" t="n">
        <v>0</v>
      </c>
      <c r="E303" s="32" t="n">
        <v>0.4</v>
      </c>
      <c r="F303" s="32" t="n">
        <v>0</v>
      </c>
      <c r="G303" s="32">
        <f>C303+D303+E303+F303</f>
        <v/>
      </c>
    </row>
    <row r="304">
      <c r="A304" s="31" t="n">
        <v>45873</v>
      </c>
      <c r="B304" s="43" t="inlineStr">
        <is>
          <t>Tech F</t>
        </is>
      </c>
      <c r="C304" s="32" t="n">
        <v>29.9</v>
      </c>
      <c r="D304" s="32" t="n">
        <v>4.7</v>
      </c>
      <c r="E304" s="32" t="n">
        <v>0.5</v>
      </c>
      <c r="F304" s="32" t="n">
        <v>0</v>
      </c>
      <c r="G304" s="32">
        <f>C304+D304+E304+F304</f>
        <v/>
      </c>
    </row>
    <row r="305">
      <c r="A305" s="31" t="n">
        <v>45873</v>
      </c>
      <c r="B305" s="43" t="inlineStr">
        <is>
          <t>Tech G</t>
        </is>
      </c>
      <c r="C305" s="32" t="n">
        <v>22.3</v>
      </c>
      <c r="D305" s="32" t="n">
        <v>3.4</v>
      </c>
      <c r="E305" s="32" t="n">
        <v>0.6</v>
      </c>
      <c r="F305" s="32" t="n">
        <v>0</v>
      </c>
      <c r="G305" s="32">
        <f>C305+D305+E305+F305</f>
        <v/>
      </c>
    </row>
    <row r="306">
      <c r="A306" s="31" t="n">
        <v>45873</v>
      </c>
      <c r="B306" s="43" t="inlineStr">
        <is>
          <t>Tech H</t>
        </is>
      </c>
      <c r="C306" s="32" t="n">
        <v>48.8</v>
      </c>
      <c r="D306" s="32" t="n">
        <v>0</v>
      </c>
      <c r="E306" s="32" t="n">
        <v>0</v>
      </c>
      <c r="F306" s="32" t="n">
        <v>0</v>
      </c>
      <c r="G306" s="32">
        <f>C306+D306+E306+F306</f>
        <v/>
      </c>
    </row>
    <row r="307">
      <c r="A307" s="31" t="n">
        <v>45880</v>
      </c>
      <c r="B307" s="43" t="inlineStr">
        <is>
          <t>Tech A</t>
        </is>
      </c>
      <c r="C307" s="32" t="n">
        <v>37.8</v>
      </c>
      <c r="D307" s="32" t="n">
        <v>2.8</v>
      </c>
      <c r="E307" s="32" t="n">
        <v>1.1</v>
      </c>
      <c r="F307" s="32" t="n">
        <v>4</v>
      </c>
      <c r="G307" s="32">
        <f>C307+D307+E307+F307</f>
        <v/>
      </c>
    </row>
    <row r="308">
      <c r="A308" s="31" t="n">
        <v>45880</v>
      </c>
      <c r="B308" s="43" t="inlineStr">
        <is>
          <t>Tech B</t>
        </is>
      </c>
      <c r="C308" s="32" t="n">
        <v>23.7</v>
      </c>
      <c r="D308" s="32" t="n">
        <v>0</v>
      </c>
      <c r="E308" s="32" t="n">
        <v>1</v>
      </c>
      <c r="F308" s="32" t="n">
        <v>0</v>
      </c>
      <c r="G308" s="32">
        <f>C308+D308+E308+F308</f>
        <v/>
      </c>
    </row>
    <row r="309">
      <c r="A309" s="31" t="n">
        <v>45880</v>
      </c>
      <c r="B309" s="43" t="inlineStr">
        <is>
          <t>Tech C</t>
        </is>
      </c>
      <c r="C309" s="32" t="n">
        <v>19.9</v>
      </c>
      <c r="D309" s="32" t="n">
        <v>4.1</v>
      </c>
      <c r="E309" s="32" t="n">
        <v>0</v>
      </c>
      <c r="F309" s="32" t="n">
        <v>0</v>
      </c>
      <c r="G309" s="32">
        <f>C309+D309+E309+F309</f>
        <v/>
      </c>
    </row>
    <row r="310">
      <c r="A310" s="31" t="n">
        <v>45880</v>
      </c>
      <c r="B310" s="43" t="inlineStr">
        <is>
          <t>Tech D</t>
        </is>
      </c>
      <c r="C310" s="32" t="n">
        <v>44</v>
      </c>
      <c r="D310" s="32" t="n">
        <v>0</v>
      </c>
      <c r="E310" s="32" t="n">
        <v>0</v>
      </c>
      <c r="F310" s="32" t="n">
        <v>0</v>
      </c>
      <c r="G310" s="32">
        <f>C310+D310+E310+F310</f>
        <v/>
      </c>
    </row>
    <row r="311">
      <c r="A311" s="31" t="n">
        <v>45880</v>
      </c>
      <c r="B311" s="43" t="inlineStr">
        <is>
          <t>Tech E</t>
        </is>
      </c>
      <c r="C311" s="32" t="n">
        <v>28.4</v>
      </c>
      <c r="D311" s="32" t="n">
        <v>6.7</v>
      </c>
      <c r="E311" s="32" t="n">
        <v>0</v>
      </c>
      <c r="F311" s="32" t="n">
        <v>0</v>
      </c>
      <c r="G311" s="32">
        <f>C311+D311+E311+F311</f>
        <v/>
      </c>
    </row>
    <row r="312">
      <c r="A312" s="31" t="n">
        <v>45880</v>
      </c>
      <c r="B312" s="43" t="inlineStr">
        <is>
          <t>Tech F</t>
        </is>
      </c>
      <c r="C312" s="32" t="n">
        <v>41.3</v>
      </c>
      <c r="D312" s="32" t="n">
        <v>7.4</v>
      </c>
      <c r="E312" s="32" t="n">
        <v>0.7</v>
      </c>
      <c r="F312" s="32" t="n">
        <v>0</v>
      </c>
      <c r="G312" s="32">
        <f>C312+D312+E312+F312</f>
        <v/>
      </c>
    </row>
    <row r="313">
      <c r="A313" s="31" t="n">
        <v>45880</v>
      </c>
      <c r="B313" s="43" t="inlineStr">
        <is>
          <t>Tech G</t>
        </is>
      </c>
      <c r="C313" s="32" t="n">
        <v>35.1</v>
      </c>
      <c r="D313" s="32" t="n">
        <v>0</v>
      </c>
      <c r="E313" s="32" t="n">
        <v>0</v>
      </c>
      <c r="F313" s="32" t="n">
        <v>0</v>
      </c>
      <c r="G313" s="32">
        <f>C313+D313+E313+F313</f>
        <v/>
      </c>
    </row>
    <row r="314">
      <c r="A314" s="31" t="n">
        <v>45880</v>
      </c>
      <c r="B314" s="43" t="inlineStr">
        <is>
          <t>Tech H</t>
        </is>
      </c>
      <c r="C314" s="32" t="n">
        <v>42.8</v>
      </c>
      <c r="D314" s="32" t="n">
        <v>0</v>
      </c>
      <c r="E314" s="32" t="n">
        <v>1.2</v>
      </c>
      <c r="F314" s="32" t="n">
        <v>0</v>
      </c>
      <c r="G314" s="32">
        <f>C314+D314+E314+F314</f>
        <v/>
      </c>
    </row>
    <row r="315">
      <c r="A315" s="31" t="n">
        <v>45887</v>
      </c>
      <c r="B315" s="43" t="inlineStr">
        <is>
          <t>Tech A</t>
        </is>
      </c>
      <c r="C315" s="32" t="n">
        <v>43.9</v>
      </c>
      <c r="D315" s="32" t="n">
        <v>0</v>
      </c>
      <c r="E315" s="32" t="n">
        <v>0</v>
      </c>
      <c r="F315" s="32" t="n">
        <v>0</v>
      </c>
      <c r="G315" s="32">
        <f>C315+D315+E315+F315</f>
        <v/>
      </c>
    </row>
    <row r="316">
      <c r="A316" s="31" t="n">
        <v>45887</v>
      </c>
      <c r="B316" s="43" t="inlineStr">
        <is>
          <t>Tech B</t>
        </is>
      </c>
      <c r="C316" s="32" t="n">
        <v>20.8</v>
      </c>
      <c r="D316" s="32" t="n">
        <v>5</v>
      </c>
      <c r="E316" s="32" t="n">
        <v>0</v>
      </c>
      <c r="F316" s="32" t="n">
        <v>0</v>
      </c>
      <c r="G316" s="32">
        <f>C316+D316+E316+F316</f>
        <v/>
      </c>
    </row>
    <row r="317">
      <c r="A317" s="31" t="n">
        <v>45887</v>
      </c>
      <c r="B317" s="43" t="inlineStr">
        <is>
          <t>Tech C</t>
        </is>
      </c>
      <c r="C317" s="32" t="n">
        <v>39.8</v>
      </c>
      <c r="D317" s="32" t="n">
        <v>9.6</v>
      </c>
      <c r="E317" s="32" t="n">
        <v>0</v>
      </c>
      <c r="F317" s="32" t="n">
        <v>0</v>
      </c>
      <c r="G317" s="32">
        <f>C317+D317+E317+F317</f>
        <v/>
      </c>
    </row>
    <row r="318">
      <c r="A318" s="31" t="n">
        <v>45887</v>
      </c>
      <c r="B318" s="43" t="inlineStr">
        <is>
          <t>Tech D</t>
        </is>
      </c>
      <c r="C318" s="32" t="n">
        <v>17.5</v>
      </c>
      <c r="D318" s="32" t="n">
        <v>8.9</v>
      </c>
      <c r="E318" s="32" t="n">
        <v>0</v>
      </c>
      <c r="F318" s="32" t="n">
        <v>0</v>
      </c>
      <c r="G318" s="32">
        <f>C318+D318+E318+F318</f>
        <v/>
      </c>
    </row>
    <row r="319">
      <c r="A319" s="31" t="n">
        <v>45887</v>
      </c>
      <c r="B319" s="43" t="inlineStr">
        <is>
          <t>Tech E</t>
        </is>
      </c>
      <c r="C319" s="32" t="n">
        <v>18.5</v>
      </c>
      <c r="D319" s="32" t="n">
        <v>0</v>
      </c>
      <c r="E319" s="32" t="n">
        <v>0</v>
      </c>
      <c r="F319" s="32" t="n">
        <v>0</v>
      </c>
      <c r="G319" s="32">
        <f>C319+D319+E319+F319</f>
        <v/>
      </c>
    </row>
    <row r="320">
      <c r="A320" s="31" t="n">
        <v>45887</v>
      </c>
      <c r="B320" s="43" t="inlineStr">
        <is>
          <t>Tech F</t>
        </is>
      </c>
      <c r="C320" s="32" t="n">
        <v>30</v>
      </c>
      <c r="D320" s="32" t="n">
        <v>0</v>
      </c>
      <c r="E320" s="32" t="n">
        <v>0</v>
      </c>
      <c r="F320" s="32" t="n">
        <v>0</v>
      </c>
      <c r="G320" s="32">
        <f>C320+D320+E320+F320</f>
        <v/>
      </c>
    </row>
    <row r="321">
      <c r="A321" s="31" t="n">
        <v>45887</v>
      </c>
      <c r="B321" s="43" t="inlineStr">
        <is>
          <t>Tech G</t>
        </is>
      </c>
      <c r="C321" s="32" t="n">
        <v>29.3</v>
      </c>
      <c r="D321" s="32" t="n">
        <v>0</v>
      </c>
      <c r="E321" s="32" t="n">
        <v>0</v>
      </c>
      <c r="F321" s="32" t="n">
        <v>0</v>
      </c>
      <c r="G321" s="32">
        <f>C321+D321+E321+F321</f>
        <v/>
      </c>
    </row>
    <row r="322">
      <c r="A322" s="31" t="n">
        <v>45887</v>
      </c>
      <c r="B322" s="43" t="inlineStr">
        <is>
          <t>Tech H</t>
        </is>
      </c>
      <c r="C322" s="32" t="n">
        <v>35.2</v>
      </c>
      <c r="D322" s="32" t="n">
        <v>0</v>
      </c>
      <c r="E322" s="32" t="n">
        <v>0</v>
      </c>
      <c r="F322" s="32" t="n">
        <v>0</v>
      </c>
      <c r="G322" s="32">
        <f>C322+D322+E322+F322</f>
        <v/>
      </c>
    </row>
    <row r="323">
      <c r="A323" s="31" t="n">
        <v>45887</v>
      </c>
      <c r="B323" s="43" t="inlineStr">
        <is>
          <t>Tech I</t>
        </is>
      </c>
      <c r="C323" s="32" t="n">
        <v>29</v>
      </c>
      <c r="D323" s="32" t="n">
        <v>8.5</v>
      </c>
      <c r="E323" s="32" t="n">
        <v>0</v>
      </c>
      <c r="F323" s="32" t="n">
        <v>0</v>
      </c>
      <c r="G323" s="32">
        <f>C323+D323+E323+F323</f>
        <v/>
      </c>
    </row>
    <row r="324">
      <c r="A324" s="31" t="n">
        <v>45894</v>
      </c>
      <c r="B324" s="43" t="inlineStr">
        <is>
          <t>Tech A</t>
        </is>
      </c>
      <c r="C324" s="32" t="n">
        <v>26.7</v>
      </c>
      <c r="D324" s="32" t="n">
        <v>4.7</v>
      </c>
      <c r="E324" s="32" t="n">
        <v>1.3</v>
      </c>
      <c r="F324" s="32" t="n">
        <v>0</v>
      </c>
      <c r="G324" s="32">
        <f>C324+D324+E324+F324</f>
        <v/>
      </c>
    </row>
    <row r="325">
      <c r="A325" s="31" t="n">
        <v>45894</v>
      </c>
      <c r="B325" s="43" t="inlineStr">
        <is>
          <t>Tech B</t>
        </is>
      </c>
      <c r="C325" s="32" t="n">
        <v>42.9</v>
      </c>
      <c r="D325" s="32" t="n">
        <v>0</v>
      </c>
      <c r="E325" s="32" t="n">
        <v>0</v>
      </c>
      <c r="F325" s="32" t="n">
        <v>0</v>
      </c>
      <c r="G325" s="32">
        <f>C325+D325+E325+F325</f>
        <v/>
      </c>
    </row>
    <row r="326">
      <c r="A326" s="31" t="n">
        <v>45894</v>
      </c>
      <c r="B326" s="43" t="inlineStr">
        <is>
          <t>Tech C</t>
        </is>
      </c>
      <c r="C326" s="32" t="n">
        <v>40</v>
      </c>
      <c r="D326" s="32" t="n">
        <v>6.5</v>
      </c>
      <c r="E326" s="32" t="n">
        <v>1.3</v>
      </c>
      <c r="F326" s="32" t="n">
        <v>8</v>
      </c>
      <c r="G326" s="32">
        <f>C326+D326+E326+F326</f>
        <v/>
      </c>
    </row>
    <row r="327">
      <c r="A327" s="31" t="n">
        <v>45894</v>
      </c>
      <c r="B327" s="43" t="inlineStr">
        <is>
          <t>Tech D</t>
        </is>
      </c>
      <c r="C327" s="32" t="n">
        <v>27.1</v>
      </c>
      <c r="D327" s="32" t="n">
        <v>0</v>
      </c>
      <c r="E327" s="32" t="n">
        <v>1.4</v>
      </c>
      <c r="F327" s="32" t="n">
        <v>0</v>
      </c>
      <c r="G327" s="32">
        <f>C327+D327+E327+F327</f>
        <v/>
      </c>
    </row>
    <row r="328">
      <c r="A328" s="31" t="n">
        <v>45894</v>
      </c>
      <c r="B328" s="43" t="inlineStr">
        <is>
          <t>Tech E</t>
        </is>
      </c>
      <c r="C328" s="32" t="n">
        <v>44.4</v>
      </c>
      <c r="D328" s="32" t="n">
        <v>0</v>
      </c>
      <c r="E328" s="32" t="n">
        <v>0</v>
      </c>
      <c r="F328" s="32" t="n">
        <v>0</v>
      </c>
      <c r="G328" s="32">
        <f>C328+D328+E328+F328</f>
        <v/>
      </c>
    </row>
    <row r="329">
      <c r="A329" s="31" t="n">
        <v>45894</v>
      </c>
      <c r="B329" s="43" t="inlineStr">
        <is>
          <t>Tech F</t>
        </is>
      </c>
      <c r="C329" s="32" t="n">
        <v>31.4</v>
      </c>
      <c r="D329" s="32" t="n">
        <v>4.8</v>
      </c>
      <c r="E329" s="32" t="n">
        <v>0</v>
      </c>
      <c r="F329" s="32" t="n">
        <v>0</v>
      </c>
      <c r="G329" s="32">
        <f>C329+D329+E329+F329</f>
        <v/>
      </c>
    </row>
    <row r="330">
      <c r="A330" s="31" t="n">
        <v>45894</v>
      </c>
      <c r="B330" s="43" t="inlineStr">
        <is>
          <t>Tech G</t>
        </is>
      </c>
      <c r="C330" s="32" t="n">
        <v>45.5</v>
      </c>
      <c r="D330" s="32" t="n">
        <v>0</v>
      </c>
      <c r="E330" s="32" t="n">
        <v>0</v>
      </c>
      <c r="F330" s="32" t="n">
        <v>0</v>
      </c>
      <c r="G330" s="32">
        <f>C330+D330+E330+F330</f>
        <v/>
      </c>
    </row>
    <row r="331">
      <c r="A331" s="31" t="n">
        <v>45901</v>
      </c>
      <c r="B331" s="43" t="inlineStr">
        <is>
          <t>Tech A</t>
        </is>
      </c>
      <c r="C331" s="32" t="n">
        <v>25.7</v>
      </c>
      <c r="D331" s="32" t="n">
        <v>0</v>
      </c>
      <c r="E331" s="32" t="n">
        <v>1.1</v>
      </c>
      <c r="F331" s="32" t="n">
        <v>0</v>
      </c>
      <c r="G331" s="32">
        <f>C331+D331+E331+F331</f>
        <v/>
      </c>
    </row>
    <row r="332">
      <c r="A332" s="31" t="n">
        <v>45901</v>
      </c>
      <c r="B332" s="43" t="inlineStr">
        <is>
          <t>Tech B</t>
        </is>
      </c>
      <c r="C332" s="32" t="n">
        <v>27.9</v>
      </c>
      <c r="D332" s="32" t="n">
        <v>4</v>
      </c>
      <c r="E332" s="32" t="n">
        <v>1</v>
      </c>
      <c r="F332" s="32" t="n">
        <v>0</v>
      </c>
      <c r="G332" s="32">
        <f>C332+D332+E332+F332</f>
        <v/>
      </c>
    </row>
    <row r="333">
      <c r="A333" s="31" t="n">
        <v>45901</v>
      </c>
      <c r="B333" s="43" t="inlineStr">
        <is>
          <t>Tech C</t>
        </is>
      </c>
      <c r="C333" s="32" t="n">
        <v>18</v>
      </c>
      <c r="D333" s="32" t="n">
        <v>6.5</v>
      </c>
      <c r="E333" s="32" t="n">
        <v>1</v>
      </c>
      <c r="F333" s="32" t="n">
        <v>0</v>
      </c>
      <c r="G333" s="32">
        <f>C333+D333+E333+F333</f>
        <v/>
      </c>
    </row>
    <row r="334">
      <c r="A334" s="31" t="n">
        <v>45901</v>
      </c>
      <c r="B334" s="43" t="inlineStr">
        <is>
          <t>Tech D</t>
        </is>
      </c>
      <c r="C334" s="32" t="n">
        <v>27.9</v>
      </c>
      <c r="D334" s="32" t="n">
        <v>0</v>
      </c>
      <c r="E334" s="32" t="n">
        <v>1.9</v>
      </c>
      <c r="F334" s="32" t="n">
        <v>0</v>
      </c>
      <c r="G334" s="32">
        <f>C334+D334+E334+F334</f>
        <v/>
      </c>
    </row>
    <row r="335">
      <c r="A335" s="31" t="n">
        <v>45901</v>
      </c>
      <c r="B335" s="43" t="inlineStr">
        <is>
          <t>Tech E</t>
        </is>
      </c>
      <c r="C335" s="32" t="n">
        <v>26.8</v>
      </c>
      <c r="D335" s="32" t="n">
        <v>9.1</v>
      </c>
      <c r="E335" s="32" t="n">
        <v>0</v>
      </c>
      <c r="F335" s="32" t="n">
        <v>0</v>
      </c>
      <c r="G335" s="32">
        <f>C335+D335+E335+F335</f>
        <v/>
      </c>
    </row>
    <row r="336">
      <c r="A336" s="31" t="n">
        <v>45901</v>
      </c>
      <c r="B336" s="43" t="inlineStr">
        <is>
          <t>Tech F</t>
        </is>
      </c>
      <c r="C336" s="32" t="n">
        <v>17.2</v>
      </c>
      <c r="D336" s="32" t="n">
        <v>5.4</v>
      </c>
      <c r="E336" s="32" t="n">
        <v>0</v>
      </c>
      <c r="F336" s="32" t="n">
        <v>0</v>
      </c>
      <c r="G336" s="32">
        <f>C336+D336+E336+F336</f>
        <v/>
      </c>
    </row>
    <row r="337">
      <c r="A337" s="31" t="n">
        <v>45901</v>
      </c>
      <c r="B337" s="43" t="inlineStr">
        <is>
          <t>Tech G</t>
        </is>
      </c>
      <c r="C337" s="32" t="n">
        <v>40.8</v>
      </c>
      <c r="D337" s="32" t="n">
        <v>0</v>
      </c>
      <c r="E337" s="32" t="n">
        <v>0</v>
      </c>
      <c r="F337" s="32" t="n">
        <v>0</v>
      </c>
      <c r="G337" s="32">
        <f>C337+D337+E337+F337</f>
        <v/>
      </c>
    </row>
    <row r="338">
      <c r="A338" s="31" t="n">
        <v>45901</v>
      </c>
      <c r="B338" s="43" t="inlineStr">
        <is>
          <t>Tech H</t>
        </is>
      </c>
      <c r="C338" s="32" t="n">
        <v>37.1</v>
      </c>
      <c r="D338" s="32" t="n">
        <v>0</v>
      </c>
      <c r="E338" s="32" t="n">
        <v>0</v>
      </c>
      <c r="F338" s="32" t="n">
        <v>0</v>
      </c>
      <c r="G338" s="32">
        <f>C338+D338+E338+F338</f>
        <v/>
      </c>
    </row>
    <row r="339">
      <c r="A339" s="31" t="n">
        <v>45901</v>
      </c>
      <c r="B339" s="43" t="inlineStr">
        <is>
          <t>Tech I</t>
        </is>
      </c>
      <c r="C339" s="32" t="n">
        <v>21.6</v>
      </c>
      <c r="D339" s="32" t="n">
        <v>0</v>
      </c>
      <c r="E339" s="32" t="n">
        <v>0</v>
      </c>
      <c r="F339" s="32" t="n">
        <v>0</v>
      </c>
      <c r="G339" s="32">
        <f>C339+D339+E339+F339</f>
        <v/>
      </c>
    </row>
    <row r="340">
      <c r="A340" s="31" t="n">
        <v>45908</v>
      </c>
      <c r="B340" s="43" t="inlineStr">
        <is>
          <t>Tech A</t>
        </is>
      </c>
      <c r="C340" s="32" t="n">
        <v>43.6</v>
      </c>
      <c r="D340" s="32" t="n">
        <v>3.6</v>
      </c>
      <c r="E340" s="32" t="n">
        <v>1</v>
      </c>
      <c r="F340" s="32" t="n">
        <v>0</v>
      </c>
      <c r="G340" s="32">
        <f>C340+D340+E340+F340</f>
        <v/>
      </c>
    </row>
    <row r="341">
      <c r="A341" s="31" t="n">
        <v>45908</v>
      </c>
      <c r="B341" s="43" t="inlineStr">
        <is>
          <t>Tech B</t>
        </is>
      </c>
      <c r="C341" s="32" t="n">
        <v>24.1</v>
      </c>
      <c r="D341" s="32" t="n">
        <v>0</v>
      </c>
      <c r="E341" s="32" t="n">
        <v>0.8</v>
      </c>
      <c r="F341" s="32" t="n">
        <v>0</v>
      </c>
      <c r="G341" s="32">
        <f>C341+D341+E341+F341</f>
        <v/>
      </c>
    </row>
    <row r="342">
      <c r="A342" s="31" t="n">
        <v>45908</v>
      </c>
      <c r="B342" s="43" t="inlineStr">
        <is>
          <t>Tech C</t>
        </is>
      </c>
      <c r="C342" s="32" t="n">
        <v>43.1</v>
      </c>
      <c r="D342" s="32" t="n">
        <v>4.2</v>
      </c>
      <c r="E342" s="32" t="n">
        <v>0</v>
      </c>
      <c r="F342" s="32" t="n">
        <v>0</v>
      </c>
      <c r="G342" s="32">
        <f>C342+D342+E342+F342</f>
        <v/>
      </c>
    </row>
    <row r="343">
      <c r="A343" s="31" t="n">
        <v>45908</v>
      </c>
      <c r="B343" s="43" t="inlineStr">
        <is>
          <t>Tech D</t>
        </is>
      </c>
      <c r="C343" s="32" t="n">
        <v>23.9</v>
      </c>
      <c r="D343" s="32" t="n">
        <v>0</v>
      </c>
      <c r="E343" s="32" t="n">
        <v>0</v>
      </c>
      <c r="F343" s="32" t="n">
        <v>0</v>
      </c>
      <c r="G343" s="32">
        <f>C343+D343+E343+F343</f>
        <v/>
      </c>
    </row>
    <row r="344">
      <c r="A344" s="31" t="n">
        <v>45908</v>
      </c>
      <c r="B344" s="43" t="inlineStr">
        <is>
          <t>Tech E</t>
        </is>
      </c>
      <c r="C344" s="32" t="n">
        <v>27.6</v>
      </c>
      <c r="D344" s="32" t="n">
        <v>2.4</v>
      </c>
      <c r="E344" s="32" t="n">
        <v>1</v>
      </c>
      <c r="F344" s="32" t="n">
        <v>0</v>
      </c>
      <c r="G344" s="32">
        <f>C344+D344+E344+F344</f>
        <v/>
      </c>
    </row>
    <row r="345">
      <c r="A345" s="31" t="n">
        <v>45908</v>
      </c>
      <c r="B345" s="43" t="inlineStr">
        <is>
          <t>Tech F</t>
        </is>
      </c>
      <c r="C345" s="32" t="n">
        <v>28.4</v>
      </c>
      <c r="D345" s="32" t="n">
        <v>0</v>
      </c>
      <c r="E345" s="32" t="n">
        <v>1.2</v>
      </c>
      <c r="F345" s="32" t="n">
        <v>0</v>
      </c>
      <c r="G345" s="32">
        <f>C345+D345+E345+F345</f>
        <v/>
      </c>
    </row>
    <row r="346">
      <c r="A346" s="31" t="n">
        <v>45908</v>
      </c>
      <c r="B346" s="43" t="inlineStr">
        <is>
          <t>Tech G</t>
        </is>
      </c>
      <c r="C346" s="32" t="n">
        <v>33.2</v>
      </c>
      <c r="D346" s="32" t="n">
        <v>0</v>
      </c>
      <c r="E346" s="32" t="n">
        <v>0</v>
      </c>
      <c r="F346" s="32" t="n">
        <v>0</v>
      </c>
      <c r="G346" s="32">
        <f>C346+D346+E346+F346</f>
        <v/>
      </c>
    </row>
    <row r="347">
      <c r="A347" s="31" t="n">
        <v>45908</v>
      </c>
      <c r="B347" s="43" t="inlineStr">
        <is>
          <t>Tech H</t>
        </is>
      </c>
      <c r="C347" s="32" t="n">
        <v>38.1</v>
      </c>
      <c r="D347" s="32" t="n">
        <v>5.8</v>
      </c>
      <c r="E347" s="32" t="n">
        <v>0</v>
      </c>
      <c r="F347" s="32" t="n">
        <v>0</v>
      </c>
      <c r="G347" s="32">
        <f>C347+D347+E347+F347</f>
        <v/>
      </c>
    </row>
    <row r="348">
      <c r="A348" s="31" t="n">
        <v>45915</v>
      </c>
      <c r="B348" s="43" t="inlineStr">
        <is>
          <t>Tech A</t>
        </is>
      </c>
      <c r="C348" s="32" t="n">
        <v>29.4</v>
      </c>
      <c r="D348" s="32" t="n">
        <v>0</v>
      </c>
      <c r="E348" s="32" t="n">
        <v>0.4</v>
      </c>
      <c r="F348" s="32" t="n">
        <v>0</v>
      </c>
      <c r="G348" s="32">
        <f>C348+D348+E348+F348</f>
        <v/>
      </c>
    </row>
    <row r="349">
      <c r="A349" s="31" t="n">
        <v>45915</v>
      </c>
      <c r="B349" s="43" t="inlineStr">
        <is>
          <t>Tech B</t>
        </is>
      </c>
      <c r="C349" s="32" t="n">
        <v>40.6</v>
      </c>
      <c r="D349" s="32" t="n">
        <v>0</v>
      </c>
      <c r="E349" s="32" t="n">
        <v>0</v>
      </c>
      <c r="F349" s="32" t="n">
        <v>0</v>
      </c>
      <c r="G349" s="32">
        <f>C349+D349+E349+F349</f>
        <v/>
      </c>
    </row>
    <row r="350">
      <c r="A350" s="31" t="n">
        <v>45915</v>
      </c>
      <c r="B350" s="43" t="inlineStr">
        <is>
          <t>Tech C</t>
        </is>
      </c>
      <c r="C350" s="32" t="n">
        <v>41.4</v>
      </c>
      <c r="D350" s="32" t="n">
        <v>0</v>
      </c>
      <c r="E350" s="32" t="n">
        <v>0</v>
      </c>
      <c r="F350" s="32" t="n">
        <v>0</v>
      </c>
      <c r="G350" s="32">
        <f>C350+D350+E350+F350</f>
        <v/>
      </c>
    </row>
    <row r="351">
      <c r="A351" s="31" t="n">
        <v>45915</v>
      </c>
      <c r="B351" s="43" t="inlineStr">
        <is>
          <t>Tech D</t>
        </is>
      </c>
      <c r="C351" s="32" t="n">
        <v>45.9</v>
      </c>
      <c r="D351" s="32" t="n">
        <v>0</v>
      </c>
      <c r="E351" s="32" t="n">
        <v>0</v>
      </c>
      <c r="F351" s="32" t="n">
        <v>0</v>
      </c>
      <c r="G351" s="32">
        <f>C351+D351+E351+F351</f>
        <v/>
      </c>
    </row>
    <row r="352">
      <c r="A352" s="31" t="n">
        <v>45915</v>
      </c>
      <c r="B352" s="43" t="inlineStr">
        <is>
          <t>Tech E</t>
        </is>
      </c>
      <c r="C352" s="32" t="n">
        <v>18.1</v>
      </c>
      <c r="D352" s="32" t="n">
        <v>3.7</v>
      </c>
      <c r="E352" s="32" t="n">
        <v>0.3</v>
      </c>
      <c r="F352" s="32" t="n">
        <v>0</v>
      </c>
      <c r="G352" s="32">
        <f>C352+D352+E352+F352</f>
        <v/>
      </c>
    </row>
    <row r="353">
      <c r="A353" s="31" t="n">
        <v>45915</v>
      </c>
      <c r="B353" s="43" t="inlineStr">
        <is>
          <t>Tech F</t>
        </is>
      </c>
      <c r="C353" s="32" t="n">
        <v>35.5</v>
      </c>
      <c r="D353" s="32" t="n">
        <v>4.9</v>
      </c>
      <c r="E353" s="32" t="n">
        <v>0.2</v>
      </c>
      <c r="F353" s="32" t="n">
        <v>0</v>
      </c>
      <c r="G353" s="32">
        <f>C353+D353+E353+F353</f>
        <v/>
      </c>
    </row>
    <row r="354">
      <c r="A354" s="31" t="n">
        <v>45915</v>
      </c>
      <c r="B354" s="43" t="inlineStr">
        <is>
          <t>Tech G</t>
        </is>
      </c>
      <c r="C354" s="32" t="n">
        <v>16.7</v>
      </c>
      <c r="D354" s="32" t="n">
        <v>4.4</v>
      </c>
      <c r="E354" s="32" t="n">
        <v>0</v>
      </c>
      <c r="F354" s="32" t="n">
        <v>0</v>
      </c>
      <c r="G354" s="32">
        <f>C354+D354+E354+F354</f>
        <v/>
      </c>
    </row>
    <row r="355">
      <c r="A355" s="31" t="n">
        <v>45915</v>
      </c>
      <c r="B355" s="43" t="inlineStr">
        <is>
          <t>Tech H</t>
        </is>
      </c>
      <c r="C355" s="32" t="n">
        <v>37.4</v>
      </c>
      <c r="D355" s="32" t="n">
        <v>5</v>
      </c>
      <c r="E355" s="32" t="n">
        <v>0.1</v>
      </c>
      <c r="F355" s="32" t="n">
        <v>0</v>
      </c>
      <c r="G355" s="32">
        <f>C355+D355+E355+F355</f>
        <v/>
      </c>
    </row>
    <row r="356">
      <c r="A356" s="31" t="n">
        <v>45922</v>
      </c>
      <c r="B356" s="43" t="inlineStr">
        <is>
          <t>Tech A</t>
        </is>
      </c>
      <c r="C356" s="32" t="n">
        <v>21.9</v>
      </c>
      <c r="D356" s="32" t="n">
        <v>0</v>
      </c>
      <c r="E356" s="32" t="n">
        <v>0</v>
      </c>
      <c r="F356" s="32" t="n">
        <v>8</v>
      </c>
      <c r="G356" s="32">
        <f>C356+D356+E356+F356</f>
        <v/>
      </c>
    </row>
    <row r="357">
      <c r="A357" s="31" t="n">
        <v>45922</v>
      </c>
      <c r="B357" s="43" t="inlineStr">
        <is>
          <t>Tech B</t>
        </is>
      </c>
      <c r="C357" s="32" t="n">
        <v>29</v>
      </c>
      <c r="D357" s="32" t="n">
        <v>0</v>
      </c>
      <c r="E357" s="32" t="n">
        <v>0</v>
      </c>
      <c r="F357" s="32" t="n">
        <v>0</v>
      </c>
      <c r="G357" s="32">
        <f>C357+D357+E357+F357</f>
        <v/>
      </c>
    </row>
    <row r="358">
      <c r="A358" s="31" t="n">
        <v>45922</v>
      </c>
      <c r="B358" s="43" t="inlineStr">
        <is>
          <t>Tech C</t>
        </is>
      </c>
      <c r="C358" s="32" t="n">
        <v>50.1</v>
      </c>
      <c r="D358" s="32" t="n">
        <v>5.3</v>
      </c>
      <c r="E358" s="32" t="n">
        <v>0</v>
      </c>
      <c r="F358" s="32" t="n">
        <v>0</v>
      </c>
      <c r="G358" s="32">
        <f>C358+D358+E358+F358</f>
        <v/>
      </c>
    </row>
    <row r="359">
      <c r="A359" s="31" t="n">
        <v>45922</v>
      </c>
      <c r="B359" s="43" t="inlineStr">
        <is>
          <t>Tech D</t>
        </is>
      </c>
      <c r="C359" s="32" t="n">
        <v>40.9</v>
      </c>
      <c r="D359" s="32" t="n">
        <v>3.8</v>
      </c>
      <c r="E359" s="32" t="n">
        <v>0</v>
      </c>
      <c r="F359" s="32" t="n">
        <v>0</v>
      </c>
      <c r="G359" s="32">
        <f>C359+D359+E359+F359</f>
        <v/>
      </c>
    </row>
    <row r="360">
      <c r="A360" s="31" t="n">
        <v>45922</v>
      </c>
      <c r="B360" s="43" t="inlineStr">
        <is>
          <t>Tech E</t>
        </is>
      </c>
      <c r="C360" s="32" t="n">
        <v>30.5</v>
      </c>
      <c r="D360" s="32" t="n">
        <v>2.9</v>
      </c>
      <c r="E360" s="32" t="n">
        <v>1.5</v>
      </c>
      <c r="F360" s="32" t="n">
        <v>0</v>
      </c>
      <c r="G360" s="32">
        <f>C360+D360+E360+F360</f>
        <v/>
      </c>
    </row>
    <row r="361">
      <c r="A361" s="31" t="n">
        <v>45922</v>
      </c>
      <c r="B361" s="43" t="inlineStr">
        <is>
          <t>Tech F</t>
        </is>
      </c>
      <c r="C361" s="32" t="n">
        <v>37.4</v>
      </c>
      <c r="D361" s="32" t="n">
        <v>0</v>
      </c>
      <c r="E361" s="32" t="n">
        <v>3</v>
      </c>
      <c r="F361" s="32" t="n">
        <v>0</v>
      </c>
      <c r="G361" s="32">
        <f>C361+D361+E361+F361</f>
        <v/>
      </c>
    </row>
    <row r="362">
      <c r="A362" s="31" t="n">
        <v>45922</v>
      </c>
      <c r="B362" s="43" t="inlineStr">
        <is>
          <t>Tech G</t>
        </is>
      </c>
      <c r="C362" s="32" t="n">
        <v>49.2</v>
      </c>
      <c r="D362" s="32" t="n">
        <v>0</v>
      </c>
      <c r="E362" s="32" t="n">
        <v>2.5</v>
      </c>
      <c r="F362" s="32" t="n">
        <v>0</v>
      </c>
      <c r="G362" s="32">
        <f>C362+D362+E362+F362</f>
        <v/>
      </c>
    </row>
    <row r="363">
      <c r="A363" s="31" t="n">
        <v>45929</v>
      </c>
      <c r="B363" s="43" t="inlineStr">
        <is>
          <t>Tech A</t>
        </is>
      </c>
      <c r="C363" s="32" t="n">
        <v>18.7</v>
      </c>
      <c r="D363" s="32" t="n">
        <v>0</v>
      </c>
      <c r="E363" s="32" t="n">
        <v>1</v>
      </c>
      <c r="F363" s="32" t="n">
        <v>0</v>
      </c>
      <c r="G363" s="32">
        <f>C363+D363+E363+F363</f>
        <v/>
      </c>
    </row>
    <row r="364">
      <c r="A364" s="31" t="n">
        <v>45929</v>
      </c>
      <c r="B364" s="43" t="inlineStr">
        <is>
          <t>Tech B</t>
        </is>
      </c>
      <c r="C364" s="32" t="n">
        <v>43.5</v>
      </c>
      <c r="D364" s="32" t="n">
        <v>2.5</v>
      </c>
      <c r="E364" s="32" t="n">
        <v>0</v>
      </c>
      <c r="F364" s="32" t="n">
        <v>0</v>
      </c>
      <c r="G364" s="32">
        <f>C364+D364+E364+F364</f>
        <v/>
      </c>
    </row>
    <row r="365">
      <c r="A365" s="31" t="n">
        <v>45929</v>
      </c>
      <c r="B365" s="43" t="inlineStr">
        <is>
          <t>Tech C</t>
        </is>
      </c>
      <c r="C365" s="32" t="n">
        <v>19.4</v>
      </c>
      <c r="D365" s="32" t="n">
        <v>4.9</v>
      </c>
      <c r="E365" s="32" t="n">
        <v>1.2</v>
      </c>
      <c r="F365" s="32" t="n">
        <v>0</v>
      </c>
      <c r="G365" s="32">
        <f>C365+D365+E365+F365</f>
        <v/>
      </c>
    </row>
    <row r="366">
      <c r="A366" s="31" t="n">
        <v>45929</v>
      </c>
      <c r="B366" s="43" t="inlineStr">
        <is>
          <t>Tech D</t>
        </is>
      </c>
      <c r="C366" s="32" t="n">
        <v>41.1</v>
      </c>
      <c r="D366" s="32" t="n">
        <v>4.7</v>
      </c>
      <c r="E366" s="32" t="n">
        <v>0.8</v>
      </c>
      <c r="F366" s="32" t="n">
        <v>0</v>
      </c>
      <c r="G366" s="32">
        <f>C366+D366+E366+F366</f>
        <v/>
      </c>
    </row>
    <row r="367">
      <c r="A367" s="31" t="n">
        <v>45929</v>
      </c>
      <c r="B367" s="43" t="inlineStr">
        <is>
          <t>Tech E</t>
        </is>
      </c>
      <c r="C367" s="32" t="n">
        <v>43.2</v>
      </c>
      <c r="D367" s="32" t="n">
        <v>4.9</v>
      </c>
      <c r="E367" s="32" t="n">
        <v>0</v>
      </c>
      <c r="F367" s="32" t="n">
        <v>0</v>
      </c>
      <c r="G367" s="32">
        <f>C367+D367+E367+F367</f>
        <v/>
      </c>
    </row>
    <row r="368">
      <c r="A368" s="31" t="n">
        <v>45929</v>
      </c>
      <c r="B368" s="43" t="inlineStr">
        <is>
          <t>Tech F</t>
        </is>
      </c>
      <c r="C368" s="32" t="n">
        <v>44.7</v>
      </c>
      <c r="D368" s="32" t="n">
        <v>0</v>
      </c>
      <c r="E368" s="32" t="n">
        <v>1</v>
      </c>
      <c r="F368" s="32" t="n">
        <v>0</v>
      </c>
      <c r="G368" s="32">
        <f>C368+D368+E368+F368</f>
        <v/>
      </c>
    </row>
    <row r="369">
      <c r="A369" s="31" t="n">
        <v>45929</v>
      </c>
      <c r="B369" s="43" t="inlineStr">
        <is>
          <t>Tech G</t>
        </is>
      </c>
      <c r="C369" s="32" t="n">
        <v>17.4</v>
      </c>
      <c r="D369" s="32" t="n">
        <v>0</v>
      </c>
      <c r="E369" s="32" t="n">
        <v>0</v>
      </c>
      <c r="F369" s="32" t="n">
        <v>0</v>
      </c>
      <c r="G369" s="32">
        <f>C369+D369+E369+F369</f>
        <v/>
      </c>
    </row>
    <row r="370">
      <c r="A370" s="31" t="n">
        <v>45929</v>
      </c>
      <c r="B370" s="43" t="inlineStr">
        <is>
          <t>Tech H</t>
        </is>
      </c>
      <c r="C370" s="32" t="n">
        <v>27</v>
      </c>
      <c r="D370" s="32" t="n">
        <v>0</v>
      </c>
      <c r="E370" s="32" t="n">
        <v>0</v>
      </c>
      <c r="F370" s="32" t="n">
        <v>0</v>
      </c>
      <c r="G370" s="32">
        <f>C370+D370+E370+F370</f>
        <v/>
      </c>
    </row>
    <row r="371">
      <c r="A371" s="31" t="n">
        <v>45936</v>
      </c>
      <c r="B371" s="43" t="inlineStr">
        <is>
          <t>Tech A</t>
        </is>
      </c>
      <c r="C371" s="32" t="n">
        <v>31.9</v>
      </c>
      <c r="D371" s="32" t="n">
        <v>0</v>
      </c>
      <c r="E371" s="32" t="n">
        <v>0</v>
      </c>
      <c r="F371" s="32" t="n">
        <v>0</v>
      </c>
      <c r="G371" s="32">
        <f>C371+D371+E371+F371</f>
        <v/>
      </c>
    </row>
    <row r="372">
      <c r="A372" s="31" t="n">
        <v>45936</v>
      </c>
      <c r="B372" s="43" t="inlineStr">
        <is>
          <t>Tech B</t>
        </is>
      </c>
      <c r="C372" s="32" t="n">
        <v>53.2</v>
      </c>
      <c r="D372" s="32" t="n">
        <v>5.6</v>
      </c>
      <c r="E372" s="32" t="n">
        <v>0</v>
      </c>
      <c r="F372" s="32" t="n">
        <v>0</v>
      </c>
      <c r="G372" s="32">
        <f>C372+D372+E372+F372</f>
        <v/>
      </c>
    </row>
    <row r="373">
      <c r="A373" s="31" t="n">
        <v>45936</v>
      </c>
      <c r="B373" s="43" t="inlineStr">
        <is>
          <t>Tech C</t>
        </is>
      </c>
      <c r="C373" s="32" t="n">
        <v>54.6</v>
      </c>
      <c r="D373" s="32" t="n">
        <v>0</v>
      </c>
      <c r="E373" s="32" t="n">
        <v>2</v>
      </c>
      <c r="F373" s="32" t="n">
        <v>0</v>
      </c>
      <c r="G373" s="32">
        <f>C373+D373+E373+F373</f>
        <v/>
      </c>
    </row>
    <row r="374">
      <c r="A374" s="31" t="n">
        <v>45936</v>
      </c>
      <c r="B374" s="43" t="inlineStr">
        <is>
          <t>Tech D</t>
        </is>
      </c>
      <c r="C374" s="32" t="n">
        <v>35.4</v>
      </c>
      <c r="D374" s="32" t="n">
        <v>0</v>
      </c>
      <c r="E374" s="32" t="n">
        <v>0</v>
      </c>
      <c r="F374" s="32" t="n">
        <v>0</v>
      </c>
      <c r="G374" s="32">
        <f>C374+D374+E374+F374</f>
        <v/>
      </c>
    </row>
    <row r="375">
      <c r="A375" s="31" t="n">
        <v>45936</v>
      </c>
      <c r="B375" s="43" t="inlineStr">
        <is>
          <t>Tech E</t>
        </is>
      </c>
      <c r="C375" s="32" t="n">
        <v>28.7</v>
      </c>
      <c r="D375" s="32" t="n">
        <v>6.5</v>
      </c>
      <c r="E375" s="32" t="n">
        <v>1.7</v>
      </c>
      <c r="F375" s="32" t="n">
        <v>0</v>
      </c>
      <c r="G375" s="32">
        <f>C375+D375+E375+F375</f>
        <v/>
      </c>
    </row>
    <row r="376">
      <c r="A376" s="31" t="n">
        <v>45936</v>
      </c>
      <c r="B376" s="43" t="inlineStr">
        <is>
          <t>Tech F</t>
        </is>
      </c>
      <c r="C376" s="32" t="n">
        <v>32.4</v>
      </c>
      <c r="D376" s="32" t="n">
        <v>0</v>
      </c>
      <c r="E376" s="32" t="n">
        <v>0</v>
      </c>
      <c r="F376" s="32" t="n">
        <v>0</v>
      </c>
      <c r="G376" s="32">
        <f>C376+D376+E376+F376</f>
        <v/>
      </c>
    </row>
    <row r="377">
      <c r="A377" s="31" t="n">
        <v>45936</v>
      </c>
      <c r="B377" s="43" t="inlineStr">
        <is>
          <t>Tech G</t>
        </is>
      </c>
      <c r="C377" s="32" t="n">
        <v>37.8</v>
      </c>
      <c r="D377" s="32" t="n">
        <v>9.9</v>
      </c>
      <c r="E377" s="32" t="n">
        <v>1.3</v>
      </c>
      <c r="F377" s="32" t="n">
        <v>0</v>
      </c>
      <c r="G377" s="32">
        <f>C377+D377+E377+F377</f>
        <v/>
      </c>
    </row>
    <row r="378">
      <c r="A378" s="31" t="n">
        <v>45943</v>
      </c>
      <c r="B378" s="43" t="inlineStr">
        <is>
          <t>Tech A</t>
        </is>
      </c>
      <c r="C378" s="32" t="n">
        <v>44.4</v>
      </c>
      <c r="D378" s="32" t="n">
        <v>9.1</v>
      </c>
      <c r="E378" s="32" t="n">
        <v>0</v>
      </c>
      <c r="F378" s="32" t="n">
        <v>0</v>
      </c>
      <c r="G378" s="32">
        <f>C378+D378+E378+F378</f>
        <v/>
      </c>
    </row>
    <row r="379">
      <c r="A379" s="31" t="n">
        <v>45943</v>
      </c>
      <c r="B379" s="43" t="inlineStr">
        <is>
          <t>Tech B</t>
        </is>
      </c>
      <c r="C379" s="32" t="n">
        <v>41.4</v>
      </c>
      <c r="D379" s="32" t="n">
        <v>0</v>
      </c>
      <c r="E379" s="32" t="n">
        <v>0</v>
      </c>
      <c r="F379" s="32" t="n">
        <v>0</v>
      </c>
      <c r="G379" s="32">
        <f>C379+D379+E379+F379</f>
        <v/>
      </c>
    </row>
    <row r="380">
      <c r="A380" s="31" t="n">
        <v>45943</v>
      </c>
      <c r="B380" s="43" t="inlineStr">
        <is>
          <t>Tech C</t>
        </is>
      </c>
      <c r="C380" s="32" t="n">
        <v>43.6</v>
      </c>
      <c r="D380" s="32" t="n">
        <v>10.3</v>
      </c>
      <c r="E380" s="32" t="n">
        <v>0</v>
      </c>
      <c r="F380" s="32" t="n">
        <v>0</v>
      </c>
      <c r="G380" s="32">
        <f>C380+D380+E380+F380</f>
        <v/>
      </c>
    </row>
    <row r="381">
      <c r="A381" s="31" t="n">
        <v>45943</v>
      </c>
      <c r="B381" s="43" t="inlineStr">
        <is>
          <t>Tech D</t>
        </is>
      </c>
      <c r="C381" s="32" t="n">
        <v>45</v>
      </c>
      <c r="D381" s="32" t="n">
        <v>7.6</v>
      </c>
      <c r="E381" s="32" t="n">
        <v>0</v>
      </c>
      <c r="F381" s="32" t="n">
        <v>8</v>
      </c>
      <c r="G381" s="32">
        <f>C381+D381+E381+F381</f>
        <v/>
      </c>
    </row>
    <row r="382">
      <c r="A382" s="31" t="n">
        <v>45943</v>
      </c>
      <c r="B382" s="43" t="inlineStr">
        <is>
          <t>Tech E</t>
        </is>
      </c>
      <c r="C382" s="32" t="n">
        <v>28.8</v>
      </c>
      <c r="D382" s="32" t="n">
        <v>0</v>
      </c>
      <c r="E382" s="32" t="n">
        <v>0</v>
      </c>
      <c r="F382" s="32" t="n">
        <v>0</v>
      </c>
      <c r="G382" s="32">
        <f>C382+D382+E382+F382</f>
        <v/>
      </c>
    </row>
    <row r="383">
      <c r="A383" s="31" t="n">
        <v>45943</v>
      </c>
      <c r="B383" s="43" t="inlineStr">
        <is>
          <t>Tech F</t>
        </is>
      </c>
      <c r="C383" s="32" t="n">
        <v>28.2</v>
      </c>
      <c r="D383" s="32" t="n">
        <v>0</v>
      </c>
      <c r="E383" s="32" t="n">
        <v>0</v>
      </c>
      <c r="F383" s="32" t="n">
        <v>0</v>
      </c>
      <c r="G383" s="32">
        <f>C383+D383+E383+F383</f>
        <v/>
      </c>
    </row>
    <row r="384">
      <c r="A384" s="31" t="n">
        <v>45943</v>
      </c>
      <c r="B384" s="43" t="inlineStr">
        <is>
          <t>Tech G</t>
        </is>
      </c>
      <c r="C384" s="32" t="n">
        <v>27.6</v>
      </c>
      <c r="D384" s="32" t="n">
        <v>0</v>
      </c>
      <c r="E384" s="32" t="n">
        <v>0</v>
      </c>
      <c r="F384" s="32" t="n">
        <v>0</v>
      </c>
      <c r="G384" s="32">
        <f>C384+D384+E384+F384</f>
        <v/>
      </c>
    </row>
    <row r="385">
      <c r="A385" s="31" t="n">
        <v>45950</v>
      </c>
      <c r="B385" s="43" t="inlineStr">
        <is>
          <t>Tech A</t>
        </is>
      </c>
      <c r="C385" s="32" t="n">
        <v>33.2</v>
      </c>
      <c r="D385" s="32" t="n">
        <v>0</v>
      </c>
      <c r="E385" s="32" t="n">
        <v>3.3</v>
      </c>
      <c r="F385" s="32" t="n">
        <v>0</v>
      </c>
      <c r="G385" s="32">
        <f>C385+D385+E385+F385</f>
        <v/>
      </c>
    </row>
    <row r="386">
      <c r="A386" s="31" t="n">
        <v>45950</v>
      </c>
      <c r="B386" s="43" t="inlineStr">
        <is>
          <t>Tech B</t>
        </is>
      </c>
      <c r="C386" s="32" t="n">
        <v>17.7</v>
      </c>
      <c r="D386" s="32" t="n">
        <v>2.7</v>
      </c>
      <c r="E386" s="32" t="n">
        <v>0</v>
      </c>
      <c r="F386" s="32" t="n">
        <v>0</v>
      </c>
      <c r="G386" s="32">
        <f>C386+D386+E386+F386</f>
        <v/>
      </c>
    </row>
    <row r="387">
      <c r="A387" s="31" t="n">
        <v>45950</v>
      </c>
      <c r="B387" s="43" t="inlineStr">
        <is>
          <t>Tech C</t>
        </is>
      </c>
      <c r="C387" s="32" t="n">
        <v>20.3</v>
      </c>
      <c r="D387" s="32" t="n">
        <v>1.8</v>
      </c>
      <c r="E387" s="32" t="n">
        <v>0</v>
      </c>
      <c r="F387" s="32" t="n">
        <v>0</v>
      </c>
      <c r="G387" s="32">
        <f>C387+D387+E387+F387</f>
        <v/>
      </c>
    </row>
    <row r="388">
      <c r="A388" s="31" t="n">
        <v>45950</v>
      </c>
      <c r="B388" s="43" t="inlineStr">
        <is>
          <t>Tech D</t>
        </is>
      </c>
      <c r="C388" s="32" t="n">
        <v>26.5</v>
      </c>
      <c r="D388" s="32" t="n">
        <v>0</v>
      </c>
      <c r="E388" s="32" t="n">
        <v>1.5</v>
      </c>
      <c r="F388" s="32" t="n">
        <v>0</v>
      </c>
      <c r="G388" s="32">
        <f>C388+D388+E388+F388</f>
        <v/>
      </c>
    </row>
    <row r="389">
      <c r="A389" s="31" t="n">
        <v>45950</v>
      </c>
      <c r="B389" s="43" t="inlineStr">
        <is>
          <t>Tech E</t>
        </is>
      </c>
      <c r="C389" s="32" t="n">
        <v>46.7</v>
      </c>
      <c r="D389" s="32" t="n">
        <v>0</v>
      </c>
      <c r="E389" s="32" t="n">
        <v>0</v>
      </c>
      <c r="F389" s="32" t="n">
        <v>0</v>
      </c>
      <c r="G389" s="32">
        <f>C389+D389+E389+F389</f>
        <v/>
      </c>
    </row>
    <row r="390">
      <c r="A390" s="31" t="n">
        <v>45950</v>
      </c>
      <c r="B390" s="43" t="inlineStr">
        <is>
          <t>Tech F</t>
        </is>
      </c>
      <c r="C390" s="32" t="n">
        <v>36.7</v>
      </c>
      <c r="D390" s="32" t="n">
        <v>0</v>
      </c>
      <c r="E390" s="32" t="n">
        <v>0</v>
      </c>
      <c r="F390" s="32" t="n">
        <v>0</v>
      </c>
      <c r="G390" s="32">
        <f>C390+D390+E390+F390</f>
        <v/>
      </c>
    </row>
    <row r="391">
      <c r="A391" s="31" t="n">
        <v>45950</v>
      </c>
      <c r="B391" s="43" t="inlineStr">
        <is>
          <t>Tech G</t>
        </is>
      </c>
      <c r="C391" s="32" t="n">
        <v>43</v>
      </c>
      <c r="D391" s="32" t="n">
        <v>3.1</v>
      </c>
      <c r="E391" s="32" t="n">
        <v>3</v>
      </c>
      <c r="F391" s="32" t="n">
        <v>0</v>
      </c>
      <c r="G391" s="32">
        <f>C391+D391+E391+F391</f>
        <v/>
      </c>
    </row>
    <row r="392">
      <c r="A392" s="31" t="n">
        <v>45950</v>
      </c>
      <c r="B392" s="43" t="inlineStr">
        <is>
          <t>Tech H</t>
        </is>
      </c>
      <c r="C392" s="32" t="n">
        <v>35.9</v>
      </c>
      <c r="D392" s="32" t="n">
        <v>4.4</v>
      </c>
      <c r="E392" s="32" t="n">
        <v>2.2</v>
      </c>
      <c r="F392" s="32" t="n">
        <v>0</v>
      </c>
      <c r="G392" s="32">
        <f>C392+D392+E392+F392</f>
        <v/>
      </c>
    </row>
    <row r="393">
      <c r="A393" s="31" t="n">
        <v>45957</v>
      </c>
      <c r="B393" s="43" t="inlineStr">
        <is>
          <t>Tech A</t>
        </is>
      </c>
      <c r="C393" s="32" t="n">
        <v>17.8</v>
      </c>
      <c r="D393" s="32" t="n">
        <v>5.7</v>
      </c>
      <c r="E393" s="32" t="n">
        <v>0</v>
      </c>
      <c r="F393" s="32" t="n">
        <v>0</v>
      </c>
      <c r="G393" s="32">
        <f>C393+D393+E393+F393</f>
        <v/>
      </c>
    </row>
    <row r="394">
      <c r="A394" s="31" t="n">
        <v>45957</v>
      </c>
      <c r="B394" s="43" t="inlineStr">
        <is>
          <t>Tech B</t>
        </is>
      </c>
      <c r="C394" s="32" t="n">
        <v>32.1</v>
      </c>
      <c r="D394" s="32" t="n">
        <v>0</v>
      </c>
      <c r="E394" s="32" t="n">
        <v>0.9</v>
      </c>
      <c r="F394" s="32" t="n">
        <v>0</v>
      </c>
      <c r="G394" s="32">
        <f>C394+D394+E394+F394</f>
        <v/>
      </c>
    </row>
    <row r="395">
      <c r="A395" s="31" t="n">
        <v>45957</v>
      </c>
      <c r="B395" s="43" t="inlineStr">
        <is>
          <t>Tech C</t>
        </is>
      </c>
      <c r="C395" s="32" t="n">
        <v>31.6</v>
      </c>
      <c r="D395" s="32" t="n">
        <v>3.8</v>
      </c>
      <c r="E395" s="32" t="n">
        <v>1.2</v>
      </c>
      <c r="F395" s="32" t="n">
        <v>0</v>
      </c>
      <c r="G395" s="32">
        <f>C395+D395+E395+F395</f>
        <v/>
      </c>
    </row>
    <row r="396">
      <c r="A396" s="31" t="n">
        <v>45957</v>
      </c>
      <c r="B396" s="43" t="inlineStr">
        <is>
          <t>Tech D</t>
        </is>
      </c>
      <c r="C396" s="32" t="n">
        <v>46.6</v>
      </c>
      <c r="D396" s="32" t="n">
        <v>0</v>
      </c>
      <c r="E396" s="32" t="n">
        <v>0</v>
      </c>
      <c r="F396" s="32" t="n">
        <v>0</v>
      </c>
      <c r="G396" s="32">
        <f>C396+D396+E396+F396</f>
        <v/>
      </c>
    </row>
    <row r="397">
      <c r="A397" s="31" t="n">
        <v>45957</v>
      </c>
      <c r="B397" s="43" t="inlineStr">
        <is>
          <t>Tech E</t>
        </is>
      </c>
      <c r="C397" s="32" t="n">
        <v>33</v>
      </c>
      <c r="D397" s="32" t="n">
        <v>0</v>
      </c>
      <c r="E397" s="32" t="n">
        <v>1.2</v>
      </c>
      <c r="F397" s="32" t="n">
        <v>0</v>
      </c>
      <c r="G397" s="32">
        <f>C397+D397+E397+F397</f>
        <v/>
      </c>
    </row>
    <row r="398">
      <c r="A398" s="31" t="n">
        <v>45957</v>
      </c>
      <c r="B398" s="43" t="inlineStr">
        <is>
          <t>Tech F</t>
        </is>
      </c>
      <c r="C398" s="32" t="n">
        <v>27.9</v>
      </c>
      <c r="D398" s="32" t="n">
        <v>4.9</v>
      </c>
      <c r="E398" s="32" t="n">
        <v>0</v>
      </c>
      <c r="F398" s="32" t="n">
        <v>0</v>
      </c>
      <c r="G398" s="32">
        <f>C398+D398+E398+F398</f>
        <v/>
      </c>
    </row>
    <row r="399">
      <c r="A399" s="31" t="n">
        <v>45957</v>
      </c>
      <c r="B399" s="43" t="inlineStr">
        <is>
          <t>Tech G</t>
        </is>
      </c>
      <c r="C399" s="32" t="n">
        <v>30.4</v>
      </c>
      <c r="D399" s="32" t="n">
        <v>0</v>
      </c>
      <c r="E399" s="32" t="n">
        <v>1.7</v>
      </c>
      <c r="F399" s="32" t="n">
        <v>0</v>
      </c>
      <c r="G399" s="32">
        <f>C399+D399+E399+F399</f>
        <v/>
      </c>
    </row>
    <row r="400">
      <c r="A400" s="31" t="n">
        <v>45957</v>
      </c>
      <c r="B400" s="43" t="inlineStr">
        <is>
          <t>Tech H</t>
        </is>
      </c>
      <c r="C400" s="32" t="n">
        <v>35.6</v>
      </c>
      <c r="D400" s="32" t="n">
        <v>7.6</v>
      </c>
      <c r="E400" s="32" t="n">
        <v>0</v>
      </c>
      <c r="F400" s="32" t="n">
        <v>0</v>
      </c>
      <c r="G400" s="32">
        <f>C400+D400+E400+F400</f>
        <v/>
      </c>
    </row>
    <row r="401">
      <c r="A401" s="31" t="n">
        <v>45964</v>
      </c>
      <c r="B401" s="43" t="inlineStr">
        <is>
          <t>Tech A</t>
        </is>
      </c>
      <c r="C401" s="32" t="n">
        <v>16.2</v>
      </c>
      <c r="D401" s="32" t="n">
        <v>9.9</v>
      </c>
      <c r="E401" s="32" t="n">
        <v>0</v>
      </c>
      <c r="F401" s="32" t="n">
        <v>0</v>
      </c>
      <c r="G401" s="32">
        <f>C401+D401+E401+F401</f>
        <v/>
      </c>
    </row>
    <row r="402">
      <c r="A402" s="31" t="n">
        <v>45964</v>
      </c>
      <c r="B402" s="43" t="inlineStr">
        <is>
          <t>Tech B</t>
        </is>
      </c>
      <c r="C402" s="32" t="n">
        <v>21.1</v>
      </c>
      <c r="D402" s="32" t="n">
        <v>0</v>
      </c>
      <c r="E402" s="32" t="n">
        <v>0</v>
      </c>
      <c r="F402" s="32" t="n">
        <v>0</v>
      </c>
      <c r="G402" s="32">
        <f>C402+D402+E402+F402</f>
        <v/>
      </c>
    </row>
    <row r="403">
      <c r="A403" s="31" t="n">
        <v>45964</v>
      </c>
      <c r="B403" s="43" t="inlineStr">
        <is>
          <t>Tech C</t>
        </is>
      </c>
      <c r="C403" s="32" t="n">
        <v>38.9</v>
      </c>
      <c r="D403" s="32" t="n">
        <v>4</v>
      </c>
      <c r="E403" s="32" t="n">
        <v>0</v>
      </c>
      <c r="F403" s="32" t="n">
        <v>0</v>
      </c>
      <c r="G403" s="32">
        <f>C403+D403+E403+F403</f>
        <v/>
      </c>
    </row>
    <row r="404">
      <c r="A404" s="31" t="n">
        <v>45964</v>
      </c>
      <c r="B404" s="43" t="inlineStr">
        <is>
          <t>Tech D</t>
        </is>
      </c>
      <c r="C404" s="32" t="n">
        <v>41.8</v>
      </c>
      <c r="D404" s="32" t="n">
        <v>8.4</v>
      </c>
      <c r="E404" s="32" t="n">
        <v>0.7</v>
      </c>
      <c r="F404" s="32" t="n">
        <v>0</v>
      </c>
      <c r="G404" s="32">
        <f>C404+D404+E404+F404</f>
        <v/>
      </c>
    </row>
    <row r="405">
      <c r="A405" s="31" t="n">
        <v>45964</v>
      </c>
      <c r="B405" s="43" t="inlineStr">
        <is>
          <t>Tech E</t>
        </is>
      </c>
      <c r="C405" s="32" t="n">
        <v>24.6</v>
      </c>
      <c r="D405" s="32" t="n">
        <v>0</v>
      </c>
      <c r="E405" s="32" t="n">
        <v>0</v>
      </c>
      <c r="F405" s="32" t="n">
        <v>0</v>
      </c>
      <c r="G405" s="32">
        <f>C405+D405+E405+F405</f>
        <v/>
      </c>
    </row>
    <row r="406">
      <c r="A406" s="31" t="n">
        <v>45964</v>
      </c>
      <c r="B406" s="43" t="inlineStr">
        <is>
          <t>Tech F</t>
        </is>
      </c>
      <c r="C406" s="32" t="n">
        <v>24.4</v>
      </c>
      <c r="D406" s="32" t="n">
        <v>0</v>
      </c>
      <c r="E406" s="32" t="n">
        <v>1.1</v>
      </c>
      <c r="F406" s="32" t="n">
        <v>0</v>
      </c>
      <c r="G406" s="32">
        <f>C406+D406+E406+F406</f>
        <v/>
      </c>
    </row>
    <row r="407">
      <c r="A407" s="31" t="n">
        <v>45964</v>
      </c>
      <c r="B407" s="43" t="inlineStr">
        <is>
          <t>Tech G</t>
        </is>
      </c>
      <c r="C407" s="32" t="n">
        <v>27.1</v>
      </c>
      <c r="D407" s="32" t="n">
        <v>5.7</v>
      </c>
      <c r="E407" s="32" t="n">
        <v>0.6</v>
      </c>
      <c r="F407" s="32" t="n">
        <v>0</v>
      </c>
      <c r="G407" s="32">
        <f>C407+D407+E407+F407</f>
        <v/>
      </c>
    </row>
    <row r="408">
      <c r="A408" s="31" t="n">
        <v>45964</v>
      </c>
      <c r="B408" s="43" t="inlineStr">
        <is>
          <t>Tech H</t>
        </is>
      </c>
      <c r="C408" s="32" t="n">
        <v>39.6</v>
      </c>
      <c r="D408" s="32" t="n">
        <v>0</v>
      </c>
      <c r="E408" s="32" t="n">
        <v>0</v>
      </c>
      <c r="F408" s="32" t="n">
        <v>0</v>
      </c>
      <c r="G408" s="32">
        <f>C408+D408+E408+F408</f>
        <v/>
      </c>
    </row>
    <row r="409">
      <c r="A409" s="31" t="n">
        <v>45964</v>
      </c>
      <c r="B409" s="43" t="inlineStr">
        <is>
          <t>Tech I</t>
        </is>
      </c>
      <c r="C409" s="32" t="n">
        <v>29.3</v>
      </c>
      <c r="D409" s="32" t="n">
        <v>0</v>
      </c>
      <c r="E409" s="32" t="n">
        <v>0.6</v>
      </c>
      <c r="F409" s="32" t="n">
        <v>0</v>
      </c>
      <c r="G409" s="32">
        <f>C409+D409+E409+F409</f>
        <v/>
      </c>
    </row>
    <row r="410">
      <c r="A410" s="31" t="n">
        <v>45971</v>
      </c>
      <c r="B410" s="43" t="inlineStr">
        <is>
          <t>Tech A</t>
        </is>
      </c>
      <c r="C410" s="32" t="n">
        <v>26.7</v>
      </c>
      <c r="D410" s="32" t="n">
        <v>0</v>
      </c>
      <c r="E410" s="32" t="n">
        <v>1</v>
      </c>
      <c r="F410" s="32" t="n">
        <v>0</v>
      </c>
      <c r="G410" s="32">
        <f>C410+D410+E410+F410</f>
        <v/>
      </c>
    </row>
    <row r="411">
      <c r="A411" s="31" t="n">
        <v>45971</v>
      </c>
      <c r="B411" s="43" t="inlineStr">
        <is>
          <t>Tech B</t>
        </is>
      </c>
      <c r="C411" s="32" t="n">
        <v>20.2</v>
      </c>
      <c r="D411" s="32" t="n">
        <v>0</v>
      </c>
      <c r="E411" s="32" t="n">
        <v>0.9</v>
      </c>
      <c r="F411" s="32" t="n">
        <v>0</v>
      </c>
      <c r="G411" s="32">
        <f>C411+D411+E411+F411</f>
        <v/>
      </c>
    </row>
    <row r="412">
      <c r="A412" s="31" t="n">
        <v>45971</v>
      </c>
      <c r="B412" s="43" t="inlineStr">
        <is>
          <t>Tech C</t>
        </is>
      </c>
      <c r="C412" s="32" t="n">
        <v>27.8</v>
      </c>
      <c r="D412" s="32" t="n">
        <v>9.199999999999999</v>
      </c>
      <c r="E412" s="32" t="n">
        <v>0.7</v>
      </c>
      <c r="F412" s="32" t="n">
        <v>0</v>
      </c>
      <c r="G412" s="32">
        <f>C412+D412+E412+F412</f>
        <v/>
      </c>
    </row>
    <row r="413">
      <c r="A413" s="31" t="n">
        <v>45971</v>
      </c>
      <c r="B413" s="43" t="inlineStr">
        <is>
          <t>Tech D</t>
        </is>
      </c>
      <c r="C413" s="32" t="n">
        <v>26.7</v>
      </c>
      <c r="D413" s="32" t="n">
        <v>0</v>
      </c>
      <c r="E413" s="32" t="n">
        <v>0</v>
      </c>
      <c r="F413" s="32" t="n">
        <v>0</v>
      </c>
      <c r="G413" s="32">
        <f>C413+D413+E413+F413</f>
        <v/>
      </c>
    </row>
    <row r="414">
      <c r="A414" s="31" t="n">
        <v>45971</v>
      </c>
      <c r="B414" s="43" t="inlineStr">
        <is>
          <t>Tech E</t>
        </is>
      </c>
      <c r="C414" s="32" t="n">
        <v>31.8</v>
      </c>
      <c r="D414" s="32" t="n">
        <v>0</v>
      </c>
      <c r="E414" s="32" t="n">
        <v>0</v>
      </c>
      <c r="F414" s="32" t="n">
        <v>4</v>
      </c>
      <c r="G414" s="32">
        <f>C414+D414+E414+F414</f>
        <v/>
      </c>
    </row>
    <row r="415">
      <c r="A415" s="31" t="n">
        <v>45971</v>
      </c>
      <c r="B415" s="43" t="inlineStr">
        <is>
          <t>Tech F</t>
        </is>
      </c>
      <c r="C415" s="32" t="n">
        <v>40.9</v>
      </c>
      <c r="D415" s="32" t="n">
        <v>9</v>
      </c>
      <c r="E415" s="32" t="n">
        <v>0.4</v>
      </c>
      <c r="F415" s="32" t="n">
        <v>0</v>
      </c>
      <c r="G415" s="32">
        <f>C415+D415+E415+F415</f>
        <v/>
      </c>
    </row>
    <row r="416">
      <c r="A416" s="31" t="n">
        <v>45971</v>
      </c>
      <c r="B416" s="43" t="inlineStr">
        <is>
          <t>Tech G</t>
        </is>
      </c>
      <c r="C416" s="32" t="n">
        <v>22.4</v>
      </c>
      <c r="D416" s="32" t="n">
        <v>3.6</v>
      </c>
      <c r="E416" s="32" t="n">
        <v>0</v>
      </c>
      <c r="F416" s="32" t="n">
        <v>0</v>
      </c>
      <c r="G416" s="32">
        <f>C416+D416+E416+F416</f>
        <v/>
      </c>
    </row>
    <row r="417">
      <c r="A417" s="31" t="n">
        <v>45971</v>
      </c>
      <c r="B417" s="43" t="inlineStr">
        <is>
          <t>Tech H</t>
        </is>
      </c>
      <c r="C417" s="32" t="n">
        <v>31.7</v>
      </c>
      <c r="D417" s="32" t="n">
        <v>0</v>
      </c>
      <c r="E417" s="32" t="n">
        <v>0</v>
      </c>
      <c r="F417" s="32" t="n">
        <v>0</v>
      </c>
      <c r="G417" s="32">
        <f>C417+D417+E417+F417</f>
        <v/>
      </c>
    </row>
    <row r="418">
      <c r="A418" s="31" t="n">
        <v>45971</v>
      </c>
      <c r="B418" s="43" t="inlineStr">
        <is>
          <t>Tech I</t>
        </is>
      </c>
      <c r="C418" s="32" t="n">
        <v>31.8</v>
      </c>
      <c r="D418" s="32" t="n">
        <v>7.2</v>
      </c>
      <c r="E418" s="32" t="n">
        <v>0</v>
      </c>
      <c r="F418" s="32" t="n">
        <v>0</v>
      </c>
      <c r="G418" s="32">
        <f>C418+D418+E418+F418</f>
        <v/>
      </c>
    </row>
    <row r="419">
      <c r="A419" s="31" t="n">
        <v>45978</v>
      </c>
      <c r="B419" s="43" t="inlineStr">
        <is>
          <t>Tech A</t>
        </is>
      </c>
      <c r="C419" s="32" t="n">
        <v>35.6</v>
      </c>
      <c r="D419" s="32" t="n">
        <v>5.6</v>
      </c>
      <c r="E419" s="32" t="n">
        <v>0.6</v>
      </c>
      <c r="F419" s="32" t="n">
        <v>0</v>
      </c>
      <c r="G419" s="32">
        <f>C419+D419+E419+F419</f>
        <v/>
      </c>
    </row>
    <row r="420">
      <c r="A420" s="31" t="n">
        <v>45978</v>
      </c>
      <c r="B420" s="43" t="inlineStr">
        <is>
          <t>Tech B</t>
        </is>
      </c>
      <c r="C420" s="32" t="n">
        <v>34.1</v>
      </c>
      <c r="D420" s="32" t="n">
        <v>0</v>
      </c>
      <c r="E420" s="32" t="n">
        <v>0.4</v>
      </c>
      <c r="F420" s="32" t="n">
        <v>0</v>
      </c>
      <c r="G420" s="32">
        <f>C420+D420+E420+F420</f>
        <v/>
      </c>
    </row>
    <row r="421">
      <c r="A421" s="31" t="n">
        <v>45978</v>
      </c>
      <c r="B421" s="43" t="inlineStr">
        <is>
          <t>Tech C</t>
        </is>
      </c>
      <c r="C421" s="32" t="n">
        <v>29.8</v>
      </c>
      <c r="D421" s="32" t="n">
        <v>5.3</v>
      </c>
      <c r="E421" s="32" t="n">
        <v>0</v>
      </c>
      <c r="F421" s="32" t="n">
        <v>0</v>
      </c>
      <c r="G421" s="32">
        <f>C421+D421+E421+F421</f>
        <v/>
      </c>
    </row>
    <row r="422">
      <c r="A422" s="31" t="n">
        <v>45978</v>
      </c>
      <c r="B422" s="43" t="inlineStr">
        <is>
          <t>Tech D</t>
        </is>
      </c>
      <c r="C422" s="32" t="n">
        <v>38.1</v>
      </c>
      <c r="D422" s="32" t="n">
        <v>0</v>
      </c>
      <c r="E422" s="32" t="n">
        <v>0</v>
      </c>
      <c r="F422" s="32" t="n">
        <v>0</v>
      </c>
      <c r="G422" s="32">
        <f>C422+D422+E422+F422</f>
        <v/>
      </c>
    </row>
    <row r="423">
      <c r="A423" s="31" t="n">
        <v>45978</v>
      </c>
      <c r="B423" s="43" t="inlineStr">
        <is>
          <t>Tech E</t>
        </is>
      </c>
      <c r="C423" s="32" t="n">
        <v>24.9</v>
      </c>
      <c r="D423" s="32" t="n">
        <v>3.2</v>
      </c>
      <c r="E423" s="32" t="n">
        <v>0</v>
      </c>
      <c r="F423" s="32" t="n">
        <v>0</v>
      </c>
      <c r="G423" s="32">
        <f>C423+D423+E423+F423</f>
        <v/>
      </c>
    </row>
    <row r="424">
      <c r="A424" s="31" t="n">
        <v>45978</v>
      </c>
      <c r="B424" s="43" t="inlineStr">
        <is>
          <t>Tech F</t>
        </is>
      </c>
      <c r="C424" s="32" t="n">
        <v>20.3</v>
      </c>
      <c r="D424" s="32" t="n">
        <v>0</v>
      </c>
      <c r="E424" s="32" t="n">
        <v>0</v>
      </c>
      <c r="F424" s="32" t="n">
        <v>0</v>
      </c>
      <c r="G424" s="32">
        <f>C424+D424+E424+F424</f>
        <v/>
      </c>
    </row>
    <row r="425">
      <c r="A425" s="31" t="n">
        <v>45978</v>
      </c>
      <c r="B425" s="43" t="inlineStr">
        <is>
          <t>Tech G</t>
        </is>
      </c>
      <c r="C425" s="32" t="n">
        <v>41</v>
      </c>
      <c r="D425" s="32" t="n">
        <v>4.9</v>
      </c>
      <c r="E425" s="32" t="n">
        <v>0.6</v>
      </c>
      <c r="F425" s="32" t="n">
        <v>0</v>
      </c>
      <c r="G425" s="32">
        <f>C425+D425+E425+F425</f>
        <v/>
      </c>
    </row>
    <row r="426">
      <c r="A426" s="31" t="n">
        <v>45978</v>
      </c>
      <c r="B426" s="43" t="inlineStr">
        <is>
          <t>Tech H</t>
        </is>
      </c>
      <c r="C426" s="32" t="n">
        <v>33.2</v>
      </c>
      <c r="D426" s="32" t="n">
        <v>0</v>
      </c>
      <c r="E426" s="32" t="n">
        <v>0.4</v>
      </c>
      <c r="F426" s="32" t="n">
        <v>0</v>
      </c>
      <c r="G426" s="32">
        <f>C426+D426+E426+F426</f>
        <v/>
      </c>
    </row>
    <row r="427">
      <c r="A427" s="31" t="n">
        <v>45985</v>
      </c>
      <c r="B427" s="43" t="inlineStr">
        <is>
          <t>Tech A</t>
        </is>
      </c>
      <c r="C427" s="32" t="n">
        <v>38</v>
      </c>
      <c r="D427" s="32" t="n">
        <v>4.1</v>
      </c>
      <c r="E427" s="32" t="n">
        <v>0.7</v>
      </c>
      <c r="F427" s="32" t="n">
        <v>0</v>
      </c>
      <c r="G427" s="32">
        <f>C427+D427+E427+F427</f>
        <v/>
      </c>
    </row>
    <row r="428">
      <c r="A428" s="31" t="n">
        <v>45985</v>
      </c>
      <c r="B428" s="43" t="inlineStr">
        <is>
          <t>Tech B</t>
        </is>
      </c>
      <c r="C428" s="32" t="n">
        <v>34.1</v>
      </c>
      <c r="D428" s="32" t="n">
        <v>5.1</v>
      </c>
      <c r="E428" s="32" t="n">
        <v>0</v>
      </c>
      <c r="F428" s="32" t="n">
        <v>0</v>
      </c>
      <c r="G428" s="32">
        <f>C428+D428+E428+F428</f>
        <v/>
      </c>
    </row>
    <row r="429">
      <c r="A429" s="31" t="n">
        <v>45985</v>
      </c>
      <c r="B429" s="43" t="inlineStr">
        <is>
          <t>Tech C</t>
        </is>
      </c>
      <c r="C429" s="32" t="n">
        <v>40.1</v>
      </c>
      <c r="D429" s="32" t="n">
        <v>4.6</v>
      </c>
      <c r="E429" s="32" t="n">
        <v>1.3</v>
      </c>
      <c r="F429" s="32" t="n">
        <v>0</v>
      </c>
      <c r="G429" s="32">
        <f>C429+D429+E429+F429</f>
        <v/>
      </c>
    </row>
    <row r="430">
      <c r="A430" s="31" t="n">
        <v>45985</v>
      </c>
      <c r="B430" s="43" t="inlineStr">
        <is>
          <t>Tech D</t>
        </is>
      </c>
      <c r="C430" s="32" t="n">
        <v>32</v>
      </c>
      <c r="D430" s="32" t="n">
        <v>7.2</v>
      </c>
      <c r="E430" s="32" t="n">
        <v>0</v>
      </c>
      <c r="F430" s="32" t="n">
        <v>0</v>
      </c>
      <c r="G430" s="32">
        <f>C430+D430+E430+F430</f>
        <v/>
      </c>
    </row>
    <row r="431">
      <c r="A431" s="31" t="n">
        <v>45985</v>
      </c>
      <c r="B431" s="43" t="inlineStr">
        <is>
          <t>Tech E</t>
        </is>
      </c>
      <c r="C431" s="32" t="n">
        <v>36.4</v>
      </c>
      <c r="D431" s="32" t="n">
        <v>0</v>
      </c>
      <c r="E431" s="32" t="n">
        <v>1.1</v>
      </c>
      <c r="F431" s="32" t="n">
        <v>0</v>
      </c>
      <c r="G431" s="32">
        <f>C431+D431+E431+F431</f>
        <v/>
      </c>
    </row>
    <row r="432">
      <c r="A432" s="31" t="n">
        <v>45985</v>
      </c>
      <c r="B432" s="43" t="inlineStr">
        <is>
          <t>Tech F</t>
        </is>
      </c>
      <c r="C432" s="32" t="n">
        <v>28.4</v>
      </c>
      <c r="D432" s="32" t="n">
        <v>0</v>
      </c>
      <c r="E432" s="32" t="n">
        <v>0.9</v>
      </c>
      <c r="F432" s="32" t="n">
        <v>0</v>
      </c>
      <c r="G432" s="32">
        <f>C432+D432+E432+F432</f>
        <v/>
      </c>
    </row>
    <row r="433">
      <c r="A433" s="31" t="n">
        <v>45985</v>
      </c>
      <c r="B433" s="43" t="inlineStr">
        <is>
          <t>Tech G</t>
        </is>
      </c>
      <c r="C433" s="32" t="n">
        <v>17.5</v>
      </c>
      <c r="D433" s="32" t="n">
        <v>0</v>
      </c>
      <c r="E433" s="32" t="n">
        <v>0</v>
      </c>
      <c r="F433" s="32" t="n">
        <v>0</v>
      </c>
      <c r="G433" s="32">
        <f>C433+D433+E433+F433</f>
        <v/>
      </c>
    </row>
    <row r="434">
      <c r="A434" s="31" t="n">
        <v>45985</v>
      </c>
      <c r="B434" s="43" t="inlineStr">
        <is>
          <t>Tech H</t>
        </is>
      </c>
      <c r="C434" s="32" t="n">
        <v>19.5</v>
      </c>
      <c r="D434" s="32" t="n">
        <v>0</v>
      </c>
      <c r="E434" s="32" t="n">
        <v>0</v>
      </c>
      <c r="F434" s="32" t="n">
        <v>0</v>
      </c>
      <c r="G434" s="32">
        <f>C434+D434+E434+F434</f>
        <v/>
      </c>
    </row>
    <row r="435">
      <c r="A435" s="31" t="n">
        <v>45992</v>
      </c>
      <c r="B435" s="43" t="inlineStr">
        <is>
          <t>Tech A</t>
        </is>
      </c>
      <c r="C435" s="32" t="n">
        <v>36.6</v>
      </c>
      <c r="D435" s="32" t="n">
        <v>0</v>
      </c>
      <c r="E435" s="32" t="n">
        <v>0.7</v>
      </c>
      <c r="F435" s="32" t="n">
        <v>0</v>
      </c>
      <c r="G435" s="32">
        <f>C435+D435+E435+F435</f>
        <v/>
      </c>
    </row>
    <row r="436">
      <c r="A436" s="31" t="n">
        <v>45992</v>
      </c>
      <c r="B436" s="43" t="inlineStr">
        <is>
          <t>Tech B</t>
        </is>
      </c>
      <c r="C436" s="32" t="n">
        <v>34</v>
      </c>
      <c r="D436" s="32" t="n">
        <v>4.1</v>
      </c>
      <c r="E436" s="32" t="n">
        <v>0</v>
      </c>
      <c r="F436" s="32" t="n">
        <v>0</v>
      </c>
      <c r="G436" s="32">
        <f>C436+D436+E436+F436</f>
        <v/>
      </c>
    </row>
    <row r="437">
      <c r="A437" s="31" t="n">
        <v>45992</v>
      </c>
      <c r="B437" s="43" t="inlineStr">
        <is>
          <t>Tech C</t>
        </is>
      </c>
      <c r="C437" s="32" t="n">
        <v>30.3</v>
      </c>
      <c r="D437" s="32" t="n">
        <v>5.1</v>
      </c>
      <c r="E437" s="32" t="n">
        <v>1.4</v>
      </c>
      <c r="F437" s="32" t="n">
        <v>0</v>
      </c>
      <c r="G437" s="32">
        <f>C437+D437+E437+F437</f>
        <v/>
      </c>
    </row>
    <row r="438">
      <c r="A438" s="31" t="n">
        <v>45992</v>
      </c>
      <c r="B438" s="43" t="inlineStr">
        <is>
          <t>Tech D</t>
        </is>
      </c>
      <c r="C438" s="32" t="n">
        <v>18.1</v>
      </c>
      <c r="D438" s="32" t="n">
        <v>0</v>
      </c>
      <c r="E438" s="32" t="n">
        <v>0</v>
      </c>
      <c r="F438" s="32" t="n">
        <v>0</v>
      </c>
      <c r="G438" s="32">
        <f>C438+D438+E438+F438</f>
        <v/>
      </c>
    </row>
    <row r="439">
      <c r="A439" s="31" t="n">
        <v>45992</v>
      </c>
      <c r="B439" s="43" t="inlineStr">
        <is>
          <t>Tech E</t>
        </is>
      </c>
      <c r="C439" s="32" t="n">
        <v>38.7</v>
      </c>
      <c r="D439" s="32" t="n">
        <v>7.5</v>
      </c>
      <c r="E439" s="32" t="n">
        <v>0.8</v>
      </c>
      <c r="F439" s="32" t="n">
        <v>0</v>
      </c>
      <c r="G439" s="32">
        <f>C439+D439+E439+F439</f>
        <v/>
      </c>
    </row>
    <row r="440">
      <c r="A440" s="31" t="n">
        <v>45992</v>
      </c>
      <c r="B440" s="43" t="inlineStr">
        <is>
          <t>Tech F</t>
        </is>
      </c>
      <c r="C440" s="32" t="n">
        <v>24.8</v>
      </c>
      <c r="D440" s="32" t="n">
        <v>0</v>
      </c>
      <c r="E440" s="32" t="n">
        <v>0</v>
      </c>
      <c r="F440" s="32" t="n">
        <v>0</v>
      </c>
      <c r="G440" s="32">
        <f>C440+D440+E440+F440</f>
        <v/>
      </c>
    </row>
    <row r="441">
      <c r="A441" s="31" t="n">
        <v>45992</v>
      </c>
      <c r="B441" s="43" t="inlineStr">
        <is>
          <t>Tech G</t>
        </is>
      </c>
      <c r="C441" s="32" t="n">
        <v>37.5</v>
      </c>
      <c r="D441" s="32" t="n">
        <v>0</v>
      </c>
      <c r="E441" s="32" t="n">
        <v>1.1</v>
      </c>
      <c r="F441" s="32" t="n">
        <v>0</v>
      </c>
      <c r="G441" s="32">
        <f>C441+D441+E441+F441</f>
        <v/>
      </c>
    </row>
    <row r="442">
      <c r="A442" s="31" t="n">
        <v>45992</v>
      </c>
      <c r="B442" s="43" t="inlineStr">
        <is>
          <t>Tech H</t>
        </is>
      </c>
      <c r="C442" s="32" t="n">
        <v>15</v>
      </c>
      <c r="D442" s="32" t="n">
        <v>5.3</v>
      </c>
      <c r="E442" s="32" t="n">
        <v>0</v>
      </c>
      <c r="F442" s="32" t="n">
        <v>0</v>
      </c>
      <c r="G442" s="32">
        <f>C442+D442+E442+F442</f>
        <v/>
      </c>
    </row>
    <row r="443">
      <c r="A443" s="31" t="n">
        <v>45999</v>
      </c>
      <c r="B443" s="43" t="inlineStr">
        <is>
          <t>Tech A</t>
        </is>
      </c>
      <c r="C443" s="32" t="n">
        <v>30.7</v>
      </c>
      <c r="D443" s="32" t="n">
        <v>0</v>
      </c>
      <c r="E443" s="32" t="n">
        <v>0</v>
      </c>
      <c r="F443" s="32" t="n">
        <v>0</v>
      </c>
      <c r="G443" s="32">
        <f>C443+D443+E443+F443</f>
        <v/>
      </c>
    </row>
    <row r="444">
      <c r="A444" s="31" t="n">
        <v>45999</v>
      </c>
      <c r="B444" s="43" t="inlineStr">
        <is>
          <t>Tech B</t>
        </is>
      </c>
      <c r="C444" s="32" t="n">
        <v>52.2</v>
      </c>
      <c r="D444" s="32" t="n">
        <v>8.800000000000001</v>
      </c>
      <c r="E444" s="32" t="n">
        <v>0</v>
      </c>
      <c r="F444" s="32" t="n">
        <v>0</v>
      </c>
      <c r="G444" s="32">
        <f>C444+D444+E444+F444</f>
        <v/>
      </c>
    </row>
    <row r="445">
      <c r="A445" s="31" t="n">
        <v>45999</v>
      </c>
      <c r="B445" s="43" t="inlineStr">
        <is>
          <t>Tech C</t>
        </is>
      </c>
      <c r="C445" s="32" t="n">
        <v>19.9</v>
      </c>
      <c r="D445" s="32" t="n">
        <v>6.3</v>
      </c>
      <c r="E445" s="32" t="n">
        <v>0</v>
      </c>
      <c r="F445" s="32" t="n">
        <v>0</v>
      </c>
      <c r="G445" s="32">
        <f>C445+D445+E445+F445</f>
        <v/>
      </c>
    </row>
    <row r="446">
      <c r="A446" s="31" t="n">
        <v>45999</v>
      </c>
      <c r="B446" s="43" t="inlineStr">
        <is>
          <t>Tech D</t>
        </is>
      </c>
      <c r="C446" s="32" t="n">
        <v>50</v>
      </c>
      <c r="D446" s="32" t="n">
        <v>0</v>
      </c>
      <c r="E446" s="32" t="n">
        <v>0</v>
      </c>
      <c r="F446" s="32" t="n">
        <v>0</v>
      </c>
      <c r="G446" s="32">
        <f>C446+D446+E446+F446</f>
        <v/>
      </c>
    </row>
    <row r="447">
      <c r="A447" s="31" t="n">
        <v>45999</v>
      </c>
      <c r="B447" s="43" t="inlineStr">
        <is>
          <t>Tech E</t>
        </is>
      </c>
      <c r="C447" s="32" t="n">
        <v>21.3</v>
      </c>
      <c r="D447" s="32" t="n">
        <v>0</v>
      </c>
      <c r="E447" s="32" t="n">
        <v>0</v>
      </c>
      <c r="F447" s="32" t="n">
        <v>0</v>
      </c>
      <c r="G447" s="32">
        <f>C447+D447+E447+F447</f>
        <v/>
      </c>
    </row>
    <row r="448">
      <c r="A448" s="31" t="n">
        <v>45999</v>
      </c>
      <c r="B448" s="43" t="inlineStr">
        <is>
          <t>Tech F</t>
        </is>
      </c>
      <c r="C448" s="32" t="n">
        <v>53.2</v>
      </c>
      <c r="D448" s="32" t="n">
        <v>7.9</v>
      </c>
      <c r="E448" s="32" t="n">
        <v>0</v>
      </c>
      <c r="F448" s="32" t="n">
        <v>0</v>
      </c>
      <c r="G448" s="32">
        <f>C448+D448+E448+F448</f>
        <v/>
      </c>
    </row>
    <row r="449">
      <c r="A449" s="31" t="n">
        <v>45999</v>
      </c>
      <c r="B449" s="43" t="inlineStr">
        <is>
          <t>Tech G</t>
        </is>
      </c>
      <c r="C449" s="32" t="n">
        <v>46.7</v>
      </c>
      <c r="D449" s="32" t="n">
        <v>0</v>
      </c>
      <c r="E449" s="32" t="n">
        <v>0</v>
      </c>
      <c r="F449" s="32" t="n">
        <v>0</v>
      </c>
      <c r="G449" s="32">
        <f>C449+D449+E449+F449</f>
        <v/>
      </c>
    </row>
    <row r="450">
      <c r="A450" s="31" t="n">
        <v>46006</v>
      </c>
      <c r="B450" s="43" t="inlineStr">
        <is>
          <t>Tech A</t>
        </is>
      </c>
      <c r="C450" s="32" t="n">
        <v>35.5</v>
      </c>
      <c r="D450" s="32" t="n">
        <v>0</v>
      </c>
      <c r="E450" s="32" t="n">
        <v>0</v>
      </c>
      <c r="F450" s="32" t="n">
        <v>0</v>
      </c>
      <c r="G450" s="32">
        <f>C450+D450+E450+F450</f>
        <v/>
      </c>
    </row>
    <row r="451">
      <c r="A451" s="31" t="n">
        <v>46006</v>
      </c>
      <c r="B451" s="43" t="inlineStr">
        <is>
          <t>Tech B</t>
        </is>
      </c>
      <c r="C451" s="32" t="n">
        <v>25.5</v>
      </c>
      <c r="D451" s="32" t="n">
        <v>0</v>
      </c>
      <c r="E451" s="32" t="n">
        <v>3</v>
      </c>
      <c r="F451" s="32" t="n">
        <v>0</v>
      </c>
      <c r="G451" s="32">
        <f>C451+D451+E451+F451</f>
        <v/>
      </c>
    </row>
    <row r="452">
      <c r="A452" s="31" t="n">
        <v>46006</v>
      </c>
      <c r="B452" s="43" t="inlineStr">
        <is>
          <t>Tech C</t>
        </is>
      </c>
      <c r="C452" s="32" t="n">
        <v>24.9</v>
      </c>
      <c r="D452" s="32" t="n">
        <v>5.5</v>
      </c>
      <c r="E452" s="32" t="n">
        <v>2.3</v>
      </c>
      <c r="F452" s="32" t="n">
        <v>0</v>
      </c>
      <c r="G452" s="32">
        <f>C452+D452+E452+F452</f>
        <v/>
      </c>
    </row>
    <row r="453">
      <c r="A453" s="31" t="n">
        <v>46006</v>
      </c>
      <c r="B453" s="43" t="inlineStr">
        <is>
          <t>Tech D</t>
        </is>
      </c>
      <c r="C453" s="32" t="n">
        <v>41.8</v>
      </c>
      <c r="D453" s="32" t="n">
        <v>0</v>
      </c>
      <c r="E453" s="32" t="n">
        <v>0</v>
      </c>
      <c r="F453" s="32" t="n">
        <v>0</v>
      </c>
      <c r="G453" s="32">
        <f>C453+D453+E453+F453</f>
        <v/>
      </c>
    </row>
    <row r="454">
      <c r="A454" s="31" t="n">
        <v>46006</v>
      </c>
      <c r="B454" s="43" t="inlineStr">
        <is>
          <t>Tech E</t>
        </is>
      </c>
      <c r="C454" s="32" t="n">
        <v>43.8</v>
      </c>
      <c r="D454" s="32" t="n">
        <v>0</v>
      </c>
      <c r="E454" s="32" t="n">
        <v>2.7</v>
      </c>
      <c r="F454" s="32" t="n">
        <v>0</v>
      </c>
      <c r="G454" s="32">
        <f>C454+D454+E454+F454</f>
        <v/>
      </c>
    </row>
    <row r="455">
      <c r="A455" s="31" t="n">
        <v>46006</v>
      </c>
      <c r="B455" s="43" t="inlineStr">
        <is>
          <t>Tech F</t>
        </is>
      </c>
      <c r="C455" s="32" t="n">
        <v>31.3</v>
      </c>
      <c r="D455" s="32" t="n">
        <v>6</v>
      </c>
      <c r="E455" s="32" t="n">
        <v>0</v>
      </c>
      <c r="F455" s="32" t="n">
        <v>0</v>
      </c>
      <c r="G455" s="32">
        <f>C455+D455+E455+F455</f>
        <v/>
      </c>
    </row>
    <row r="456">
      <c r="A456" s="31" t="n">
        <v>46006</v>
      </c>
      <c r="B456" s="43" t="inlineStr">
        <is>
          <t>Tech G</t>
        </is>
      </c>
      <c r="C456" s="32" t="n">
        <v>49.2</v>
      </c>
      <c r="D456" s="32" t="n">
        <v>6.5</v>
      </c>
      <c r="E456" s="32" t="n">
        <v>0</v>
      </c>
      <c r="F456" s="32" t="n">
        <v>0</v>
      </c>
      <c r="G456" s="32">
        <f>C456+D456+E456+F456</f>
        <v/>
      </c>
    </row>
    <row r="457">
      <c r="A457" s="31" t="n">
        <v>46013</v>
      </c>
      <c r="B457" s="43" t="inlineStr">
        <is>
          <t>Tech A</t>
        </is>
      </c>
      <c r="C457" s="32" t="n">
        <v>46.3</v>
      </c>
      <c r="D457" s="32" t="n">
        <v>4.6</v>
      </c>
      <c r="E457" s="32" t="n">
        <v>0.4</v>
      </c>
      <c r="F457" s="32" t="n">
        <v>0</v>
      </c>
      <c r="G457" s="32">
        <f>C457+D457+E457+F457</f>
        <v/>
      </c>
    </row>
    <row r="458">
      <c r="A458" s="31" t="n">
        <v>46013</v>
      </c>
      <c r="B458" s="43" t="inlineStr">
        <is>
          <t>Tech B</t>
        </is>
      </c>
      <c r="C458" s="32" t="n">
        <v>22.4</v>
      </c>
      <c r="D458" s="32" t="n">
        <v>0</v>
      </c>
      <c r="E458" s="32" t="n">
        <v>0</v>
      </c>
      <c r="F458" s="32" t="n">
        <v>0</v>
      </c>
      <c r="G458" s="32">
        <f>C458+D458+E458+F458</f>
        <v/>
      </c>
    </row>
    <row r="459">
      <c r="A459" s="31" t="n">
        <v>46013</v>
      </c>
      <c r="B459" s="43" t="inlineStr">
        <is>
          <t>Tech C</t>
        </is>
      </c>
      <c r="C459" s="32" t="n">
        <v>28.1</v>
      </c>
      <c r="D459" s="32" t="n">
        <v>7</v>
      </c>
      <c r="E459" s="32" t="n">
        <v>0.6</v>
      </c>
      <c r="F459" s="32" t="n">
        <v>0</v>
      </c>
      <c r="G459" s="32">
        <f>C459+D459+E459+F459</f>
        <v/>
      </c>
    </row>
    <row r="460">
      <c r="A460" s="31" t="n">
        <v>46013</v>
      </c>
      <c r="B460" s="43" t="inlineStr">
        <is>
          <t>Tech D</t>
        </is>
      </c>
      <c r="C460" s="32" t="n">
        <v>36.6</v>
      </c>
      <c r="D460" s="32" t="n">
        <v>7.5</v>
      </c>
      <c r="E460" s="32" t="n">
        <v>0</v>
      </c>
      <c r="F460" s="32" t="n">
        <v>0</v>
      </c>
      <c r="G460" s="32">
        <f>C460+D460+E460+F460</f>
        <v/>
      </c>
    </row>
    <row r="461">
      <c r="A461" s="31" t="n">
        <v>46013</v>
      </c>
      <c r="B461" s="43" t="inlineStr">
        <is>
          <t>Tech E</t>
        </is>
      </c>
      <c r="C461" s="32" t="n">
        <v>27.6</v>
      </c>
      <c r="D461" s="32" t="n">
        <v>0</v>
      </c>
      <c r="E461" s="32" t="n">
        <v>0</v>
      </c>
      <c r="F461" s="32" t="n">
        <v>0</v>
      </c>
      <c r="G461" s="32">
        <f>C461+D461+E461+F461</f>
        <v/>
      </c>
    </row>
    <row r="462">
      <c r="A462" s="31" t="n">
        <v>46013</v>
      </c>
      <c r="B462" s="43" t="inlineStr">
        <is>
          <t>Tech F</t>
        </is>
      </c>
      <c r="C462" s="32" t="n">
        <v>42.8</v>
      </c>
      <c r="D462" s="32" t="n">
        <v>0</v>
      </c>
      <c r="E462" s="32" t="n">
        <v>0.5</v>
      </c>
      <c r="F462" s="32" t="n">
        <v>0</v>
      </c>
      <c r="G462" s="32">
        <f>C462+D462+E462+F462</f>
        <v/>
      </c>
    </row>
    <row r="463">
      <c r="A463" s="31" t="n">
        <v>46013</v>
      </c>
      <c r="B463" s="43" t="inlineStr">
        <is>
          <t>Tech G</t>
        </is>
      </c>
      <c r="C463" s="32" t="n">
        <v>33.9</v>
      </c>
      <c r="D463" s="32" t="n">
        <v>0</v>
      </c>
      <c r="E463" s="32" t="n">
        <v>0.5</v>
      </c>
      <c r="F463" s="32" t="n">
        <v>0</v>
      </c>
      <c r="G463" s="32">
        <f>C463+D463+E463+F463</f>
        <v/>
      </c>
    </row>
    <row r="464">
      <c r="A464" s="31" t="n">
        <v>46013</v>
      </c>
      <c r="B464" s="43" t="inlineStr">
        <is>
          <t>Tech H</t>
        </is>
      </c>
      <c r="C464" s="32" t="n">
        <v>34.3</v>
      </c>
      <c r="D464" s="32" t="n">
        <v>5.9</v>
      </c>
      <c r="E464" s="32" t="n">
        <v>0</v>
      </c>
      <c r="F464" s="32" t="n">
        <v>0</v>
      </c>
      <c r="G464" s="32">
        <f>C464+D464+E464+F464</f>
        <v/>
      </c>
    </row>
    <row r="465">
      <c r="A465" s="31" t="n">
        <v>46020</v>
      </c>
      <c r="B465" s="43" t="inlineStr">
        <is>
          <t>Tech A</t>
        </is>
      </c>
      <c r="C465" s="32" t="n">
        <v>37.5</v>
      </c>
      <c r="D465" s="32" t="n">
        <v>3.1</v>
      </c>
      <c r="E465" s="32" t="n">
        <v>0</v>
      </c>
      <c r="F465" s="32" t="n">
        <v>0</v>
      </c>
      <c r="G465" s="32">
        <f>C465+D465+E465+F465</f>
        <v/>
      </c>
    </row>
    <row r="466">
      <c r="A466" s="31" t="n">
        <v>46020</v>
      </c>
      <c r="B466" s="43" t="inlineStr">
        <is>
          <t>Tech B</t>
        </is>
      </c>
      <c r="C466" s="32" t="n">
        <v>24.4</v>
      </c>
      <c r="D466" s="32" t="n">
        <v>5.2</v>
      </c>
      <c r="E466" s="32" t="n">
        <v>1.1</v>
      </c>
      <c r="F466" s="32" t="n">
        <v>0</v>
      </c>
      <c r="G466" s="32">
        <f>C466+D466+E466+F466</f>
        <v/>
      </c>
    </row>
    <row r="467">
      <c r="A467" s="31" t="n">
        <v>46020</v>
      </c>
      <c r="B467" s="43" t="inlineStr">
        <is>
          <t>Tech C</t>
        </is>
      </c>
      <c r="C467" s="32" t="n">
        <v>36.9</v>
      </c>
      <c r="D467" s="32" t="n">
        <v>0</v>
      </c>
      <c r="E467" s="32" t="n">
        <v>0.7</v>
      </c>
      <c r="F467" s="32" t="n">
        <v>0</v>
      </c>
      <c r="G467" s="32">
        <f>C467+D467+E467+F467</f>
        <v/>
      </c>
    </row>
    <row r="468">
      <c r="A468" s="31" t="n">
        <v>46020</v>
      </c>
      <c r="B468" s="43" t="inlineStr">
        <is>
          <t>Tech D</t>
        </is>
      </c>
      <c r="C468" s="32" t="n">
        <v>20.1</v>
      </c>
      <c r="D468" s="32" t="n">
        <v>3.7</v>
      </c>
      <c r="E468" s="32" t="n">
        <v>0</v>
      </c>
      <c r="F468" s="32" t="n">
        <v>0</v>
      </c>
      <c r="G468" s="32">
        <f>C468+D468+E468+F468</f>
        <v/>
      </c>
    </row>
    <row r="469">
      <c r="A469" s="31" t="n">
        <v>46020</v>
      </c>
      <c r="B469" s="43" t="inlineStr">
        <is>
          <t>Tech E</t>
        </is>
      </c>
      <c r="C469" s="32" t="n">
        <v>35.2</v>
      </c>
      <c r="D469" s="32" t="n">
        <v>0</v>
      </c>
      <c r="E469" s="32" t="n">
        <v>0.7</v>
      </c>
      <c r="F469" s="32" t="n">
        <v>0</v>
      </c>
      <c r="G469" s="32">
        <f>C469+D469+E469+F469</f>
        <v/>
      </c>
    </row>
    <row r="470">
      <c r="A470" s="31" t="n">
        <v>46020</v>
      </c>
      <c r="B470" s="43" t="inlineStr">
        <is>
          <t>Tech F</t>
        </is>
      </c>
      <c r="C470" s="32" t="n">
        <v>44.3</v>
      </c>
      <c r="D470" s="32" t="n">
        <v>0</v>
      </c>
      <c r="E470" s="32" t="n">
        <v>1.5</v>
      </c>
      <c r="F470" s="32" t="n">
        <v>0</v>
      </c>
      <c r="G470" s="32">
        <f>C470+D470+E470+F470</f>
        <v/>
      </c>
    </row>
    <row r="471">
      <c r="A471" s="31" t="n">
        <v>46020</v>
      </c>
      <c r="B471" s="43" t="inlineStr">
        <is>
          <t>Tech G</t>
        </is>
      </c>
      <c r="C471" s="32" t="n">
        <v>27.3</v>
      </c>
      <c r="D471" s="32" t="n">
        <v>0</v>
      </c>
      <c r="E471" s="32" t="n">
        <v>0</v>
      </c>
      <c r="F471" s="32" t="n">
        <v>0</v>
      </c>
      <c r="G471" s="32">
        <f>C471+D471+E471+F471</f>
        <v/>
      </c>
    </row>
    <row r="472">
      <c r="A472" s="31" t="n">
        <v>46020</v>
      </c>
      <c r="B472" s="43" t="inlineStr">
        <is>
          <t>Tech H</t>
        </is>
      </c>
      <c r="C472" s="32" t="n">
        <v>52.3</v>
      </c>
      <c r="D472" s="32" t="n">
        <v>3</v>
      </c>
      <c r="E472" s="32" t="n">
        <v>0</v>
      </c>
      <c r="F472" s="32" t="n">
        <v>0</v>
      </c>
      <c r="G472" s="32">
        <f>C472+D472+E472+F472</f>
        <v/>
      </c>
    </row>
    <row r="473">
      <c r="A473" s="31" t="n">
        <v>46027</v>
      </c>
      <c r="B473" s="43" t="inlineStr">
        <is>
          <t>Tech A</t>
        </is>
      </c>
      <c r="C473" s="32" t="n">
        <v>36</v>
      </c>
      <c r="D473" s="32" t="n">
        <v>8.5</v>
      </c>
      <c r="E473" s="32" t="n">
        <v>1.8</v>
      </c>
      <c r="F473" s="32" t="n">
        <v>0</v>
      </c>
      <c r="G473" s="32">
        <f>C473+D473+E473+F473</f>
        <v/>
      </c>
    </row>
    <row r="474">
      <c r="A474" s="31" t="n">
        <v>46027</v>
      </c>
      <c r="B474" s="43" t="inlineStr">
        <is>
          <t>Tech B</t>
        </is>
      </c>
      <c r="C474" s="32" t="n">
        <v>43.3</v>
      </c>
      <c r="D474" s="32" t="n">
        <v>0</v>
      </c>
      <c r="E474" s="32" t="n">
        <v>0</v>
      </c>
      <c r="F474" s="32" t="n">
        <v>0</v>
      </c>
      <c r="G474" s="32">
        <f>C474+D474+E474+F474</f>
        <v/>
      </c>
    </row>
    <row r="475">
      <c r="A475" s="31" t="n">
        <v>46027</v>
      </c>
      <c r="B475" s="43" t="inlineStr">
        <is>
          <t>Tech C</t>
        </is>
      </c>
      <c r="C475" s="32" t="n">
        <v>35.3</v>
      </c>
      <c r="D475" s="32" t="n">
        <v>6.2</v>
      </c>
      <c r="E475" s="32" t="n">
        <v>1.3</v>
      </c>
      <c r="F475" s="32" t="n">
        <v>0</v>
      </c>
      <c r="G475" s="32">
        <f>C475+D475+E475+F475</f>
        <v/>
      </c>
    </row>
    <row r="476">
      <c r="A476" s="31" t="n">
        <v>46027</v>
      </c>
      <c r="B476" s="43" t="inlineStr">
        <is>
          <t>Tech D</t>
        </is>
      </c>
      <c r="C476" s="32" t="n">
        <v>32.5</v>
      </c>
      <c r="D476" s="32" t="n">
        <v>9.300000000000001</v>
      </c>
      <c r="E476" s="32" t="n">
        <v>0</v>
      </c>
      <c r="F476" s="32" t="n">
        <v>0</v>
      </c>
      <c r="G476" s="32">
        <f>C476+D476+E476+F476</f>
        <v/>
      </c>
    </row>
    <row r="477">
      <c r="A477" s="31" t="n">
        <v>46027</v>
      </c>
      <c r="B477" s="43" t="inlineStr">
        <is>
          <t>Tech E</t>
        </is>
      </c>
      <c r="C477" s="32" t="n">
        <v>32.6</v>
      </c>
      <c r="D477" s="32" t="n">
        <v>0</v>
      </c>
      <c r="E477" s="32" t="n">
        <v>0</v>
      </c>
      <c r="F477" s="32" t="n">
        <v>0</v>
      </c>
      <c r="G477" s="32">
        <f>C477+D477+E477+F477</f>
        <v/>
      </c>
    </row>
    <row r="478">
      <c r="A478" s="31" t="n">
        <v>46027</v>
      </c>
      <c r="B478" s="43" t="inlineStr">
        <is>
          <t>Tech F</t>
        </is>
      </c>
      <c r="C478" s="32" t="n">
        <v>31.9</v>
      </c>
      <c r="D478" s="32" t="n">
        <v>0</v>
      </c>
      <c r="E478" s="32" t="n">
        <v>1.9</v>
      </c>
      <c r="F478" s="32" t="n">
        <v>0</v>
      </c>
      <c r="G478" s="32">
        <f>C478+D478+E478+F478</f>
        <v/>
      </c>
    </row>
    <row r="479">
      <c r="A479" s="31" t="n">
        <v>46027</v>
      </c>
      <c r="B479" s="43" t="inlineStr">
        <is>
          <t>Tech G</t>
        </is>
      </c>
      <c r="C479" s="32" t="n">
        <v>34.4</v>
      </c>
      <c r="D479" s="32" t="n">
        <v>0</v>
      </c>
      <c r="E479" s="32" t="n">
        <v>0</v>
      </c>
      <c r="F479" s="32" t="n">
        <v>0</v>
      </c>
      <c r="G479" s="32">
        <f>C479+D479+E479+F479</f>
        <v/>
      </c>
    </row>
    <row r="480">
      <c r="A480" s="31" t="n">
        <v>46034</v>
      </c>
      <c r="B480" s="43" t="inlineStr">
        <is>
          <t>Tech A</t>
        </is>
      </c>
      <c r="C480" s="32" t="n">
        <v>34.3</v>
      </c>
      <c r="D480" s="32" t="n">
        <v>0</v>
      </c>
      <c r="E480" s="32" t="n">
        <v>1.2</v>
      </c>
      <c r="F480" s="32" t="n">
        <v>0</v>
      </c>
      <c r="G480" s="32">
        <f>C480+D480+E480+F480</f>
        <v/>
      </c>
    </row>
    <row r="481">
      <c r="A481" s="31" t="n">
        <v>46034</v>
      </c>
      <c r="B481" s="43" t="inlineStr">
        <is>
          <t>Tech B</t>
        </is>
      </c>
      <c r="C481" s="32" t="n">
        <v>23.7</v>
      </c>
      <c r="D481" s="32" t="n">
        <v>0</v>
      </c>
      <c r="E481" s="32" t="n">
        <v>1.7</v>
      </c>
      <c r="F481" s="32" t="n">
        <v>0</v>
      </c>
      <c r="G481" s="32">
        <f>C481+D481+E481+F481</f>
        <v/>
      </c>
    </row>
    <row r="482">
      <c r="A482" s="31" t="n">
        <v>46034</v>
      </c>
      <c r="B482" s="43" t="inlineStr">
        <is>
          <t>Tech C</t>
        </is>
      </c>
      <c r="C482" s="32" t="n">
        <v>35.5</v>
      </c>
      <c r="D482" s="32" t="n">
        <v>0</v>
      </c>
      <c r="E482" s="32" t="n">
        <v>1.1</v>
      </c>
      <c r="F482" s="32" t="n">
        <v>0</v>
      </c>
      <c r="G482" s="32">
        <f>C482+D482+E482+F482</f>
        <v/>
      </c>
    </row>
    <row r="483">
      <c r="A483" s="31" t="n">
        <v>46034</v>
      </c>
      <c r="B483" s="43" t="inlineStr">
        <is>
          <t>Tech D</t>
        </is>
      </c>
      <c r="C483" s="32" t="n">
        <v>19.9</v>
      </c>
      <c r="D483" s="32" t="n">
        <v>4.3</v>
      </c>
      <c r="E483" s="32" t="n">
        <v>0</v>
      </c>
      <c r="F483" s="32" t="n">
        <v>0</v>
      </c>
      <c r="G483" s="32">
        <f>C483+D483+E483+F483</f>
        <v/>
      </c>
    </row>
    <row r="484">
      <c r="A484" s="31" t="n">
        <v>46034</v>
      </c>
      <c r="B484" s="43" t="inlineStr">
        <is>
          <t>Tech E</t>
        </is>
      </c>
      <c r="C484" s="32" t="n">
        <v>28.8</v>
      </c>
      <c r="D484" s="32" t="n">
        <v>4.8</v>
      </c>
      <c r="E484" s="32" t="n">
        <v>1</v>
      </c>
      <c r="F484" s="32" t="n">
        <v>0</v>
      </c>
      <c r="G484" s="32">
        <f>C484+D484+E484+F484</f>
        <v/>
      </c>
    </row>
    <row r="485">
      <c r="A485" s="31" t="n">
        <v>46034</v>
      </c>
      <c r="B485" s="43" t="inlineStr">
        <is>
          <t>Tech F</t>
        </is>
      </c>
      <c r="C485" s="32" t="n">
        <v>32.3</v>
      </c>
      <c r="D485" s="32" t="n">
        <v>0</v>
      </c>
      <c r="E485" s="32" t="n">
        <v>0</v>
      </c>
      <c r="F485" s="32" t="n">
        <v>0</v>
      </c>
      <c r="G485" s="32">
        <f>C485+D485+E485+F485</f>
        <v/>
      </c>
    </row>
    <row r="486">
      <c r="A486" s="31" t="n">
        <v>46034</v>
      </c>
      <c r="B486" s="43" t="inlineStr">
        <is>
          <t>Tech G</t>
        </is>
      </c>
      <c r="C486" s="32" t="n">
        <v>18.6</v>
      </c>
      <c r="D486" s="32" t="n">
        <v>4.7</v>
      </c>
      <c r="E486" s="32" t="n">
        <v>0</v>
      </c>
      <c r="F486" s="32" t="n">
        <v>0</v>
      </c>
      <c r="G486" s="32">
        <f>C486+D486+E486+F486</f>
        <v/>
      </c>
    </row>
    <row r="487">
      <c r="A487" s="31" t="n">
        <v>46034</v>
      </c>
      <c r="B487" s="43" t="inlineStr">
        <is>
          <t>Tech H</t>
        </is>
      </c>
      <c r="C487" s="32" t="n">
        <v>25.3</v>
      </c>
      <c r="D487" s="32" t="n">
        <v>4.2</v>
      </c>
      <c r="E487" s="32" t="n">
        <v>0</v>
      </c>
      <c r="F487" s="32" t="n">
        <v>0</v>
      </c>
      <c r="G487" s="32">
        <f>C487+D487+E487+F487</f>
        <v/>
      </c>
    </row>
    <row r="488">
      <c r="A488" s="31" t="n">
        <v>46034</v>
      </c>
      <c r="B488" s="43" t="inlineStr">
        <is>
          <t>Tech I</t>
        </is>
      </c>
      <c r="C488" s="32" t="n">
        <v>24.6</v>
      </c>
      <c r="D488" s="32" t="n">
        <v>0</v>
      </c>
      <c r="E488" s="32" t="n">
        <v>0</v>
      </c>
      <c r="F488" s="32" t="n">
        <v>0</v>
      </c>
      <c r="G488" s="32">
        <f>C488+D488+E488+F488</f>
        <v/>
      </c>
    </row>
    <row r="489">
      <c r="A489" s="31" t="n">
        <v>46041</v>
      </c>
      <c r="B489" s="43" t="inlineStr">
        <is>
          <t>Tech A</t>
        </is>
      </c>
      <c r="C489" s="32" t="n">
        <v>22.9</v>
      </c>
      <c r="D489" s="32" t="n">
        <v>0</v>
      </c>
      <c r="E489" s="32" t="n">
        <v>0</v>
      </c>
      <c r="F489" s="32" t="n">
        <v>0</v>
      </c>
      <c r="G489" s="32">
        <f>C489+D489+E489+F489</f>
        <v/>
      </c>
    </row>
    <row r="490">
      <c r="A490" s="31" t="n">
        <v>46041</v>
      </c>
      <c r="B490" s="43" t="inlineStr">
        <is>
          <t>Tech B</t>
        </is>
      </c>
      <c r="C490" s="32" t="n">
        <v>33.9</v>
      </c>
      <c r="D490" s="32" t="n">
        <v>0</v>
      </c>
      <c r="E490" s="32" t="n">
        <v>0</v>
      </c>
      <c r="F490" s="32" t="n">
        <v>0</v>
      </c>
      <c r="G490" s="32">
        <f>C490+D490+E490+F490</f>
        <v/>
      </c>
    </row>
    <row r="491">
      <c r="A491" s="31" t="n">
        <v>46041</v>
      </c>
      <c r="B491" s="43" t="inlineStr">
        <is>
          <t>Tech C</t>
        </is>
      </c>
      <c r="C491" s="32" t="n">
        <v>18.1</v>
      </c>
      <c r="D491" s="32" t="n">
        <v>6.1</v>
      </c>
      <c r="E491" s="32" t="n">
        <v>1.3</v>
      </c>
      <c r="F491" s="32" t="n">
        <v>0</v>
      </c>
      <c r="G491" s="32">
        <f>C491+D491+E491+F491</f>
        <v/>
      </c>
    </row>
    <row r="492">
      <c r="A492" s="31" t="n">
        <v>46041</v>
      </c>
      <c r="B492" s="43" t="inlineStr">
        <is>
          <t>Tech D</t>
        </is>
      </c>
      <c r="C492" s="32" t="n">
        <v>18.6</v>
      </c>
      <c r="D492" s="32" t="n">
        <v>8.300000000000001</v>
      </c>
      <c r="E492" s="32" t="n">
        <v>1.2</v>
      </c>
      <c r="F492" s="32" t="n">
        <v>0</v>
      </c>
      <c r="G492" s="32">
        <f>C492+D492+E492+F492</f>
        <v/>
      </c>
    </row>
    <row r="493">
      <c r="A493" s="31" t="n">
        <v>46041</v>
      </c>
      <c r="B493" s="43" t="inlineStr">
        <is>
          <t>Tech E</t>
        </is>
      </c>
      <c r="C493" s="32" t="n">
        <v>33.6</v>
      </c>
      <c r="D493" s="32" t="n">
        <v>0</v>
      </c>
      <c r="E493" s="32" t="n">
        <v>0</v>
      </c>
      <c r="F493" s="32" t="n">
        <v>0</v>
      </c>
      <c r="G493" s="32">
        <f>C493+D493+E493+F493</f>
        <v/>
      </c>
    </row>
    <row r="494">
      <c r="A494" s="31" t="n">
        <v>46041</v>
      </c>
      <c r="B494" s="43" t="inlineStr">
        <is>
          <t>Tech F</t>
        </is>
      </c>
      <c r="C494" s="32" t="n">
        <v>34.5</v>
      </c>
      <c r="D494" s="32" t="n">
        <v>7.1</v>
      </c>
      <c r="E494" s="32" t="n">
        <v>0</v>
      </c>
      <c r="F494" s="32" t="n">
        <v>0</v>
      </c>
      <c r="G494" s="32">
        <f>C494+D494+E494+F494</f>
        <v/>
      </c>
    </row>
    <row r="495">
      <c r="A495" s="31" t="n">
        <v>46041</v>
      </c>
      <c r="B495" s="43" t="inlineStr">
        <is>
          <t>Tech G</t>
        </is>
      </c>
      <c r="C495" s="32" t="n">
        <v>29.6</v>
      </c>
      <c r="D495" s="32" t="n">
        <v>0</v>
      </c>
      <c r="E495" s="32" t="n">
        <v>0.7</v>
      </c>
      <c r="F495" s="32" t="n">
        <v>0</v>
      </c>
      <c r="G495" s="32">
        <f>C495+D495+E495+F495</f>
        <v/>
      </c>
    </row>
    <row r="496">
      <c r="A496" s="31" t="n">
        <v>46041</v>
      </c>
      <c r="B496" s="43" t="inlineStr">
        <is>
          <t>Tech H</t>
        </is>
      </c>
      <c r="C496" s="32" t="n">
        <v>28.1</v>
      </c>
      <c r="D496" s="32" t="n">
        <v>4.5</v>
      </c>
      <c r="E496" s="32" t="n">
        <v>0</v>
      </c>
      <c r="F496" s="32" t="n">
        <v>0</v>
      </c>
      <c r="G496" s="32">
        <f>C496+D496+E496+F496</f>
        <v/>
      </c>
    </row>
    <row r="497">
      <c r="A497" s="31" t="n">
        <v>46041</v>
      </c>
      <c r="B497" s="43" t="inlineStr">
        <is>
          <t>Tech I</t>
        </is>
      </c>
      <c r="C497" s="32" t="n">
        <v>27.7</v>
      </c>
      <c r="D497" s="32" t="n">
        <v>0</v>
      </c>
      <c r="E497" s="32" t="n">
        <v>0.8</v>
      </c>
      <c r="F497" s="32" t="n">
        <v>0</v>
      </c>
      <c r="G497" s="32">
        <f>C497+D497+E497+F497</f>
        <v/>
      </c>
    </row>
    <row r="498">
      <c r="A498" s="31" t="n">
        <v>46048</v>
      </c>
      <c r="B498" s="43" t="inlineStr">
        <is>
          <t>Tech A</t>
        </is>
      </c>
      <c r="C498" s="32" t="n">
        <v>22.4</v>
      </c>
      <c r="D498" s="32" t="n">
        <v>0</v>
      </c>
      <c r="E498" s="32" t="n">
        <v>0</v>
      </c>
      <c r="F498" s="32" t="n">
        <v>0</v>
      </c>
      <c r="G498" s="32">
        <f>C498+D498+E498+F498</f>
        <v/>
      </c>
    </row>
    <row r="499">
      <c r="A499" s="31" t="n">
        <v>46048</v>
      </c>
      <c r="B499" s="43" t="inlineStr">
        <is>
          <t>Tech B</t>
        </is>
      </c>
      <c r="C499" s="32" t="n">
        <v>39.3</v>
      </c>
      <c r="D499" s="32" t="n">
        <v>0</v>
      </c>
      <c r="E499" s="32" t="n">
        <v>0</v>
      </c>
      <c r="F499" s="32" t="n">
        <v>0</v>
      </c>
      <c r="G499" s="32">
        <f>C499+D499+E499+F499</f>
        <v/>
      </c>
    </row>
    <row r="500">
      <c r="A500" s="31" t="n">
        <v>46048</v>
      </c>
      <c r="B500" s="43" t="inlineStr">
        <is>
          <t>Tech C</t>
        </is>
      </c>
      <c r="C500" s="32" t="n">
        <v>38.2</v>
      </c>
      <c r="D500" s="32" t="n">
        <v>4.7</v>
      </c>
      <c r="E500" s="32" t="n">
        <v>1</v>
      </c>
      <c r="F500" s="32" t="n">
        <v>0</v>
      </c>
      <c r="G500" s="32">
        <f>C500+D500+E500+F500</f>
        <v/>
      </c>
    </row>
    <row r="501">
      <c r="A501" s="31" t="n">
        <v>46048</v>
      </c>
      <c r="B501" s="43" t="inlineStr">
        <is>
          <t>Tech D</t>
        </is>
      </c>
      <c r="C501" s="32" t="n">
        <v>26.1</v>
      </c>
      <c r="D501" s="32" t="n">
        <v>10</v>
      </c>
      <c r="E501" s="32" t="n">
        <v>0.7</v>
      </c>
      <c r="F501" s="32" t="n">
        <v>0</v>
      </c>
      <c r="G501" s="32">
        <f>C501+D501+E501+F501</f>
        <v/>
      </c>
    </row>
    <row r="502">
      <c r="A502" s="31" t="n">
        <v>46048</v>
      </c>
      <c r="B502" s="43" t="inlineStr">
        <is>
          <t>Tech E</t>
        </is>
      </c>
      <c r="C502" s="32" t="n">
        <v>41.2</v>
      </c>
      <c r="D502" s="32" t="n">
        <v>0</v>
      </c>
      <c r="E502" s="32" t="n">
        <v>0</v>
      </c>
      <c r="F502" s="32" t="n">
        <v>0</v>
      </c>
      <c r="G502" s="32">
        <f>C502+D502+E502+F502</f>
        <v/>
      </c>
    </row>
    <row r="503">
      <c r="A503" s="31" t="n">
        <v>46048</v>
      </c>
      <c r="B503" s="43" t="inlineStr">
        <is>
          <t>Tech F</t>
        </is>
      </c>
      <c r="C503" s="32" t="n">
        <v>36.3</v>
      </c>
      <c r="D503" s="32" t="n">
        <v>4</v>
      </c>
      <c r="E503" s="32" t="n">
        <v>1.5</v>
      </c>
      <c r="F503" s="32" t="n">
        <v>0</v>
      </c>
      <c r="G503" s="32">
        <f>C503+D503+E503+F503</f>
        <v/>
      </c>
    </row>
    <row r="504">
      <c r="A504" s="31" t="n">
        <v>46048</v>
      </c>
      <c r="B504" s="43" t="inlineStr">
        <is>
          <t>Tech G</t>
        </is>
      </c>
      <c r="C504" s="32" t="n">
        <v>40</v>
      </c>
      <c r="D504" s="32" t="n">
        <v>8.300000000000001</v>
      </c>
      <c r="E504" s="32" t="n">
        <v>0.8</v>
      </c>
      <c r="F504" s="32" t="n">
        <v>0</v>
      </c>
      <c r="G504" s="32">
        <f>C504+D504+E504+F504</f>
        <v/>
      </c>
    </row>
    <row r="505">
      <c r="A505" s="31" t="n">
        <v>46048</v>
      </c>
      <c r="B505" s="43" t="inlineStr">
        <is>
          <t>Tech H</t>
        </is>
      </c>
      <c r="C505" s="32" t="n">
        <v>19.5</v>
      </c>
      <c r="D505" s="32" t="n">
        <v>0</v>
      </c>
      <c r="E505" s="32" t="n">
        <v>0</v>
      </c>
      <c r="F505" s="32" t="n">
        <v>0</v>
      </c>
      <c r="G505" s="32">
        <f>C505+D505+E505+F505</f>
        <v/>
      </c>
    </row>
    <row r="506">
      <c r="A506" s="31" t="n">
        <v>46055</v>
      </c>
      <c r="B506" s="43" t="inlineStr">
        <is>
          <t>Tech A</t>
        </is>
      </c>
      <c r="C506" s="32" t="n">
        <v>16.2</v>
      </c>
      <c r="D506" s="32" t="n">
        <v>7.3</v>
      </c>
      <c r="E506" s="32" t="n">
        <v>0</v>
      </c>
      <c r="F506" s="32" t="n">
        <v>0</v>
      </c>
      <c r="G506" s="32">
        <f>C506+D506+E506+F506</f>
        <v/>
      </c>
    </row>
    <row r="507">
      <c r="A507" s="31" t="n">
        <v>46055</v>
      </c>
      <c r="B507" s="43" t="inlineStr">
        <is>
          <t>Tech B</t>
        </is>
      </c>
      <c r="C507" s="32" t="n">
        <v>33.1</v>
      </c>
      <c r="D507" s="32" t="n">
        <v>0</v>
      </c>
      <c r="E507" s="32" t="n">
        <v>1</v>
      </c>
      <c r="F507" s="32" t="n">
        <v>0</v>
      </c>
      <c r="G507" s="32">
        <f>C507+D507+E507+F507</f>
        <v/>
      </c>
    </row>
    <row r="508">
      <c r="A508" s="31" t="n">
        <v>46055</v>
      </c>
      <c r="B508" s="43" t="inlineStr">
        <is>
          <t>Tech C</t>
        </is>
      </c>
      <c r="C508" s="32" t="n">
        <v>16.2</v>
      </c>
      <c r="D508" s="32" t="n">
        <v>4.2</v>
      </c>
      <c r="E508" s="32" t="n">
        <v>0</v>
      </c>
      <c r="F508" s="32" t="n">
        <v>0</v>
      </c>
      <c r="G508" s="32">
        <f>C508+D508+E508+F508</f>
        <v/>
      </c>
    </row>
    <row r="509">
      <c r="A509" s="31" t="n">
        <v>46055</v>
      </c>
      <c r="B509" s="43" t="inlineStr">
        <is>
          <t>Tech D</t>
        </is>
      </c>
      <c r="C509" s="32" t="n">
        <v>34</v>
      </c>
      <c r="D509" s="32" t="n">
        <v>0</v>
      </c>
      <c r="E509" s="32" t="n">
        <v>0</v>
      </c>
      <c r="F509" s="32" t="n">
        <v>0</v>
      </c>
      <c r="G509" s="32">
        <f>C509+D509+E509+F509</f>
        <v/>
      </c>
    </row>
    <row r="510">
      <c r="A510" s="31" t="n">
        <v>46055</v>
      </c>
      <c r="B510" s="43" t="inlineStr">
        <is>
          <t>Tech E</t>
        </is>
      </c>
      <c r="C510" s="32" t="n">
        <v>35.8</v>
      </c>
      <c r="D510" s="32" t="n">
        <v>10.2</v>
      </c>
      <c r="E510" s="32" t="n">
        <v>0.7</v>
      </c>
      <c r="F510" s="32" t="n">
        <v>0</v>
      </c>
      <c r="G510" s="32">
        <f>C510+D510+E510+F510</f>
        <v/>
      </c>
    </row>
    <row r="511">
      <c r="A511" s="31" t="n">
        <v>46055</v>
      </c>
      <c r="B511" s="43" t="inlineStr">
        <is>
          <t>Tech F</t>
        </is>
      </c>
      <c r="C511" s="32" t="n">
        <v>21.5</v>
      </c>
      <c r="D511" s="32" t="n">
        <v>0</v>
      </c>
      <c r="E511" s="32" t="n">
        <v>0</v>
      </c>
      <c r="F511" s="32" t="n">
        <v>0</v>
      </c>
      <c r="G511" s="32">
        <f>C511+D511+E511+F511</f>
        <v/>
      </c>
    </row>
    <row r="512">
      <c r="A512" s="31" t="n">
        <v>46055</v>
      </c>
      <c r="B512" s="43" t="inlineStr">
        <is>
          <t>Tech G</t>
        </is>
      </c>
      <c r="C512" s="32" t="n">
        <v>23.8</v>
      </c>
      <c r="D512" s="32" t="n">
        <v>0</v>
      </c>
      <c r="E512" s="32" t="n">
        <v>0</v>
      </c>
      <c r="F512" s="32" t="n">
        <v>0</v>
      </c>
      <c r="G512" s="32">
        <f>C512+D512+E512+F512</f>
        <v/>
      </c>
    </row>
    <row r="513">
      <c r="A513" s="31" t="n">
        <v>46055</v>
      </c>
      <c r="B513" s="43" t="inlineStr">
        <is>
          <t>Tech H</t>
        </is>
      </c>
      <c r="C513" s="32" t="n">
        <v>34.4</v>
      </c>
      <c r="D513" s="32" t="n">
        <v>5.3</v>
      </c>
      <c r="E513" s="32" t="n">
        <v>0.6</v>
      </c>
      <c r="F513" s="32" t="n">
        <v>0</v>
      </c>
      <c r="G513" s="32">
        <f>C513+D513+E513+F513</f>
        <v/>
      </c>
    </row>
    <row r="514">
      <c r="A514" s="31" t="n">
        <v>46055</v>
      </c>
      <c r="B514" s="43" t="inlineStr">
        <is>
          <t>Tech I</t>
        </is>
      </c>
      <c r="C514" s="32" t="n">
        <v>35</v>
      </c>
      <c r="D514" s="32" t="n">
        <v>0</v>
      </c>
      <c r="E514" s="32" t="n">
        <v>0.7</v>
      </c>
      <c r="F514" s="32" t="n">
        <v>0</v>
      </c>
      <c r="G514" s="32">
        <f>C514+D514+E514+F514</f>
        <v/>
      </c>
    </row>
    <row r="515">
      <c r="A515" s="31" t="n">
        <v>46062</v>
      </c>
      <c r="B515" s="43" t="inlineStr">
        <is>
          <t>Tech A</t>
        </is>
      </c>
      <c r="C515" s="32" t="n">
        <v>55.7</v>
      </c>
      <c r="D515" s="32" t="n">
        <v>5.8</v>
      </c>
      <c r="E515" s="32" t="n">
        <v>0</v>
      </c>
      <c r="F515" s="32" t="n">
        <v>0</v>
      </c>
      <c r="G515" s="32">
        <f>C515+D515+E515+F515</f>
        <v/>
      </c>
    </row>
    <row r="516">
      <c r="A516" s="31" t="n">
        <v>46062</v>
      </c>
      <c r="B516" s="43" t="inlineStr">
        <is>
          <t>Tech B</t>
        </is>
      </c>
      <c r="C516" s="32" t="n">
        <v>52.9</v>
      </c>
      <c r="D516" s="32" t="n">
        <v>5.6</v>
      </c>
      <c r="E516" s="32" t="n">
        <v>0</v>
      </c>
      <c r="F516" s="32" t="n">
        <v>0</v>
      </c>
      <c r="G516" s="32">
        <f>C516+D516+E516+F516</f>
        <v/>
      </c>
    </row>
    <row r="517">
      <c r="A517" s="31" t="n">
        <v>46062</v>
      </c>
      <c r="B517" s="43" t="inlineStr">
        <is>
          <t>Tech C</t>
        </is>
      </c>
      <c r="C517" s="32" t="n">
        <v>40.5</v>
      </c>
      <c r="D517" s="32" t="n">
        <v>9.6</v>
      </c>
      <c r="E517" s="32" t="n">
        <v>1.3</v>
      </c>
      <c r="F517" s="32" t="n">
        <v>0</v>
      </c>
      <c r="G517" s="32">
        <f>C517+D517+E517+F517</f>
        <v/>
      </c>
    </row>
    <row r="518">
      <c r="A518" s="31" t="n">
        <v>46062</v>
      </c>
      <c r="B518" s="43" t="inlineStr">
        <is>
          <t>Tech D</t>
        </is>
      </c>
      <c r="C518" s="32" t="n">
        <v>23.4</v>
      </c>
      <c r="D518" s="32" t="n">
        <v>0</v>
      </c>
      <c r="E518" s="32" t="n">
        <v>0</v>
      </c>
      <c r="F518" s="32" t="n">
        <v>0</v>
      </c>
      <c r="G518" s="32">
        <f>C518+D518+E518+F518</f>
        <v/>
      </c>
    </row>
    <row r="519">
      <c r="A519" s="31" t="n">
        <v>46062</v>
      </c>
      <c r="B519" s="43" t="inlineStr">
        <is>
          <t>Tech E</t>
        </is>
      </c>
      <c r="C519" s="32" t="n">
        <v>46.6</v>
      </c>
      <c r="D519" s="32" t="n">
        <v>0</v>
      </c>
      <c r="E519" s="32" t="n">
        <v>0.5</v>
      </c>
      <c r="F519" s="32" t="n">
        <v>0</v>
      </c>
      <c r="G519" s="32">
        <f>C519+D519+E519+F519</f>
        <v/>
      </c>
    </row>
    <row r="520">
      <c r="A520" s="31" t="n">
        <v>46062</v>
      </c>
      <c r="B520" s="43" t="inlineStr">
        <is>
          <t>Tech F</t>
        </is>
      </c>
      <c r="C520" s="32" t="n">
        <v>27.3</v>
      </c>
      <c r="D520" s="32" t="n">
        <v>0</v>
      </c>
      <c r="E520" s="32" t="n">
        <v>0</v>
      </c>
      <c r="F520" s="32" t="n">
        <v>0</v>
      </c>
      <c r="G520" s="32">
        <f>C520+D520+E520+F520</f>
        <v/>
      </c>
    </row>
    <row r="521">
      <c r="A521" s="31" t="n">
        <v>46062</v>
      </c>
      <c r="B521" s="43" t="inlineStr">
        <is>
          <t>Tech G</t>
        </is>
      </c>
      <c r="C521" s="32" t="n">
        <v>25.6</v>
      </c>
      <c r="D521" s="32" t="n">
        <v>0</v>
      </c>
      <c r="E521" s="32" t="n">
        <v>1.2</v>
      </c>
      <c r="F521" s="32" t="n">
        <v>0</v>
      </c>
      <c r="G521" s="32">
        <f>C521+D521+E521+F521</f>
        <v/>
      </c>
    </row>
    <row r="522">
      <c r="A522" s="31" t="n">
        <v>46069</v>
      </c>
      <c r="B522" s="43" t="inlineStr">
        <is>
          <t>Tech A</t>
        </is>
      </c>
      <c r="C522" s="32" t="n">
        <v>40.5</v>
      </c>
      <c r="D522" s="32" t="n">
        <v>0</v>
      </c>
      <c r="E522" s="32" t="n">
        <v>0</v>
      </c>
      <c r="F522" s="32" t="n">
        <v>0</v>
      </c>
      <c r="G522" s="32">
        <f>C522+D522+E522+F522</f>
        <v/>
      </c>
    </row>
    <row r="523">
      <c r="A523" s="31" t="n">
        <v>46069</v>
      </c>
      <c r="B523" s="43" t="inlineStr">
        <is>
          <t>Tech B</t>
        </is>
      </c>
      <c r="C523" s="32" t="n">
        <v>27.3</v>
      </c>
      <c r="D523" s="32" t="n">
        <v>0</v>
      </c>
      <c r="E523" s="32" t="n">
        <v>0.7</v>
      </c>
      <c r="F523" s="32" t="n">
        <v>0</v>
      </c>
      <c r="G523" s="32">
        <f>C523+D523+E523+F523</f>
        <v/>
      </c>
    </row>
    <row r="524">
      <c r="A524" s="31" t="n">
        <v>46069</v>
      </c>
      <c r="B524" s="43" t="inlineStr">
        <is>
          <t>Tech C</t>
        </is>
      </c>
      <c r="C524" s="32" t="n">
        <v>20.8</v>
      </c>
      <c r="D524" s="32" t="n">
        <v>3.5</v>
      </c>
      <c r="E524" s="32" t="n">
        <v>0</v>
      </c>
      <c r="F524" s="32" t="n">
        <v>0</v>
      </c>
      <c r="G524" s="32">
        <f>C524+D524+E524+F524</f>
        <v/>
      </c>
    </row>
    <row r="525">
      <c r="A525" s="31" t="n">
        <v>46069</v>
      </c>
      <c r="B525" s="43" t="inlineStr">
        <is>
          <t>Tech D</t>
        </is>
      </c>
      <c r="C525" s="32" t="n">
        <v>47.7</v>
      </c>
      <c r="D525" s="32" t="n">
        <v>4.8</v>
      </c>
      <c r="E525" s="32" t="n">
        <v>0.3</v>
      </c>
      <c r="F525" s="32" t="n">
        <v>0</v>
      </c>
      <c r="G525" s="32">
        <f>C525+D525+E525+F525</f>
        <v/>
      </c>
    </row>
    <row r="526">
      <c r="A526" s="31" t="n">
        <v>46069</v>
      </c>
      <c r="B526" s="43" t="inlineStr">
        <is>
          <t>Tech E</t>
        </is>
      </c>
      <c r="C526" s="32" t="n">
        <v>26.8</v>
      </c>
      <c r="D526" s="32" t="n">
        <v>5.7</v>
      </c>
      <c r="E526" s="32" t="n">
        <v>0.5</v>
      </c>
      <c r="F526" s="32" t="n">
        <v>0</v>
      </c>
      <c r="G526" s="32">
        <f>C526+D526+E526+F526</f>
        <v/>
      </c>
    </row>
    <row r="527">
      <c r="A527" s="31" t="n">
        <v>46069</v>
      </c>
      <c r="B527" s="43" t="inlineStr">
        <is>
          <t>Tech F</t>
        </is>
      </c>
      <c r="C527" s="32" t="n">
        <v>37.5</v>
      </c>
      <c r="D527" s="32" t="n">
        <v>5</v>
      </c>
      <c r="E527" s="32" t="n">
        <v>0</v>
      </c>
      <c r="F527" s="32" t="n">
        <v>0</v>
      </c>
      <c r="G527" s="32">
        <f>C527+D527+E527+F527</f>
        <v/>
      </c>
    </row>
    <row r="528">
      <c r="A528" s="31" t="n">
        <v>46069</v>
      </c>
      <c r="B528" s="43" t="inlineStr">
        <is>
          <t>Tech G</t>
        </is>
      </c>
      <c r="C528" s="32" t="n">
        <v>24.2</v>
      </c>
      <c r="D528" s="32" t="n">
        <v>0</v>
      </c>
      <c r="E528" s="32" t="n">
        <v>0.5</v>
      </c>
      <c r="F528" s="32" t="n">
        <v>0</v>
      </c>
      <c r="G528" s="32">
        <f>C528+D528+E528+F528</f>
        <v/>
      </c>
    </row>
    <row r="529">
      <c r="A529" s="31" t="n">
        <v>46069</v>
      </c>
      <c r="B529" s="43" t="inlineStr">
        <is>
          <t>Tech H</t>
        </is>
      </c>
      <c r="C529" s="32" t="n">
        <v>21.2</v>
      </c>
      <c r="D529" s="32" t="n">
        <v>0</v>
      </c>
      <c r="E529" s="32" t="n">
        <v>0</v>
      </c>
      <c r="F529" s="32" t="n">
        <v>0</v>
      </c>
      <c r="G529" s="32">
        <f>C529+D529+E529+F529</f>
        <v/>
      </c>
    </row>
    <row r="530">
      <c r="A530" s="31" t="n">
        <v>46076</v>
      </c>
      <c r="B530" s="43" t="inlineStr">
        <is>
          <t>Tech A</t>
        </is>
      </c>
      <c r="C530" s="32" t="n">
        <v>30.2</v>
      </c>
      <c r="D530" s="32" t="n">
        <v>7.2</v>
      </c>
      <c r="E530" s="32" t="n">
        <v>0.8</v>
      </c>
      <c r="F530" s="32" t="n">
        <v>0</v>
      </c>
      <c r="G530" s="32">
        <f>C530+D530+E530+F530</f>
        <v/>
      </c>
    </row>
    <row r="531">
      <c r="A531" s="31" t="n">
        <v>46076</v>
      </c>
      <c r="B531" s="43" t="inlineStr">
        <is>
          <t>Tech B</t>
        </is>
      </c>
      <c r="C531" s="32" t="n">
        <v>18.3</v>
      </c>
      <c r="D531" s="32" t="n">
        <v>0</v>
      </c>
      <c r="E531" s="32" t="n">
        <v>0</v>
      </c>
      <c r="F531" s="32" t="n">
        <v>0</v>
      </c>
      <c r="G531" s="32">
        <f>C531+D531+E531+F531</f>
        <v/>
      </c>
    </row>
    <row r="532">
      <c r="A532" s="31" t="n">
        <v>46076</v>
      </c>
      <c r="B532" s="43" t="inlineStr">
        <is>
          <t>Tech C</t>
        </is>
      </c>
      <c r="C532" s="32" t="n">
        <v>20.9</v>
      </c>
      <c r="D532" s="32" t="n">
        <v>0</v>
      </c>
      <c r="E532" s="32" t="n">
        <v>0</v>
      </c>
      <c r="F532" s="32" t="n">
        <v>0</v>
      </c>
      <c r="G532" s="32">
        <f>C532+D532+E532+F532</f>
        <v/>
      </c>
    </row>
    <row r="533">
      <c r="A533" s="31" t="n">
        <v>46076</v>
      </c>
      <c r="B533" s="43" t="inlineStr">
        <is>
          <t>Tech D</t>
        </is>
      </c>
      <c r="C533" s="32" t="n">
        <v>32.1</v>
      </c>
      <c r="D533" s="32" t="n">
        <v>5</v>
      </c>
      <c r="E533" s="32" t="n">
        <v>1.2</v>
      </c>
      <c r="F533" s="32" t="n">
        <v>8</v>
      </c>
      <c r="G533" s="32">
        <f>C533+D533+E533+F533</f>
        <v/>
      </c>
    </row>
    <row r="534">
      <c r="A534" s="31" t="n">
        <v>46076</v>
      </c>
      <c r="B534" s="43" t="inlineStr">
        <is>
          <t>Tech E</t>
        </is>
      </c>
      <c r="C534" s="32" t="n">
        <v>17.5</v>
      </c>
      <c r="D534" s="32" t="n">
        <v>3.2</v>
      </c>
      <c r="E534" s="32" t="n">
        <v>0.8</v>
      </c>
      <c r="F534" s="32" t="n">
        <v>0</v>
      </c>
      <c r="G534" s="32">
        <f>C534+D534+E534+F534</f>
        <v/>
      </c>
    </row>
    <row r="535">
      <c r="A535" s="31" t="n">
        <v>46076</v>
      </c>
      <c r="B535" s="43" t="inlineStr">
        <is>
          <t>Tech F</t>
        </is>
      </c>
      <c r="C535" s="32" t="n">
        <v>29.9</v>
      </c>
      <c r="D535" s="32" t="n">
        <v>0</v>
      </c>
      <c r="E535" s="32" t="n">
        <v>0</v>
      </c>
      <c r="F535" s="32" t="n">
        <v>0</v>
      </c>
      <c r="G535" s="32">
        <f>C535+D535+E535+F535</f>
        <v/>
      </c>
    </row>
    <row r="536">
      <c r="A536" s="31" t="n">
        <v>46076</v>
      </c>
      <c r="B536" s="43" t="inlineStr">
        <is>
          <t>Tech G</t>
        </is>
      </c>
      <c r="C536" s="32" t="n">
        <v>38.8</v>
      </c>
      <c r="D536" s="32" t="n">
        <v>0</v>
      </c>
      <c r="E536" s="32" t="n">
        <v>0</v>
      </c>
      <c r="F536" s="32" t="n">
        <v>0</v>
      </c>
      <c r="G536" s="32">
        <f>C536+D536+E536+F536</f>
        <v/>
      </c>
    </row>
    <row r="537">
      <c r="A537" s="31" t="n">
        <v>46076</v>
      </c>
      <c r="B537" s="43" t="inlineStr">
        <is>
          <t>Tech H</t>
        </is>
      </c>
      <c r="C537" s="32" t="n">
        <v>28.3</v>
      </c>
      <c r="D537" s="32" t="n">
        <v>4.6</v>
      </c>
      <c r="E537" s="32" t="n">
        <v>0</v>
      </c>
      <c r="F537" s="32" t="n">
        <v>0</v>
      </c>
      <c r="G537" s="32">
        <f>C537+D537+E537+F537</f>
        <v/>
      </c>
    </row>
    <row r="538">
      <c r="A538" s="31" t="n">
        <v>46076</v>
      </c>
      <c r="B538" s="43" t="inlineStr">
        <is>
          <t>Tech I</t>
        </is>
      </c>
      <c r="C538" s="32" t="n">
        <v>30</v>
      </c>
      <c r="D538" s="32" t="n">
        <v>0</v>
      </c>
      <c r="E538" s="32" t="n">
        <v>2.2</v>
      </c>
      <c r="F538" s="32" t="n">
        <v>0</v>
      </c>
      <c r="G538" s="32">
        <f>C538+D538+E538+F538</f>
        <v/>
      </c>
    </row>
    <row r="539">
      <c r="A539" s="31" t="n">
        <v>46083</v>
      </c>
      <c r="B539" s="43" t="inlineStr">
        <is>
          <t>Tech A</t>
        </is>
      </c>
      <c r="C539" s="32" t="n">
        <v>26.2</v>
      </c>
      <c r="D539" s="32" t="n">
        <v>2.4</v>
      </c>
      <c r="E539" s="32" t="n">
        <v>1.6</v>
      </c>
      <c r="F539" s="32" t="n">
        <v>0</v>
      </c>
      <c r="G539" s="32">
        <f>C539+D539+E539+F539</f>
        <v/>
      </c>
    </row>
    <row r="540">
      <c r="A540" s="31" t="n">
        <v>46083</v>
      </c>
      <c r="B540" s="43" t="inlineStr">
        <is>
          <t>Tech B</t>
        </is>
      </c>
      <c r="C540" s="32" t="n">
        <v>41.8</v>
      </c>
      <c r="D540" s="32" t="n">
        <v>0</v>
      </c>
      <c r="E540" s="32" t="n">
        <v>0</v>
      </c>
      <c r="F540" s="32" t="n">
        <v>0</v>
      </c>
      <c r="G540" s="32">
        <f>C540+D540+E540+F540</f>
        <v/>
      </c>
    </row>
    <row r="541">
      <c r="A541" s="31" t="n">
        <v>46083</v>
      </c>
      <c r="B541" s="43" t="inlineStr">
        <is>
          <t>Tech C</t>
        </is>
      </c>
      <c r="C541" s="32" t="n">
        <v>28.5</v>
      </c>
      <c r="D541" s="32" t="n">
        <v>3.7</v>
      </c>
      <c r="E541" s="32" t="n">
        <v>0</v>
      </c>
      <c r="F541" s="32" t="n">
        <v>0</v>
      </c>
      <c r="G541" s="32">
        <f>C541+D541+E541+F541</f>
        <v/>
      </c>
    </row>
    <row r="542">
      <c r="A542" s="31" t="n">
        <v>46083</v>
      </c>
      <c r="B542" s="43" t="inlineStr">
        <is>
          <t>Tech D</t>
        </is>
      </c>
      <c r="C542" s="32" t="n">
        <v>42.5</v>
      </c>
      <c r="D542" s="32" t="n">
        <v>0</v>
      </c>
      <c r="E542" s="32" t="n">
        <v>1.1</v>
      </c>
      <c r="F542" s="32" t="n">
        <v>0</v>
      </c>
      <c r="G542" s="32">
        <f>C542+D542+E542+F542</f>
        <v/>
      </c>
    </row>
    <row r="543">
      <c r="A543" s="31" t="n">
        <v>46083</v>
      </c>
      <c r="B543" s="43" t="inlineStr">
        <is>
          <t>Tech E</t>
        </is>
      </c>
      <c r="C543" s="32" t="n">
        <v>26.3</v>
      </c>
      <c r="D543" s="32" t="n">
        <v>0</v>
      </c>
      <c r="E543" s="32" t="n">
        <v>0</v>
      </c>
      <c r="F543" s="32" t="n">
        <v>0</v>
      </c>
      <c r="G543" s="32">
        <f>C543+D543+E543+F543</f>
        <v/>
      </c>
    </row>
    <row r="544">
      <c r="A544" s="31" t="n">
        <v>46083</v>
      </c>
      <c r="B544" s="43" t="inlineStr">
        <is>
          <t>Tech F</t>
        </is>
      </c>
      <c r="C544" s="32" t="n">
        <v>17.4</v>
      </c>
      <c r="D544" s="32" t="n">
        <v>3.6</v>
      </c>
      <c r="E544" s="32" t="n">
        <v>1.3</v>
      </c>
      <c r="F544" s="32" t="n">
        <v>0</v>
      </c>
      <c r="G544" s="32">
        <f>C544+D544+E544+F544</f>
        <v/>
      </c>
    </row>
    <row r="545">
      <c r="A545" s="31" t="n">
        <v>46083</v>
      </c>
      <c r="B545" s="43" t="inlineStr">
        <is>
          <t>Tech G</t>
        </is>
      </c>
      <c r="C545" s="32" t="n">
        <v>44</v>
      </c>
      <c r="D545" s="32" t="n">
        <v>0</v>
      </c>
      <c r="E545" s="32" t="n">
        <v>1</v>
      </c>
      <c r="F545" s="32" t="n">
        <v>0</v>
      </c>
      <c r="G545" s="32">
        <f>C545+D545+E545+F545</f>
        <v/>
      </c>
    </row>
    <row r="546">
      <c r="A546" s="31" t="n">
        <v>46083</v>
      </c>
      <c r="B546" s="43" t="inlineStr">
        <is>
          <t>Tech H</t>
        </is>
      </c>
      <c r="C546" s="32" t="n">
        <v>41.3</v>
      </c>
      <c r="D546" s="32" t="n">
        <v>4.3</v>
      </c>
      <c r="E546" s="32" t="n">
        <v>0</v>
      </c>
      <c r="F546" s="32" t="n">
        <v>8</v>
      </c>
      <c r="G546" s="32">
        <f>C546+D546+E546+F546</f>
        <v/>
      </c>
    </row>
    <row r="547">
      <c r="A547" s="31" t="n">
        <v>46090</v>
      </c>
      <c r="B547" s="43" t="inlineStr">
        <is>
          <t>Tech A</t>
        </is>
      </c>
      <c r="C547" s="32" t="n">
        <v>41</v>
      </c>
      <c r="D547" s="32" t="n">
        <v>5.7</v>
      </c>
      <c r="E547" s="32" t="n">
        <v>2.2</v>
      </c>
      <c r="F547" s="32" t="n">
        <v>0</v>
      </c>
      <c r="G547" s="32">
        <f>C547+D547+E547+F547</f>
        <v/>
      </c>
    </row>
    <row r="548">
      <c r="A548" s="31" t="n">
        <v>46090</v>
      </c>
      <c r="B548" s="43" t="inlineStr">
        <is>
          <t>Tech B</t>
        </is>
      </c>
      <c r="C548" s="32" t="n">
        <v>52.8</v>
      </c>
      <c r="D548" s="32" t="n">
        <v>0</v>
      </c>
      <c r="E548" s="32" t="n">
        <v>5.2</v>
      </c>
      <c r="F548" s="32" t="n">
        <v>0</v>
      </c>
      <c r="G548" s="32">
        <f>C548+D548+E548+F548</f>
        <v/>
      </c>
    </row>
    <row r="549">
      <c r="A549" s="31" t="n">
        <v>46090</v>
      </c>
      <c r="B549" s="43" t="inlineStr">
        <is>
          <t>Tech C</t>
        </is>
      </c>
      <c r="C549" s="32" t="n">
        <v>51.1</v>
      </c>
      <c r="D549" s="32" t="n">
        <v>0</v>
      </c>
      <c r="E549" s="32" t="n">
        <v>0</v>
      </c>
      <c r="F549" s="32" t="n">
        <v>0</v>
      </c>
      <c r="G549" s="32">
        <f>C549+D549+E549+F549</f>
        <v/>
      </c>
    </row>
    <row r="550">
      <c r="A550" s="31" t="n">
        <v>46090</v>
      </c>
      <c r="B550" s="43" t="inlineStr">
        <is>
          <t>Tech D</t>
        </is>
      </c>
      <c r="C550" s="32" t="n">
        <v>27.2</v>
      </c>
      <c r="D550" s="32" t="n">
        <v>0</v>
      </c>
      <c r="E550" s="32" t="n">
        <v>0</v>
      </c>
      <c r="F550" s="32" t="n">
        <v>0</v>
      </c>
      <c r="G550" s="32">
        <f>C550+D550+E550+F550</f>
        <v/>
      </c>
    </row>
    <row r="551">
      <c r="A551" s="31" t="n">
        <v>46090</v>
      </c>
      <c r="B551" s="43" t="inlineStr">
        <is>
          <t>Tech E</t>
        </is>
      </c>
      <c r="C551" s="32" t="n">
        <v>20.9</v>
      </c>
      <c r="D551" s="32" t="n">
        <v>0</v>
      </c>
      <c r="E551" s="32" t="n">
        <v>2.6</v>
      </c>
      <c r="F551" s="32" t="n">
        <v>0</v>
      </c>
      <c r="G551" s="32">
        <f>C551+D551+E551+F551</f>
        <v/>
      </c>
    </row>
    <row r="552">
      <c r="A552" s="31" t="n">
        <v>46090</v>
      </c>
      <c r="B552" s="43" t="inlineStr">
        <is>
          <t>Tech F</t>
        </is>
      </c>
      <c r="C552" s="32" t="n">
        <v>40.2</v>
      </c>
      <c r="D552" s="32" t="n">
        <v>4.2</v>
      </c>
      <c r="E552" s="32" t="n">
        <v>0</v>
      </c>
      <c r="F552" s="32" t="n">
        <v>0</v>
      </c>
      <c r="G552" s="32">
        <f>C552+D552+E552+F552</f>
        <v/>
      </c>
    </row>
    <row r="553">
      <c r="A553" s="31" t="n">
        <v>46090</v>
      </c>
      <c r="B553" s="43" t="inlineStr">
        <is>
          <t>Tech G</t>
        </is>
      </c>
      <c r="C553" s="32" t="n">
        <v>34.8</v>
      </c>
      <c r="D553" s="32" t="n">
        <v>7.1</v>
      </c>
      <c r="E553" s="32" t="n">
        <v>0</v>
      </c>
      <c r="F553" s="32" t="n">
        <v>0</v>
      </c>
      <c r="G553" s="32">
        <f>C553+D553+E553+F553</f>
        <v/>
      </c>
    </row>
    <row r="554">
      <c r="A554" s="31" t="n">
        <v>46097</v>
      </c>
      <c r="B554" s="43" t="inlineStr">
        <is>
          <t>Tech A</t>
        </is>
      </c>
      <c r="C554" s="32" t="n">
        <v>43.3</v>
      </c>
      <c r="D554" s="32" t="n">
        <v>7</v>
      </c>
      <c r="E554" s="32" t="n">
        <v>0</v>
      </c>
      <c r="F554" s="32" t="n">
        <v>0</v>
      </c>
      <c r="G554" s="32">
        <f>C554+D554+E554+F554</f>
        <v/>
      </c>
    </row>
    <row r="555">
      <c r="A555" s="31" t="n">
        <v>46097</v>
      </c>
      <c r="B555" s="43" t="inlineStr">
        <is>
          <t>Tech B</t>
        </is>
      </c>
      <c r="C555" s="32" t="n">
        <v>29.8</v>
      </c>
      <c r="D555" s="32" t="n">
        <v>0</v>
      </c>
      <c r="E555" s="32" t="n">
        <v>0.6</v>
      </c>
      <c r="F555" s="32" t="n">
        <v>0</v>
      </c>
      <c r="G555" s="32">
        <f>C555+D555+E555+F555</f>
        <v/>
      </c>
    </row>
    <row r="556">
      <c r="A556" s="31" t="n">
        <v>46097</v>
      </c>
      <c r="B556" s="43" t="inlineStr">
        <is>
          <t>Tech C</t>
        </is>
      </c>
      <c r="C556" s="32" t="n">
        <v>26.6</v>
      </c>
      <c r="D556" s="32" t="n">
        <v>5.7</v>
      </c>
      <c r="E556" s="32" t="n">
        <v>0.8</v>
      </c>
      <c r="F556" s="32" t="n">
        <v>0</v>
      </c>
      <c r="G556" s="32">
        <f>C556+D556+E556+F556</f>
        <v/>
      </c>
    </row>
    <row r="557">
      <c r="A557" s="31" t="n">
        <v>46097</v>
      </c>
      <c r="B557" s="43" t="inlineStr">
        <is>
          <t>Tech D</t>
        </is>
      </c>
      <c r="C557" s="32" t="n">
        <v>22.6</v>
      </c>
      <c r="D557" s="32" t="n">
        <v>0</v>
      </c>
      <c r="E557" s="32" t="n">
        <v>0</v>
      </c>
      <c r="F557" s="32" t="n">
        <v>0</v>
      </c>
      <c r="G557" s="32">
        <f>C557+D557+E557+F557</f>
        <v/>
      </c>
    </row>
    <row r="558">
      <c r="A558" s="31" t="n">
        <v>46097</v>
      </c>
      <c r="B558" s="43" t="inlineStr">
        <is>
          <t>Tech E</t>
        </is>
      </c>
      <c r="C558" s="32" t="n">
        <v>30.8</v>
      </c>
      <c r="D558" s="32" t="n">
        <v>0</v>
      </c>
      <c r="E558" s="32" t="n">
        <v>0</v>
      </c>
      <c r="F558" s="32" t="n">
        <v>0</v>
      </c>
      <c r="G558" s="32">
        <f>C558+D558+E558+F558</f>
        <v/>
      </c>
    </row>
    <row r="559">
      <c r="A559" s="31" t="n">
        <v>46097</v>
      </c>
      <c r="B559" s="43" t="inlineStr">
        <is>
          <t>Tech F</t>
        </is>
      </c>
      <c r="C559" s="32" t="n">
        <v>31.8</v>
      </c>
      <c r="D559" s="32" t="n">
        <v>0</v>
      </c>
      <c r="E559" s="32" t="n">
        <v>0</v>
      </c>
      <c r="F559" s="32" t="n">
        <v>0</v>
      </c>
      <c r="G559" s="32">
        <f>C559+D559+E559+F559</f>
        <v/>
      </c>
    </row>
    <row r="560">
      <c r="A560" s="31" t="n">
        <v>46097</v>
      </c>
      <c r="B560" s="43" t="inlineStr">
        <is>
          <t>Tech G</t>
        </is>
      </c>
      <c r="C560" s="32" t="n">
        <v>36</v>
      </c>
      <c r="D560" s="32" t="n">
        <v>0</v>
      </c>
      <c r="E560" s="32" t="n">
        <v>0.7</v>
      </c>
      <c r="F560" s="32" t="n">
        <v>0</v>
      </c>
      <c r="G560" s="32">
        <f>C560+D560+E560+F560</f>
        <v/>
      </c>
    </row>
    <row r="561">
      <c r="A561" s="31" t="n">
        <v>46097</v>
      </c>
      <c r="B561" s="43" t="inlineStr">
        <is>
          <t>Tech H</t>
        </is>
      </c>
      <c r="C561" s="32" t="n">
        <v>19.7</v>
      </c>
      <c r="D561" s="32" t="n">
        <v>6.3</v>
      </c>
      <c r="E561" s="32" t="n">
        <v>0</v>
      </c>
      <c r="F561" s="32" t="n">
        <v>0</v>
      </c>
      <c r="G561" s="32">
        <f>C561+D561+E561+F561</f>
        <v/>
      </c>
    </row>
    <row r="562">
      <c r="A562" s="31" t="n">
        <v>46097</v>
      </c>
      <c r="B562" s="43" t="inlineStr">
        <is>
          <t>Tech I</t>
        </is>
      </c>
      <c r="C562" s="32" t="n">
        <v>34.4</v>
      </c>
      <c r="D562" s="32" t="n">
        <v>4</v>
      </c>
      <c r="E562" s="32" t="n">
        <v>0.9</v>
      </c>
      <c r="F562" s="32" t="n">
        <v>0</v>
      </c>
      <c r="G562" s="32">
        <f>C562+D562+E562+F562</f>
        <v/>
      </c>
    </row>
    <row r="563">
      <c r="A563" s="31" t="n">
        <v>46104</v>
      </c>
      <c r="B563" s="43" t="inlineStr">
        <is>
          <t>Tech A</t>
        </is>
      </c>
      <c r="C563" s="32" t="n">
        <v>24</v>
      </c>
      <c r="D563" s="32" t="n">
        <v>4.9</v>
      </c>
      <c r="E563" s="32" t="n">
        <v>0</v>
      </c>
      <c r="F563" s="32" t="n">
        <v>0</v>
      </c>
      <c r="G563" s="32">
        <f>C563+D563+E563+F563</f>
        <v/>
      </c>
    </row>
    <row r="564">
      <c r="A564" s="31" t="n">
        <v>46104</v>
      </c>
      <c r="B564" s="43" t="inlineStr">
        <is>
          <t>Tech B</t>
        </is>
      </c>
      <c r="C564" s="32" t="n">
        <v>39.1</v>
      </c>
      <c r="D564" s="32" t="n">
        <v>4.1</v>
      </c>
      <c r="E564" s="32" t="n">
        <v>0</v>
      </c>
      <c r="F564" s="32" t="n">
        <v>0</v>
      </c>
      <c r="G564" s="32">
        <f>C564+D564+E564+F564</f>
        <v/>
      </c>
    </row>
    <row r="565">
      <c r="A565" s="31" t="n">
        <v>46104</v>
      </c>
      <c r="B565" s="43" t="inlineStr">
        <is>
          <t>Tech C</t>
        </is>
      </c>
      <c r="C565" s="32" t="n">
        <v>48.5</v>
      </c>
      <c r="D565" s="32" t="n">
        <v>0</v>
      </c>
      <c r="E565" s="32" t="n">
        <v>1.2</v>
      </c>
      <c r="F565" s="32" t="n">
        <v>0</v>
      </c>
      <c r="G565" s="32">
        <f>C565+D565+E565+F565</f>
        <v/>
      </c>
    </row>
    <row r="566">
      <c r="A566" s="31" t="n">
        <v>46104</v>
      </c>
      <c r="B566" s="43" t="inlineStr">
        <is>
          <t>Tech D</t>
        </is>
      </c>
      <c r="C566" s="32" t="n">
        <v>45.9</v>
      </c>
      <c r="D566" s="32" t="n">
        <v>0</v>
      </c>
      <c r="E566" s="32" t="n">
        <v>0.4</v>
      </c>
      <c r="F566" s="32" t="n">
        <v>0</v>
      </c>
      <c r="G566" s="32">
        <f>C566+D566+E566+F566</f>
        <v/>
      </c>
    </row>
    <row r="567">
      <c r="A567" s="31" t="n">
        <v>46104</v>
      </c>
      <c r="B567" s="43" t="inlineStr">
        <is>
          <t>Tech E</t>
        </is>
      </c>
      <c r="C567" s="32" t="n">
        <v>20.2</v>
      </c>
      <c r="D567" s="32" t="n">
        <v>0</v>
      </c>
      <c r="E567" s="32" t="n">
        <v>0</v>
      </c>
      <c r="F567" s="32" t="n">
        <v>0</v>
      </c>
      <c r="G567" s="32">
        <f>C567+D567+E567+F567</f>
        <v/>
      </c>
    </row>
    <row r="568">
      <c r="A568" s="31" t="n">
        <v>46104</v>
      </c>
      <c r="B568" s="43" t="inlineStr">
        <is>
          <t>Tech F</t>
        </is>
      </c>
      <c r="C568" s="32" t="n">
        <v>41.7</v>
      </c>
      <c r="D568" s="32" t="n">
        <v>0</v>
      </c>
      <c r="E568" s="32" t="n">
        <v>1.2</v>
      </c>
      <c r="F568" s="32" t="n">
        <v>0</v>
      </c>
      <c r="G568" s="32">
        <f>C568+D568+E568+F568</f>
        <v/>
      </c>
    </row>
    <row r="569">
      <c r="A569" s="31" t="n">
        <v>46104</v>
      </c>
      <c r="B569" s="43" t="inlineStr">
        <is>
          <t>Tech G</t>
        </is>
      </c>
      <c r="C569" s="32" t="n">
        <v>23.5</v>
      </c>
      <c r="D569" s="32" t="n">
        <v>4.4</v>
      </c>
      <c r="E569" s="32" t="n">
        <v>1.2</v>
      </c>
      <c r="F569" s="32" t="n">
        <v>0</v>
      </c>
      <c r="G569" s="32">
        <f>C569+D569+E569+F569</f>
        <v/>
      </c>
    </row>
    <row r="570">
      <c r="A570" s="31" t="n">
        <v>46104</v>
      </c>
      <c r="B570" s="43" t="inlineStr">
        <is>
          <t>Tech H</t>
        </is>
      </c>
      <c r="C570" s="32" t="n">
        <v>26.1</v>
      </c>
      <c r="D570" s="32" t="n">
        <v>2.6</v>
      </c>
      <c r="E570" s="32" t="n">
        <v>0</v>
      </c>
      <c r="F570" s="32" t="n">
        <v>0</v>
      </c>
      <c r="G570" s="32">
        <f>C570+D570+E570+F570</f>
        <v/>
      </c>
    </row>
    <row r="571">
      <c r="A571" s="31" t="n">
        <v>46111</v>
      </c>
      <c r="B571" s="43" t="inlineStr">
        <is>
          <t>Tech A</t>
        </is>
      </c>
      <c r="C571" s="32" t="n">
        <v>49.9</v>
      </c>
      <c r="D571" s="32" t="n">
        <v>9.1</v>
      </c>
      <c r="E571" s="32" t="n">
        <v>0</v>
      </c>
      <c r="F571" s="32" t="n">
        <v>0</v>
      </c>
      <c r="G571" s="32">
        <f>C571+D571+E571+F571</f>
        <v/>
      </c>
    </row>
    <row r="572">
      <c r="A572" s="31" t="n">
        <v>46111</v>
      </c>
      <c r="B572" s="43" t="inlineStr">
        <is>
          <t>Tech B</t>
        </is>
      </c>
      <c r="C572" s="32" t="n">
        <v>34.5</v>
      </c>
      <c r="D572" s="32" t="n">
        <v>0</v>
      </c>
      <c r="E572" s="32" t="n">
        <v>0</v>
      </c>
      <c r="F572" s="32" t="n">
        <v>0</v>
      </c>
      <c r="G572" s="32">
        <f>C572+D572+E572+F572</f>
        <v/>
      </c>
    </row>
    <row r="573">
      <c r="A573" s="31" t="n">
        <v>46111</v>
      </c>
      <c r="B573" s="43" t="inlineStr">
        <is>
          <t>Tech C</t>
        </is>
      </c>
      <c r="C573" s="32" t="n">
        <v>40.5</v>
      </c>
      <c r="D573" s="32" t="n">
        <v>0</v>
      </c>
      <c r="E573" s="32" t="n">
        <v>0</v>
      </c>
      <c r="F573" s="32" t="n">
        <v>0</v>
      </c>
      <c r="G573" s="32">
        <f>C573+D573+E573+F573</f>
        <v/>
      </c>
    </row>
    <row r="574">
      <c r="A574" s="31" t="n">
        <v>46111</v>
      </c>
      <c r="B574" s="43" t="inlineStr">
        <is>
          <t>Tech D</t>
        </is>
      </c>
      <c r="C574" s="32" t="n">
        <v>33.6</v>
      </c>
      <c r="D574" s="32" t="n">
        <v>5.9</v>
      </c>
      <c r="E574" s="32" t="n">
        <v>0</v>
      </c>
      <c r="F574" s="32" t="n">
        <v>0</v>
      </c>
      <c r="G574" s="32">
        <f>C574+D574+E574+F574</f>
        <v/>
      </c>
    </row>
    <row r="575">
      <c r="A575" s="31" t="n">
        <v>46111</v>
      </c>
      <c r="B575" s="43" t="inlineStr">
        <is>
          <t>Tech E</t>
        </is>
      </c>
      <c r="C575" s="32" t="n">
        <v>29.8</v>
      </c>
      <c r="D575" s="32" t="n">
        <v>0</v>
      </c>
      <c r="E575" s="32" t="n">
        <v>0</v>
      </c>
      <c r="F575" s="32" t="n">
        <v>8</v>
      </c>
      <c r="G575" s="32">
        <f>C575+D575+E575+F575</f>
        <v/>
      </c>
    </row>
    <row r="576">
      <c r="A576" s="31" t="n">
        <v>46111</v>
      </c>
      <c r="B576" s="43" t="inlineStr">
        <is>
          <t>Tech F</t>
        </is>
      </c>
      <c r="C576" s="32" t="n">
        <v>39.6</v>
      </c>
      <c r="D576" s="32" t="n">
        <v>5</v>
      </c>
      <c r="E576" s="32" t="n">
        <v>0</v>
      </c>
      <c r="F576" s="32" t="n">
        <v>0</v>
      </c>
      <c r="G576" s="32">
        <f>C576+D576+E576+F576</f>
        <v/>
      </c>
    </row>
    <row r="577">
      <c r="A577" s="31" t="n">
        <v>46111</v>
      </c>
      <c r="B577" s="43" t="inlineStr">
        <is>
          <t>Tech G</t>
        </is>
      </c>
      <c r="C577" s="32" t="n">
        <v>39.1</v>
      </c>
      <c r="D577" s="32" t="n">
        <v>0</v>
      </c>
      <c r="E577" s="32" t="n">
        <v>0</v>
      </c>
      <c r="F577" s="32" t="n">
        <v>0</v>
      </c>
      <c r="G577" s="32">
        <f>C577+D577+E577+F577</f>
        <v/>
      </c>
    </row>
    <row r="578">
      <c r="A578" s="31" t="n">
        <v>46118</v>
      </c>
      <c r="B578" s="43" t="inlineStr">
        <is>
          <t>Tech A</t>
        </is>
      </c>
      <c r="C578" s="32" t="n">
        <v>18.6</v>
      </c>
      <c r="D578" s="32" t="n">
        <v>0</v>
      </c>
      <c r="E578" s="32" t="n">
        <v>3.5</v>
      </c>
      <c r="F578" s="32" t="n">
        <v>4</v>
      </c>
      <c r="G578" s="32">
        <f>C578+D578+E578+F578</f>
        <v/>
      </c>
    </row>
    <row r="579">
      <c r="A579" s="31" t="n">
        <v>46118</v>
      </c>
      <c r="B579" s="43" t="inlineStr">
        <is>
          <t>Tech B</t>
        </is>
      </c>
      <c r="C579" s="32" t="n">
        <v>27.2</v>
      </c>
      <c r="D579" s="32" t="n">
        <v>6.2</v>
      </c>
      <c r="E579" s="32" t="n">
        <v>0</v>
      </c>
      <c r="F579" s="32" t="n">
        <v>0</v>
      </c>
      <c r="G579" s="32">
        <f>C579+D579+E579+F579</f>
        <v/>
      </c>
    </row>
    <row r="580">
      <c r="A580" s="31" t="n">
        <v>46118</v>
      </c>
      <c r="B580" s="43" t="inlineStr">
        <is>
          <t>Tech C</t>
        </is>
      </c>
      <c r="C580" s="32" t="n">
        <v>19</v>
      </c>
      <c r="D580" s="32" t="n">
        <v>0</v>
      </c>
      <c r="E580" s="32" t="n">
        <v>0</v>
      </c>
      <c r="F580" s="32" t="n">
        <v>0</v>
      </c>
      <c r="G580" s="32">
        <f>C580+D580+E580+F580</f>
        <v/>
      </c>
    </row>
    <row r="581">
      <c r="A581" s="31" t="n">
        <v>46118</v>
      </c>
      <c r="B581" s="43" t="inlineStr">
        <is>
          <t>Tech D</t>
        </is>
      </c>
      <c r="C581" s="32" t="n">
        <v>26.7</v>
      </c>
      <c r="D581" s="32" t="n">
        <v>0</v>
      </c>
      <c r="E581" s="32" t="n">
        <v>0</v>
      </c>
      <c r="F581" s="32" t="n">
        <v>0</v>
      </c>
      <c r="G581" s="32">
        <f>C581+D581+E581+F581</f>
        <v/>
      </c>
    </row>
    <row r="582">
      <c r="A582" s="31" t="n">
        <v>46118</v>
      </c>
      <c r="B582" s="43" t="inlineStr">
        <is>
          <t>Tech E</t>
        </is>
      </c>
      <c r="C582" s="32" t="n">
        <v>36.7</v>
      </c>
      <c r="D582" s="32" t="n">
        <v>0</v>
      </c>
      <c r="E582" s="32" t="n">
        <v>1.5</v>
      </c>
      <c r="F582" s="32" t="n">
        <v>8</v>
      </c>
      <c r="G582" s="32">
        <f>C582+D582+E582+F582</f>
        <v/>
      </c>
    </row>
    <row r="583">
      <c r="A583" s="31" t="n">
        <v>46118</v>
      </c>
      <c r="B583" s="43" t="inlineStr">
        <is>
          <t>Tech F</t>
        </is>
      </c>
      <c r="C583" s="32" t="n">
        <v>21.3</v>
      </c>
      <c r="D583" s="32" t="n">
        <v>3.2</v>
      </c>
      <c r="E583" s="32" t="n">
        <v>0</v>
      </c>
      <c r="F583" s="32" t="n">
        <v>0</v>
      </c>
      <c r="G583" s="32">
        <f>C583+D583+E583+F583</f>
        <v/>
      </c>
    </row>
    <row r="584">
      <c r="A584" s="31" t="n">
        <v>46118</v>
      </c>
      <c r="B584" s="43" t="inlineStr">
        <is>
          <t>Tech G</t>
        </is>
      </c>
      <c r="C584" s="32" t="n">
        <v>32.1</v>
      </c>
      <c r="D584" s="32" t="n">
        <v>0</v>
      </c>
      <c r="E584" s="32" t="n">
        <v>0</v>
      </c>
      <c r="F584" s="32" t="n">
        <v>0</v>
      </c>
      <c r="G584" s="32">
        <f>C584+D584+E584+F584</f>
        <v/>
      </c>
    </row>
    <row r="585">
      <c r="A585" s="31" t="n">
        <v>46118</v>
      </c>
      <c r="B585" s="43" t="inlineStr">
        <is>
          <t>Tech H</t>
        </is>
      </c>
      <c r="C585" s="32" t="n">
        <v>25.2</v>
      </c>
      <c r="D585" s="32" t="n">
        <v>5.8</v>
      </c>
      <c r="E585" s="32" t="n">
        <v>3.5</v>
      </c>
      <c r="F585" s="32" t="n">
        <v>0</v>
      </c>
      <c r="G585" s="32">
        <f>C585+D585+E585+F585</f>
        <v/>
      </c>
    </row>
    <row r="586">
      <c r="A586" s="31" t="n">
        <v>46118</v>
      </c>
      <c r="B586" s="43" t="inlineStr">
        <is>
          <t>Tech I</t>
        </is>
      </c>
      <c r="C586" s="32" t="n">
        <v>31.2</v>
      </c>
      <c r="D586" s="32" t="n">
        <v>4.8</v>
      </c>
      <c r="E586" s="32" t="n">
        <v>1.5</v>
      </c>
      <c r="F586" s="32" t="n">
        <v>0</v>
      </c>
      <c r="G586" s="32">
        <f>C586+D586+E586+F586</f>
        <v/>
      </c>
    </row>
    <row r="587">
      <c r="A587" s="31" t="n">
        <v>46125</v>
      </c>
      <c r="B587" s="43" t="inlineStr">
        <is>
          <t>Tech A</t>
        </is>
      </c>
      <c r="C587" s="32" t="n">
        <v>38.3</v>
      </c>
      <c r="D587" s="32" t="n">
        <v>6.7</v>
      </c>
      <c r="E587" s="32" t="n">
        <v>0</v>
      </c>
      <c r="F587" s="32" t="n">
        <v>0</v>
      </c>
      <c r="G587" s="32">
        <f>C587+D587+E587+F587</f>
        <v/>
      </c>
    </row>
    <row r="588">
      <c r="A588" s="31" t="n">
        <v>46125</v>
      </c>
      <c r="B588" s="43" t="inlineStr">
        <is>
          <t>Tech B</t>
        </is>
      </c>
      <c r="C588" s="32" t="n">
        <v>38.4</v>
      </c>
      <c r="D588" s="32" t="n">
        <v>0</v>
      </c>
      <c r="E588" s="32" t="n">
        <v>1.5</v>
      </c>
      <c r="F588" s="32" t="n">
        <v>0</v>
      </c>
      <c r="G588" s="32">
        <f>C588+D588+E588+F588</f>
        <v/>
      </c>
    </row>
    <row r="589">
      <c r="A589" s="31" t="n">
        <v>46125</v>
      </c>
      <c r="B589" s="43" t="inlineStr">
        <is>
          <t>Tech C</t>
        </is>
      </c>
      <c r="C589" s="32" t="n">
        <v>19.7</v>
      </c>
      <c r="D589" s="32" t="n">
        <v>0</v>
      </c>
      <c r="E589" s="32" t="n">
        <v>2</v>
      </c>
      <c r="F589" s="32" t="n">
        <v>0</v>
      </c>
      <c r="G589" s="32">
        <f>C589+D589+E589+F589</f>
        <v/>
      </c>
    </row>
    <row r="590">
      <c r="A590" s="31" t="n">
        <v>46125</v>
      </c>
      <c r="B590" s="43" t="inlineStr">
        <is>
          <t>Tech D</t>
        </is>
      </c>
      <c r="C590" s="32" t="n">
        <v>40.9</v>
      </c>
      <c r="D590" s="32" t="n">
        <v>7.2</v>
      </c>
      <c r="E590" s="32" t="n">
        <v>0</v>
      </c>
      <c r="F590" s="32" t="n">
        <v>0</v>
      </c>
      <c r="G590" s="32">
        <f>C590+D590+E590+F590</f>
        <v/>
      </c>
    </row>
    <row r="591">
      <c r="A591" s="31" t="n">
        <v>46125</v>
      </c>
      <c r="B591" s="43" t="inlineStr">
        <is>
          <t>Tech E</t>
        </is>
      </c>
      <c r="C591" s="32" t="n">
        <v>19.9</v>
      </c>
      <c r="D591" s="32" t="n">
        <v>3.1</v>
      </c>
      <c r="E591" s="32" t="n">
        <v>1.1</v>
      </c>
      <c r="F591" s="32" t="n">
        <v>0</v>
      </c>
      <c r="G591" s="32">
        <f>C591+D591+E591+F591</f>
        <v/>
      </c>
    </row>
    <row r="592">
      <c r="A592" s="31" t="n">
        <v>46125</v>
      </c>
      <c r="B592" s="43" t="inlineStr">
        <is>
          <t>Tech F</t>
        </is>
      </c>
      <c r="C592" s="32" t="n">
        <v>40.1</v>
      </c>
      <c r="D592" s="32" t="n">
        <v>3</v>
      </c>
      <c r="E592" s="32" t="n">
        <v>0</v>
      </c>
      <c r="F592" s="32" t="n">
        <v>0</v>
      </c>
      <c r="G592" s="32">
        <f>C592+D592+E592+F592</f>
        <v/>
      </c>
    </row>
    <row r="593">
      <c r="A593" s="31" t="n">
        <v>46125</v>
      </c>
      <c r="B593" s="43" t="inlineStr">
        <is>
          <t>Tech G</t>
        </is>
      </c>
      <c r="C593" s="32" t="n">
        <v>30.2</v>
      </c>
      <c r="D593" s="32" t="n">
        <v>0</v>
      </c>
      <c r="E593" s="32" t="n">
        <v>1.4</v>
      </c>
      <c r="F593" s="32" t="n">
        <v>0</v>
      </c>
      <c r="G593" s="32">
        <f>C593+D593+E593+F593</f>
        <v/>
      </c>
    </row>
    <row r="594">
      <c r="A594" s="31" t="n">
        <v>46125</v>
      </c>
      <c r="B594" s="43" t="inlineStr">
        <is>
          <t>Tech H</t>
        </is>
      </c>
      <c r="C594" s="32" t="n">
        <v>57.5</v>
      </c>
      <c r="D594" s="32" t="n">
        <v>0</v>
      </c>
      <c r="E594" s="32" t="n">
        <v>0</v>
      </c>
      <c r="F594" s="32" t="n">
        <v>0</v>
      </c>
      <c r="G594" s="32">
        <f>C594+D594+E594+F594</f>
        <v/>
      </c>
    </row>
    <row r="595">
      <c r="A595" s="31" t="n">
        <v>46132</v>
      </c>
      <c r="B595" s="43" t="inlineStr">
        <is>
          <t>Tech A</t>
        </is>
      </c>
      <c r="C595" s="32" t="n">
        <v>46.4</v>
      </c>
      <c r="D595" s="32" t="n">
        <v>4.8</v>
      </c>
      <c r="E595" s="32" t="n">
        <v>1.7</v>
      </c>
      <c r="F595" s="32" t="n">
        <v>0</v>
      </c>
      <c r="G595" s="32">
        <f>C595+D595+E595+F595</f>
        <v/>
      </c>
    </row>
    <row r="596">
      <c r="A596" s="31" t="n">
        <v>46132</v>
      </c>
      <c r="B596" s="43" t="inlineStr">
        <is>
          <t>Tech B</t>
        </is>
      </c>
      <c r="C596" s="32" t="n">
        <v>43</v>
      </c>
      <c r="D596" s="32" t="n">
        <v>0</v>
      </c>
      <c r="E596" s="32" t="n">
        <v>0</v>
      </c>
      <c r="F596" s="32" t="n">
        <v>0</v>
      </c>
      <c r="G596" s="32">
        <f>C596+D596+E596+F596</f>
        <v/>
      </c>
    </row>
    <row r="597">
      <c r="A597" s="31" t="n">
        <v>46132</v>
      </c>
      <c r="B597" s="43" t="inlineStr">
        <is>
          <t>Tech C</t>
        </is>
      </c>
      <c r="C597" s="32" t="n">
        <v>20.3</v>
      </c>
      <c r="D597" s="32" t="n">
        <v>0</v>
      </c>
      <c r="E597" s="32" t="n">
        <v>0</v>
      </c>
      <c r="F597" s="32" t="n">
        <v>4</v>
      </c>
      <c r="G597" s="32">
        <f>C597+D597+E597+F597</f>
        <v/>
      </c>
    </row>
    <row r="598">
      <c r="A598" s="31" t="n">
        <v>46132</v>
      </c>
      <c r="B598" s="43" t="inlineStr">
        <is>
          <t>Tech D</t>
        </is>
      </c>
      <c r="C598" s="32" t="n">
        <v>30</v>
      </c>
      <c r="D598" s="32" t="n">
        <v>0</v>
      </c>
      <c r="E598" s="32" t="n">
        <v>0</v>
      </c>
      <c r="F598" s="32" t="n">
        <v>0</v>
      </c>
      <c r="G598" s="32">
        <f>C598+D598+E598+F598</f>
        <v/>
      </c>
    </row>
    <row r="599">
      <c r="A599" s="31" t="n">
        <v>46132</v>
      </c>
      <c r="B599" s="43" t="inlineStr">
        <is>
          <t>Tech E</t>
        </is>
      </c>
      <c r="C599" s="32" t="n">
        <v>35.9</v>
      </c>
      <c r="D599" s="32" t="n">
        <v>4.9</v>
      </c>
      <c r="E599" s="32" t="n">
        <v>1.1</v>
      </c>
      <c r="F599" s="32" t="n">
        <v>0</v>
      </c>
      <c r="G599" s="32">
        <f>C599+D599+E599+F599</f>
        <v/>
      </c>
    </row>
    <row r="600">
      <c r="A600" s="31" t="n">
        <v>46132</v>
      </c>
      <c r="B600" s="43" t="inlineStr">
        <is>
          <t>Tech F</t>
        </is>
      </c>
      <c r="C600" s="32" t="n">
        <v>19</v>
      </c>
      <c r="D600" s="32" t="n">
        <v>2.5</v>
      </c>
      <c r="E600" s="32" t="n">
        <v>0</v>
      </c>
      <c r="F600" s="32" t="n">
        <v>0</v>
      </c>
      <c r="G600" s="32">
        <f>C600+D600+E600+F600</f>
        <v/>
      </c>
    </row>
    <row r="601">
      <c r="A601" s="31" t="n">
        <v>46132</v>
      </c>
      <c r="B601" s="43" t="inlineStr">
        <is>
          <t>Tech G</t>
        </is>
      </c>
      <c r="C601" s="32" t="n">
        <v>17.4</v>
      </c>
      <c r="D601" s="32" t="n">
        <v>4.8</v>
      </c>
      <c r="E601" s="32" t="n">
        <v>1.5</v>
      </c>
      <c r="F601" s="32" t="n">
        <v>0</v>
      </c>
      <c r="G601" s="32">
        <f>C601+D601+E601+F601</f>
        <v/>
      </c>
    </row>
    <row r="602">
      <c r="A602" s="31" t="n">
        <v>46132</v>
      </c>
      <c r="B602" s="43" t="inlineStr">
        <is>
          <t>Tech H</t>
        </is>
      </c>
      <c r="C602" s="32" t="n">
        <v>22.9</v>
      </c>
      <c r="D602" s="32" t="n">
        <v>0</v>
      </c>
      <c r="E602" s="32" t="n">
        <v>1.7</v>
      </c>
      <c r="F602" s="32" t="n">
        <v>0</v>
      </c>
      <c r="G602" s="32">
        <f>C602+D602+E602+F602</f>
        <v/>
      </c>
    </row>
    <row r="603">
      <c r="A603" s="31" t="n">
        <v>46132</v>
      </c>
      <c r="B603" s="43" t="inlineStr">
        <is>
          <t>Tech I</t>
        </is>
      </c>
      <c r="C603" s="32" t="n">
        <v>34.1</v>
      </c>
      <c r="D603" s="32" t="n">
        <v>0</v>
      </c>
      <c r="E603" s="32" t="n">
        <v>0</v>
      </c>
      <c r="F603" s="32" t="n">
        <v>0</v>
      </c>
      <c r="G603" s="32">
        <f>C603+D603+E603+F603</f>
        <v/>
      </c>
    </row>
    <row r="604">
      <c r="A604" s="31" t="n">
        <v>46139</v>
      </c>
      <c r="B604" s="43" t="inlineStr">
        <is>
          <t>Tech A</t>
        </is>
      </c>
      <c r="C604" s="32" t="n">
        <v>17.8</v>
      </c>
      <c r="D604" s="32" t="n">
        <v>7.6</v>
      </c>
      <c r="E604" s="32" t="n">
        <v>0.6</v>
      </c>
      <c r="F604" s="32" t="n">
        <v>0</v>
      </c>
      <c r="G604" s="32">
        <f>C604+D604+E604+F604</f>
        <v/>
      </c>
    </row>
    <row r="605">
      <c r="A605" s="31" t="n">
        <v>46139</v>
      </c>
      <c r="B605" s="43" t="inlineStr">
        <is>
          <t>Tech B</t>
        </is>
      </c>
      <c r="C605" s="32" t="n">
        <v>32.1</v>
      </c>
      <c r="D605" s="32" t="n">
        <v>4.8</v>
      </c>
      <c r="E605" s="32" t="n">
        <v>0</v>
      </c>
      <c r="F605" s="32" t="n">
        <v>0</v>
      </c>
      <c r="G605" s="32">
        <f>C605+D605+E605+F605</f>
        <v/>
      </c>
    </row>
    <row r="606">
      <c r="A606" s="31" t="n">
        <v>46139</v>
      </c>
      <c r="B606" s="43" t="inlineStr">
        <is>
          <t>Tech C</t>
        </is>
      </c>
      <c r="C606" s="32" t="n">
        <v>21.4</v>
      </c>
      <c r="D606" s="32" t="n">
        <v>0</v>
      </c>
      <c r="E606" s="32" t="n">
        <v>0</v>
      </c>
      <c r="F606" s="32" t="n">
        <v>0</v>
      </c>
      <c r="G606" s="32">
        <f>C606+D606+E606+F606</f>
        <v/>
      </c>
    </row>
    <row r="607">
      <c r="A607" s="31" t="n">
        <v>46139</v>
      </c>
      <c r="B607" s="43" t="inlineStr">
        <is>
          <t>Tech D</t>
        </is>
      </c>
      <c r="C607" s="32" t="n">
        <v>33.6</v>
      </c>
      <c r="D607" s="32" t="n">
        <v>7.2</v>
      </c>
      <c r="E607" s="32" t="n">
        <v>0.5</v>
      </c>
      <c r="F607" s="32" t="n">
        <v>0</v>
      </c>
      <c r="G607" s="32">
        <f>C607+D607+E607+F607</f>
        <v/>
      </c>
    </row>
    <row r="608">
      <c r="A608" s="31" t="n">
        <v>46139</v>
      </c>
      <c r="B608" s="43" t="inlineStr">
        <is>
          <t>Tech E</t>
        </is>
      </c>
      <c r="C608" s="32" t="n">
        <v>20</v>
      </c>
      <c r="D608" s="32" t="n">
        <v>0</v>
      </c>
      <c r="E608" s="32" t="n">
        <v>0.8</v>
      </c>
      <c r="F608" s="32" t="n">
        <v>0</v>
      </c>
      <c r="G608" s="32">
        <f>C608+D608+E608+F608</f>
        <v/>
      </c>
    </row>
    <row r="609">
      <c r="A609" s="31" t="n">
        <v>46139</v>
      </c>
      <c r="B609" s="43" t="inlineStr">
        <is>
          <t>Tech F</t>
        </is>
      </c>
      <c r="C609" s="32" t="n">
        <v>30.2</v>
      </c>
      <c r="D609" s="32" t="n">
        <v>8.300000000000001</v>
      </c>
      <c r="E609" s="32" t="n">
        <v>0.5</v>
      </c>
      <c r="F609" s="32" t="n">
        <v>0</v>
      </c>
      <c r="G609" s="32">
        <f>C609+D609+E609+F609</f>
        <v/>
      </c>
    </row>
    <row r="610">
      <c r="A610" s="31" t="n">
        <v>46139</v>
      </c>
      <c r="B610" s="43" t="inlineStr">
        <is>
          <t>Tech G</t>
        </is>
      </c>
      <c r="C610" s="32" t="n">
        <v>15.4</v>
      </c>
      <c r="D610" s="32" t="n">
        <v>0</v>
      </c>
      <c r="E610" s="32" t="n">
        <v>0.6</v>
      </c>
      <c r="F610" s="32" t="n">
        <v>0</v>
      </c>
      <c r="G610" s="32">
        <f>C610+D610+E610+F610</f>
        <v/>
      </c>
    </row>
    <row r="611">
      <c r="A611" s="31" t="n">
        <v>46139</v>
      </c>
      <c r="B611" s="43" t="inlineStr">
        <is>
          <t>Tech H</t>
        </is>
      </c>
      <c r="C611" s="32" t="n">
        <v>35.8</v>
      </c>
      <c r="D611" s="32" t="n">
        <v>5.1</v>
      </c>
      <c r="E611" s="32" t="n">
        <v>0</v>
      </c>
      <c r="F611" s="32" t="n">
        <v>0</v>
      </c>
      <c r="G611" s="32">
        <f>C611+D611+E611+F611</f>
        <v/>
      </c>
    </row>
    <row r="612">
      <c r="A612" s="31" t="n">
        <v>46139</v>
      </c>
      <c r="B612" s="43" t="inlineStr">
        <is>
          <t>Tech I</t>
        </is>
      </c>
      <c r="C612" s="32" t="n">
        <v>29.5</v>
      </c>
      <c r="D612" s="32" t="n">
        <v>0</v>
      </c>
      <c r="E612" s="32" t="n">
        <v>0</v>
      </c>
      <c r="F612" s="32" t="n">
        <v>0</v>
      </c>
      <c r="G612" s="32">
        <f>C612+D612+E612+F612</f>
        <v/>
      </c>
    </row>
    <row r="613">
      <c r="A613" s="31" t="n">
        <v>46139</v>
      </c>
      <c r="B613" s="43" t="inlineStr">
        <is>
          <t>Tech J</t>
        </is>
      </c>
      <c r="C613" s="32" t="n">
        <v>24.2</v>
      </c>
      <c r="D613" s="32" t="n">
        <v>0</v>
      </c>
      <c r="E613" s="32" t="n">
        <v>0</v>
      </c>
      <c r="F613" s="32" t="n">
        <v>0</v>
      </c>
      <c r="G613" s="32">
        <f>C613+D613+E613+F613</f>
        <v/>
      </c>
    </row>
    <row r="614">
      <c r="A614" s="31" t="n">
        <v>46146</v>
      </c>
      <c r="B614" s="43" t="inlineStr">
        <is>
          <t>Tech A</t>
        </is>
      </c>
      <c r="C614" s="32" t="n">
        <v>43.8</v>
      </c>
      <c r="D614" s="32" t="n">
        <v>0</v>
      </c>
      <c r="E614" s="32" t="n">
        <v>1.2</v>
      </c>
      <c r="F614" s="32" t="n">
        <v>0</v>
      </c>
      <c r="G614" s="32">
        <f>C614+D614+E614+F614</f>
        <v/>
      </c>
    </row>
    <row r="615">
      <c r="A615" s="31" t="n">
        <v>46146</v>
      </c>
      <c r="B615" s="43" t="inlineStr">
        <is>
          <t>Tech B</t>
        </is>
      </c>
      <c r="C615" s="32" t="n">
        <v>32.5</v>
      </c>
      <c r="D615" s="32" t="n">
        <v>5.9</v>
      </c>
      <c r="E615" s="32" t="n">
        <v>0</v>
      </c>
      <c r="F615" s="32" t="n">
        <v>0</v>
      </c>
      <c r="G615" s="32">
        <f>C615+D615+E615+F615</f>
        <v/>
      </c>
    </row>
    <row r="616">
      <c r="A616" s="31" t="n">
        <v>46146</v>
      </c>
      <c r="B616" s="43" t="inlineStr">
        <is>
          <t>Tech C</t>
        </is>
      </c>
      <c r="C616" s="32" t="n">
        <v>27.1</v>
      </c>
      <c r="D616" s="32" t="n">
        <v>0</v>
      </c>
      <c r="E616" s="32" t="n">
        <v>2.2</v>
      </c>
      <c r="F616" s="32" t="n">
        <v>0</v>
      </c>
      <c r="G616" s="32">
        <f>C616+D616+E616+F616</f>
        <v/>
      </c>
    </row>
    <row r="617">
      <c r="A617" s="31" t="n">
        <v>46146</v>
      </c>
      <c r="B617" s="43" t="inlineStr">
        <is>
          <t>Tech D</t>
        </is>
      </c>
      <c r="C617" s="32" t="n">
        <v>43.3</v>
      </c>
      <c r="D617" s="32" t="n">
        <v>5.7</v>
      </c>
      <c r="E617" s="32" t="n">
        <v>0</v>
      </c>
      <c r="F617" s="32" t="n">
        <v>0</v>
      </c>
      <c r="G617" s="32">
        <f>C617+D617+E617+F617</f>
        <v/>
      </c>
    </row>
    <row r="618">
      <c r="A618" s="31" t="n">
        <v>46146</v>
      </c>
      <c r="B618" s="43" t="inlineStr">
        <is>
          <t>Tech E</t>
        </is>
      </c>
      <c r="C618" s="32" t="n">
        <v>46.1</v>
      </c>
      <c r="D618" s="32" t="n">
        <v>0</v>
      </c>
      <c r="E618" s="32" t="n">
        <v>1.6</v>
      </c>
      <c r="F618" s="32" t="n">
        <v>0</v>
      </c>
      <c r="G618" s="32">
        <f>C618+D618+E618+F618</f>
        <v/>
      </c>
    </row>
    <row r="619">
      <c r="A619" s="31" t="n">
        <v>46146</v>
      </c>
      <c r="B619" s="43" t="inlineStr">
        <is>
          <t>Tech F</t>
        </is>
      </c>
      <c r="C619" s="32" t="n">
        <v>41.3</v>
      </c>
      <c r="D619" s="32" t="n">
        <v>3.4</v>
      </c>
      <c r="E619" s="32" t="n">
        <v>0</v>
      </c>
      <c r="F619" s="32" t="n">
        <v>0</v>
      </c>
      <c r="G619" s="32">
        <f>C619+D619+E619+F619</f>
        <v/>
      </c>
    </row>
    <row r="620">
      <c r="A620" s="31" t="n">
        <v>46146</v>
      </c>
      <c r="B620" s="43" t="inlineStr">
        <is>
          <t>Tech G</t>
        </is>
      </c>
      <c r="C620" s="32" t="n">
        <v>33.9</v>
      </c>
      <c r="D620" s="32" t="n">
        <v>0</v>
      </c>
      <c r="E620" s="32" t="n">
        <v>0</v>
      </c>
      <c r="F620" s="32" t="n">
        <v>0</v>
      </c>
      <c r="G620" s="32">
        <f>C620+D620+E620+F620</f>
        <v/>
      </c>
    </row>
    <row r="621">
      <c r="A621" s="31" t="n">
        <v>46153</v>
      </c>
      <c r="B621" s="43" t="inlineStr">
        <is>
          <t>Tech A</t>
        </is>
      </c>
      <c r="C621" s="32" t="n">
        <v>39.3</v>
      </c>
      <c r="D621" s="32" t="n">
        <v>0</v>
      </c>
      <c r="E621" s="32" t="n">
        <v>0</v>
      </c>
      <c r="F621" s="32" t="n">
        <v>0</v>
      </c>
      <c r="G621" s="32">
        <f>C621+D621+E621+F621</f>
        <v/>
      </c>
    </row>
    <row r="622">
      <c r="A622" s="31" t="n">
        <v>46153</v>
      </c>
      <c r="B622" s="43" t="inlineStr">
        <is>
          <t>Tech B</t>
        </is>
      </c>
      <c r="C622" s="32" t="n">
        <v>24.5</v>
      </c>
      <c r="D622" s="32" t="n">
        <v>6.7</v>
      </c>
      <c r="E622" s="32" t="n">
        <v>0.6</v>
      </c>
      <c r="F622" s="32" t="n">
        <v>0</v>
      </c>
      <c r="G622" s="32">
        <f>C622+D622+E622+F622</f>
        <v/>
      </c>
    </row>
    <row r="623">
      <c r="A623" s="31" t="n">
        <v>46153</v>
      </c>
      <c r="B623" s="43" t="inlineStr">
        <is>
          <t>Tech C</t>
        </is>
      </c>
      <c r="C623" s="32" t="n">
        <v>32.3</v>
      </c>
      <c r="D623" s="32" t="n">
        <v>5.6</v>
      </c>
      <c r="E623" s="32" t="n">
        <v>1</v>
      </c>
      <c r="F623" s="32" t="n">
        <v>0</v>
      </c>
      <c r="G623" s="32">
        <f>C623+D623+E623+F623</f>
        <v/>
      </c>
    </row>
    <row r="624">
      <c r="A624" s="31" t="n">
        <v>46153</v>
      </c>
      <c r="B624" s="43" t="inlineStr">
        <is>
          <t>Tech D</t>
        </is>
      </c>
      <c r="C624" s="32" t="n">
        <v>23.4</v>
      </c>
      <c r="D624" s="32" t="n">
        <v>0</v>
      </c>
      <c r="E624" s="32" t="n">
        <v>0</v>
      </c>
      <c r="F624" s="32" t="n">
        <v>0</v>
      </c>
      <c r="G624" s="32">
        <f>C624+D624+E624+F624</f>
        <v/>
      </c>
    </row>
    <row r="625">
      <c r="A625" s="31" t="n">
        <v>46153</v>
      </c>
      <c r="B625" s="43" t="inlineStr">
        <is>
          <t>Tech E</t>
        </is>
      </c>
      <c r="C625" s="32" t="n">
        <v>29.4</v>
      </c>
      <c r="D625" s="32" t="n">
        <v>0</v>
      </c>
      <c r="E625" s="32" t="n">
        <v>0</v>
      </c>
      <c r="F625" s="32" t="n">
        <v>0</v>
      </c>
      <c r="G625" s="32">
        <f>C625+D625+E625+F625</f>
        <v/>
      </c>
    </row>
    <row r="626">
      <c r="A626" s="31" t="n">
        <v>46153</v>
      </c>
      <c r="B626" s="43" t="inlineStr">
        <is>
          <t>Tech F</t>
        </is>
      </c>
      <c r="C626" s="32" t="n">
        <v>36.4</v>
      </c>
      <c r="D626" s="32" t="n">
        <v>0</v>
      </c>
      <c r="E626" s="32" t="n">
        <v>0</v>
      </c>
      <c r="F626" s="32" t="n">
        <v>0</v>
      </c>
      <c r="G626" s="32">
        <f>C626+D626+E626+F626</f>
        <v/>
      </c>
    </row>
    <row r="627">
      <c r="A627" s="31" t="n">
        <v>46153</v>
      </c>
      <c r="B627" s="43" t="inlineStr">
        <is>
          <t>Tech G</t>
        </is>
      </c>
      <c r="C627" s="32" t="n">
        <v>20.6</v>
      </c>
      <c r="D627" s="32" t="n">
        <v>4.6</v>
      </c>
      <c r="E627" s="32" t="n">
        <v>0</v>
      </c>
      <c r="F627" s="32" t="n">
        <v>0</v>
      </c>
      <c r="G627" s="32">
        <f>C627+D627+E627+F627</f>
        <v/>
      </c>
    </row>
    <row r="628">
      <c r="A628" s="31" t="n">
        <v>46153</v>
      </c>
      <c r="B628" s="43" t="inlineStr">
        <is>
          <t>Tech H</t>
        </is>
      </c>
      <c r="C628" s="32" t="n">
        <v>34.3</v>
      </c>
      <c r="D628" s="32" t="n">
        <v>5.1</v>
      </c>
      <c r="E628" s="32" t="n">
        <v>1.5</v>
      </c>
      <c r="F628" s="32" t="n">
        <v>0</v>
      </c>
      <c r="G628" s="32">
        <f>C628+D628+E628+F628</f>
        <v/>
      </c>
    </row>
    <row r="629">
      <c r="A629" s="31" t="n">
        <v>46153</v>
      </c>
      <c r="B629" s="43" t="inlineStr">
        <is>
          <t>Tech I</t>
        </is>
      </c>
      <c r="C629" s="32" t="n">
        <v>33.8</v>
      </c>
      <c r="D629" s="32" t="n">
        <v>0</v>
      </c>
      <c r="E629" s="32" t="n">
        <v>0.9</v>
      </c>
      <c r="F629" s="32" t="n">
        <v>0</v>
      </c>
      <c r="G629" s="32">
        <f>C629+D629+E629+F629</f>
        <v/>
      </c>
    </row>
    <row r="630">
      <c r="A630" s="31" t="n">
        <v>46160</v>
      </c>
      <c r="B630" s="43" t="inlineStr">
        <is>
          <t>Tech A</t>
        </is>
      </c>
      <c r="C630" s="32" t="n">
        <v>35.4</v>
      </c>
      <c r="D630" s="32" t="n">
        <v>0</v>
      </c>
      <c r="E630" s="32" t="n">
        <v>1</v>
      </c>
      <c r="F630" s="32" t="n">
        <v>0</v>
      </c>
      <c r="G630" s="32">
        <f>C630+D630+E630+F630</f>
        <v/>
      </c>
    </row>
    <row r="631">
      <c r="A631" s="31" t="n">
        <v>46160</v>
      </c>
      <c r="B631" s="43" t="inlineStr">
        <is>
          <t>Tech B</t>
        </is>
      </c>
      <c r="C631" s="32" t="n">
        <v>24.5</v>
      </c>
      <c r="D631" s="32" t="n">
        <v>5.7</v>
      </c>
      <c r="E631" s="32" t="n">
        <v>0.9</v>
      </c>
      <c r="F631" s="32" t="n">
        <v>0</v>
      </c>
      <c r="G631" s="32">
        <f>C631+D631+E631+F631</f>
        <v/>
      </c>
    </row>
    <row r="632">
      <c r="A632" s="31" t="n">
        <v>46160</v>
      </c>
      <c r="B632" s="43" t="inlineStr">
        <is>
          <t>Tech C</t>
        </is>
      </c>
      <c r="C632" s="32" t="n">
        <v>32.5</v>
      </c>
      <c r="D632" s="32" t="n">
        <v>8.5</v>
      </c>
      <c r="E632" s="32" t="n">
        <v>0</v>
      </c>
      <c r="F632" s="32" t="n">
        <v>0</v>
      </c>
      <c r="G632" s="32">
        <f>C632+D632+E632+F632</f>
        <v/>
      </c>
    </row>
    <row r="633">
      <c r="A633" s="31" t="n">
        <v>46160</v>
      </c>
      <c r="B633" s="43" t="inlineStr">
        <is>
          <t>Tech D</t>
        </is>
      </c>
      <c r="C633" s="32" t="n">
        <v>29.7</v>
      </c>
      <c r="D633" s="32" t="n">
        <v>0</v>
      </c>
      <c r="E633" s="32" t="n">
        <v>0</v>
      </c>
      <c r="F633" s="32" t="n">
        <v>0</v>
      </c>
      <c r="G633" s="32">
        <f>C633+D633+E633+F633</f>
        <v/>
      </c>
    </row>
    <row r="634">
      <c r="A634" s="31" t="n">
        <v>46160</v>
      </c>
      <c r="B634" s="43" t="inlineStr">
        <is>
          <t>Tech E</t>
        </is>
      </c>
      <c r="C634" s="32" t="n">
        <v>44.7</v>
      </c>
      <c r="D634" s="32" t="n">
        <v>0</v>
      </c>
      <c r="E634" s="32" t="n">
        <v>1.1</v>
      </c>
      <c r="F634" s="32" t="n">
        <v>0</v>
      </c>
      <c r="G634" s="32">
        <f>C634+D634+E634+F634</f>
        <v/>
      </c>
    </row>
    <row r="635">
      <c r="A635" s="31" t="n">
        <v>46160</v>
      </c>
      <c r="B635" s="43" t="inlineStr">
        <is>
          <t>Tech F</t>
        </is>
      </c>
      <c r="C635" s="32" t="n">
        <v>41</v>
      </c>
      <c r="D635" s="32" t="n">
        <v>0</v>
      </c>
      <c r="E635" s="32" t="n">
        <v>0</v>
      </c>
      <c r="F635" s="32" t="n">
        <v>0</v>
      </c>
      <c r="G635" s="32">
        <f>C635+D635+E635+F635</f>
        <v/>
      </c>
    </row>
    <row r="636">
      <c r="A636" s="31" t="n">
        <v>46160</v>
      </c>
      <c r="B636" s="43" t="inlineStr">
        <is>
          <t>Tech G</t>
        </is>
      </c>
      <c r="C636" s="32" t="n">
        <v>53.2</v>
      </c>
      <c r="D636" s="32" t="n">
        <v>5.8</v>
      </c>
      <c r="E636" s="32" t="n">
        <v>0</v>
      </c>
      <c r="F636" s="32" t="n">
        <v>0</v>
      </c>
      <c r="G636" s="32">
        <f>C636+D636+E636+F636</f>
        <v/>
      </c>
    </row>
    <row r="637">
      <c r="A637" s="31" t="n">
        <v>46167</v>
      </c>
      <c r="B637" s="43" t="inlineStr">
        <is>
          <t>Tech A</t>
        </is>
      </c>
      <c r="C637" s="32" t="n">
        <v>36.5</v>
      </c>
      <c r="D637" s="32" t="n">
        <v>3.9</v>
      </c>
      <c r="E637" s="32" t="n">
        <v>1.2</v>
      </c>
      <c r="F637" s="32" t="n">
        <v>0</v>
      </c>
      <c r="G637" s="32">
        <f>C637+D637+E637+F637</f>
        <v/>
      </c>
    </row>
    <row r="638">
      <c r="A638" s="31" t="n">
        <v>46167</v>
      </c>
      <c r="B638" s="43" t="inlineStr">
        <is>
          <t>Tech B</t>
        </is>
      </c>
      <c r="C638" s="32" t="n">
        <v>35.9</v>
      </c>
      <c r="D638" s="32" t="n">
        <v>0</v>
      </c>
      <c r="E638" s="32" t="n">
        <v>0</v>
      </c>
      <c r="F638" s="32" t="n">
        <v>0</v>
      </c>
      <c r="G638" s="32">
        <f>C638+D638+E638+F638</f>
        <v/>
      </c>
    </row>
    <row r="639">
      <c r="A639" s="31" t="n">
        <v>46167</v>
      </c>
      <c r="B639" s="43" t="inlineStr">
        <is>
          <t>Tech C</t>
        </is>
      </c>
      <c r="C639" s="32" t="n">
        <v>25.2</v>
      </c>
      <c r="D639" s="32" t="n">
        <v>0</v>
      </c>
      <c r="E639" s="32" t="n">
        <v>1.3</v>
      </c>
      <c r="F639" s="32" t="n">
        <v>0</v>
      </c>
      <c r="G639" s="32">
        <f>C639+D639+E639+F639</f>
        <v/>
      </c>
    </row>
    <row r="640">
      <c r="A640" s="31" t="n">
        <v>46167</v>
      </c>
      <c r="B640" s="43" t="inlineStr">
        <is>
          <t>Tech D</t>
        </is>
      </c>
      <c r="C640" s="32" t="n">
        <v>27.7</v>
      </c>
      <c r="D640" s="32" t="n">
        <v>3.6</v>
      </c>
      <c r="E640" s="32" t="n">
        <v>0</v>
      </c>
      <c r="F640" s="32" t="n">
        <v>0</v>
      </c>
      <c r="G640" s="32">
        <f>C640+D640+E640+F640</f>
        <v/>
      </c>
    </row>
    <row r="641">
      <c r="A641" s="31" t="n">
        <v>46167</v>
      </c>
      <c r="B641" s="43" t="inlineStr">
        <is>
          <t>Tech E</t>
        </is>
      </c>
      <c r="C641" s="32" t="n">
        <v>31.4</v>
      </c>
      <c r="D641" s="32" t="n">
        <v>4</v>
      </c>
      <c r="E641" s="32" t="n">
        <v>1.1</v>
      </c>
      <c r="F641" s="32" t="n">
        <v>0</v>
      </c>
      <c r="G641" s="32">
        <f>C641+D641+E641+F641</f>
        <v/>
      </c>
    </row>
    <row r="642">
      <c r="A642" s="31" t="n">
        <v>46167</v>
      </c>
      <c r="B642" s="43" t="inlineStr">
        <is>
          <t>Tech F</t>
        </is>
      </c>
      <c r="C642" s="32" t="n">
        <v>20.6</v>
      </c>
      <c r="D642" s="32" t="n">
        <v>0</v>
      </c>
      <c r="E642" s="32" t="n">
        <v>0</v>
      </c>
      <c r="F642" s="32" t="n">
        <v>0</v>
      </c>
      <c r="G642" s="32">
        <f>C642+D642+E642+F642</f>
        <v/>
      </c>
    </row>
    <row r="643">
      <c r="A643" s="31" t="n">
        <v>46167</v>
      </c>
      <c r="B643" s="43" t="inlineStr">
        <is>
          <t>Tech G</t>
        </is>
      </c>
      <c r="C643" s="32" t="n">
        <v>32.1</v>
      </c>
      <c r="D643" s="32" t="n">
        <v>5.5</v>
      </c>
      <c r="E643" s="32" t="n">
        <v>1.4</v>
      </c>
      <c r="F643" s="32" t="n">
        <v>0</v>
      </c>
      <c r="G643" s="32">
        <f>C643+D643+E643+F643</f>
        <v/>
      </c>
    </row>
    <row r="644">
      <c r="A644" s="31" t="n">
        <v>46167</v>
      </c>
      <c r="B644" s="43" t="inlineStr">
        <is>
          <t>Tech H</t>
        </is>
      </c>
      <c r="C644" s="32" t="n">
        <v>33.6</v>
      </c>
      <c r="D644" s="32" t="n">
        <v>0</v>
      </c>
      <c r="E644" s="32" t="n">
        <v>0</v>
      </c>
      <c r="F644" s="32" t="n">
        <v>0</v>
      </c>
      <c r="G644" s="32">
        <f>C644+D644+E644+F644</f>
        <v/>
      </c>
    </row>
    <row r="645">
      <c r="A645" s="31" t="n">
        <v>46174</v>
      </c>
      <c r="B645" s="43" t="inlineStr">
        <is>
          <t>Tech A</t>
        </is>
      </c>
      <c r="C645" s="32" t="n">
        <v>40.5</v>
      </c>
      <c r="D645" s="32" t="n">
        <v>0</v>
      </c>
      <c r="E645" s="32" t="n">
        <v>1.4</v>
      </c>
      <c r="F645" s="32" t="n">
        <v>0</v>
      </c>
      <c r="G645" s="32">
        <f>C645+D645+E645+F645</f>
        <v/>
      </c>
    </row>
    <row r="646">
      <c r="A646" s="31" t="n">
        <v>46174</v>
      </c>
      <c r="B646" s="43" t="inlineStr">
        <is>
          <t>Tech B</t>
        </is>
      </c>
      <c r="C646" s="32" t="n">
        <v>23</v>
      </c>
      <c r="D646" s="32" t="n">
        <v>0</v>
      </c>
      <c r="E646" s="32" t="n">
        <v>0</v>
      </c>
      <c r="F646" s="32" t="n">
        <v>0</v>
      </c>
      <c r="G646" s="32">
        <f>C646+D646+E646+F646</f>
        <v/>
      </c>
    </row>
    <row r="647">
      <c r="A647" s="31" t="n">
        <v>46174</v>
      </c>
      <c r="B647" s="43" t="inlineStr">
        <is>
          <t>Tech C</t>
        </is>
      </c>
      <c r="C647" s="32" t="n">
        <v>35.8</v>
      </c>
      <c r="D647" s="32" t="n">
        <v>3.1</v>
      </c>
      <c r="E647" s="32" t="n">
        <v>2.3</v>
      </c>
      <c r="F647" s="32" t="n">
        <v>0</v>
      </c>
      <c r="G647" s="32">
        <f>C647+D647+E647+F647</f>
        <v/>
      </c>
    </row>
    <row r="648">
      <c r="A648" s="31" t="n">
        <v>46174</v>
      </c>
      <c r="B648" s="43" t="inlineStr">
        <is>
          <t>Tech D</t>
        </is>
      </c>
      <c r="C648" s="32" t="n">
        <v>16.7</v>
      </c>
      <c r="D648" s="32" t="n">
        <v>3.8</v>
      </c>
      <c r="E648" s="32" t="n">
        <v>0</v>
      </c>
      <c r="F648" s="32" t="n">
        <v>0</v>
      </c>
      <c r="G648" s="32">
        <f>C648+D648+E648+F648</f>
        <v/>
      </c>
    </row>
    <row r="649">
      <c r="A649" s="31" t="n">
        <v>46174</v>
      </c>
      <c r="B649" s="43" t="inlineStr">
        <is>
          <t>Tech E</t>
        </is>
      </c>
      <c r="C649" s="32" t="n">
        <v>16.5</v>
      </c>
      <c r="D649" s="32" t="n">
        <v>0</v>
      </c>
      <c r="E649" s="32" t="n">
        <v>0</v>
      </c>
      <c r="F649" s="32" t="n">
        <v>0</v>
      </c>
      <c r="G649" s="32">
        <f>C649+D649+E649+F649</f>
        <v/>
      </c>
    </row>
    <row r="650">
      <c r="A650" s="31" t="n">
        <v>46174</v>
      </c>
      <c r="B650" s="43" t="inlineStr">
        <is>
          <t>Tech F</t>
        </is>
      </c>
      <c r="C650" s="32" t="n">
        <v>19.9</v>
      </c>
      <c r="D650" s="32" t="n">
        <v>0</v>
      </c>
      <c r="E650" s="32" t="n">
        <v>0</v>
      </c>
      <c r="F650" s="32" t="n">
        <v>0</v>
      </c>
      <c r="G650" s="32">
        <f>C650+D650+E650+F650</f>
        <v/>
      </c>
    </row>
    <row r="651">
      <c r="A651" s="31" t="n">
        <v>46174</v>
      </c>
      <c r="B651" s="43" t="inlineStr">
        <is>
          <t>Tech G</t>
        </is>
      </c>
      <c r="C651" s="32" t="n">
        <v>34.4</v>
      </c>
      <c r="D651" s="32" t="n">
        <v>0</v>
      </c>
      <c r="E651" s="32" t="n">
        <v>0</v>
      </c>
      <c r="F651" s="32" t="n">
        <v>0</v>
      </c>
      <c r="G651" s="32">
        <f>C651+D651+E651+F651</f>
        <v/>
      </c>
    </row>
    <row r="652">
      <c r="A652" s="31" t="n">
        <v>46174</v>
      </c>
      <c r="B652" s="43" t="inlineStr">
        <is>
          <t>Tech H</t>
        </is>
      </c>
      <c r="C652" s="32" t="n">
        <v>29.2</v>
      </c>
      <c r="D652" s="32" t="n">
        <v>3.9</v>
      </c>
      <c r="E652" s="32" t="n">
        <v>1</v>
      </c>
      <c r="F652" s="32" t="n">
        <v>0</v>
      </c>
      <c r="G652" s="32">
        <f>C652+D652+E652+F652</f>
        <v/>
      </c>
    </row>
    <row r="653">
      <c r="A653" s="31" t="n">
        <v>46174</v>
      </c>
      <c r="B653" s="43" t="inlineStr">
        <is>
          <t>Tech I</t>
        </is>
      </c>
      <c r="C653" s="32" t="n">
        <v>33</v>
      </c>
      <c r="D653" s="32" t="n">
        <v>2.2</v>
      </c>
      <c r="E653" s="32" t="n">
        <v>2.3</v>
      </c>
      <c r="F653" s="32" t="n">
        <v>0</v>
      </c>
      <c r="G653" s="32">
        <f>C653+D653+E653+F653</f>
        <v/>
      </c>
    </row>
    <row r="654">
      <c r="A654" s="31" t="n">
        <v>46181</v>
      </c>
      <c r="B654" s="43" t="inlineStr">
        <is>
          <t>Tech A</t>
        </is>
      </c>
      <c r="C654" s="32" t="n">
        <v>23</v>
      </c>
      <c r="D654" s="32" t="n">
        <v>0</v>
      </c>
      <c r="E654" s="32" t="n">
        <v>0</v>
      </c>
      <c r="F654" s="32" t="n">
        <v>0</v>
      </c>
      <c r="G654" s="32">
        <f>C654+D654+E654+F654</f>
        <v/>
      </c>
    </row>
    <row r="655">
      <c r="A655" s="31" t="n">
        <v>46181</v>
      </c>
      <c r="B655" s="43" t="inlineStr">
        <is>
          <t>Tech B</t>
        </is>
      </c>
      <c r="C655" s="32" t="n">
        <v>37.7</v>
      </c>
      <c r="D655" s="32" t="n">
        <v>3.4</v>
      </c>
      <c r="E655" s="32" t="n">
        <v>0.6</v>
      </c>
      <c r="F655" s="32" t="n">
        <v>0</v>
      </c>
      <c r="G655" s="32">
        <f>C655+D655+E655+F655</f>
        <v/>
      </c>
    </row>
    <row r="656">
      <c r="A656" s="31" t="n">
        <v>46181</v>
      </c>
      <c r="B656" s="43" t="inlineStr">
        <is>
          <t>Tech C</t>
        </is>
      </c>
      <c r="C656" s="32" t="n">
        <v>17.7</v>
      </c>
      <c r="D656" s="32" t="n">
        <v>0</v>
      </c>
      <c r="E656" s="32" t="n">
        <v>0</v>
      </c>
      <c r="F656" s="32" t="n">
        <v>0</v>
      </c>
      <c r="G656" s="32">
        <f>C656+D656+E656+F656</f>
        <v/>
      </c>
    </row>
    <row r="657">
      <c r="A657" s="31" t="n">
        <v>46181</v>
      </c>
      <c r="B657" s="43" t="inlineStr">
        <is>
          <t>Tech D</t>
        </is>
      </c>
      <c r="C657" s="32" t="n">
        <v>38.8</v>
      </c>
      <c r="D657" s="32" t="n">
        <v>5.4</v>
      </c>
      <c r="E657" s="32" t="n">
        <v>0</v>
      </c>
      <c r="F657" s="32" t="n">
        <v>0</v>
      </c>
      <c r="G657" s="32">
        <f>C657+D657+E657+F657</f>
        <v/>
      </c>
    </row>
    <row r="658">
      <c r="A658" s="31" t="n">
        <v>46181</v>
      </c>
      <c r="B658" s="43" t="inlineStr">
        <is>
          <t>Tech E</t>
        </is>
      </c>
      <c r="C658" s="32" t="n">
        <v>33</v>
      </c>
      <c r="D658" s="32" t="n">
        <v>7.5</v>
      </c>
      <c r="E658" s="32" t="n">
        <v>0</v>
      </c>
      <c r="F658" s="32" t="n">
        <v>0</v>
      </c>
      <c r="G658" s="32">
        <f>C658+D658+E658+F658</f>
        <v/>
      </c>
    </row>
    <row r="659">
      <c r="A659" s="31" t="n">
        <v>46181</v>
      </c>
      <c r="B659" s="43" t="inlineStr">
        <is>
          <t>Tech F</t>
        </is>
      </c>
      <c r="C659" s="32" t="n">
        <v>33.9</v>
      </c>
      <c r="D659" s="32" t="n">
        <v>0</v>
      </c>
      <c r="E659" s="32" t="n">
        <v>0.5</v>
      </c>
      <c r="F659" s="32" t="n">
        <v>0</v>
      </c>
      <c r="G659" s="32">
        <f>C659+D659+E659+F659</f>
        <v/>
      </c>
    </row>
    <row r="660">
      <c r="A660" s="31" t="n">
        <v>46181</v>
      </c>
      <c r="B660" s="43" t="inlineStr">
        <is>
          <t>Tech G</t>
        </is>
      </c>
      <c r="C660" s="32" t="n">
        <v>19.1</v>
      </c>
      <c r="D660" s="32" t="n">
        <v>3.7</v>
      </c>
      <c r="E660" s="32" t="n">
        <v>0.3</v>
      </c>
      <c r="F660" s="32" t="n">
        <v>0</v>
      </c>
      <c r="G660" s="32">
        <f>C660+D660+E660+F660</f>
        <v/>
      </c>
    </row>
    <row r="661">
      <c r="A661" s="31" t="n">
        <v>46181</v>
      </c>
      <c r="B661" s="43" t="inlineStr">
        <is>
          <t>Tech H</t>
        </is>
      </c>
      <c r="C661" s="32" t="n">
        <v>42.8</v>
      </c>
      <c r="D661" s="32" t="n">
        <v>0</v>
      </c>
      <c r="E661" s="32" t="n">
        <v>0.6</v>
      </c>
      <c r="F661" s="32" t="n">
        <v>0</v>
      </c>
      <c r="G661" s="32">
        <f>C661+D661+E661+F661</f>
        <v/>
      </c>
    </row>
    <row r="662">
      <c r="A662" s="31" t="n">
        <v>46188</v>
      </c>
      <c r="B662" s="43" t="inlineStr">
        <is>
          <t>Tech A</t>
        </is>
      </c>
      <c r="C662" s="32" t="n">
        <v>19.6</v>
      </c>
      <c r="D662" s="32" t="n">
        <v>0</v>
      </c>
      <c r="E662" s="32" t="n">
        <v>0</v>
      </c>
      <c r="F662" s="32" t="n">
        <v>0</v>
      </c>
      <c r="G662" s="32">
        <f>C662+D662+E662+F662</f>
        <v/>
      </c>
    </row>
    <row r="663">
      <c r="A663" s="31" t="n">
        <v>46188</v>
      </c>
      <c r="B663" s="43" t="inlineStr">
        <is>
          <t>Tech B</t>
        </is>
      </c>
      <c r="C663" s="32" t="n">
        <v>44.6</v>
      </c>
      <c r="D663" s="32" t="n">
        <v>0</v>
      </c>
      <c r="E663" s="32" t="n">
        <v>0</v>
      </c>
      <c r="F663" s="32" t="n">
        <v>0</v>
      </c>
      <c r="G663" s="32">
        <f>C663+D663+E663+F663</f>
        <v/>
      </c>
    </row>
    <row r="664">
      <c r="A664" s="31" t="n">
        <v>46188</v>
      </c>
      <c r="B664" s="43" t="inlineStr">
        <is>
          <t>Tech C</t>
        </is>
      </c>
      <c r="C664" s="32" t="n">
        <v>22.3</v>
      </c>
      <c r="D664" s="32" t="n">
        <v>0</v>
      </c>
      <c r="E664" s="32" t="n">
        <v>0.6</v>
      </c>
      <c r="F664" s="32" t="n">
        <v>0</v>
      </c>
      <c r="G664" s="32">
        <f>C664+D664+E664+F664</f>
        <v/>
      </c>
    </row>
    <row r="665">
      <c r="A665" s="31" t="n">
        <v>46188</v>
      </c>
      <c r="B665" s="43" t="inlineStr">
        <is>
          <t>Tech D</t>
        </is>
      </c>
      <c r="C665" s="32" t="n">
        <v>26.9</v>
      </c>
      <c r="D665" s="32" t="n">
        <v>4.6</v>
      </c>
      <c r="E665" s="32" t="n">
        <v>0</v>
      </c>
      <c r="F665" s="32" t="n">
        <v>0</v>
      </c>
      <c r="G665" s="32">
        <f>C665+D665+E665+F665</f>
        <v/>
      </c>
    </row>
    <row r="666">
      <c r="A666" s="31" t="n">
        <v>46188</v>
      </c>
      <c r="B666" s="43" t="inlineStr">
        <is>
          <t>Tech E</t>
        </is>
      </c>
      <c r="C666" s="32" t="n">
        <v>31.1</v>
      </c>
      <c r="D666" s="32" t="n">
        <v>3.1</v>
      </c>
      <c r="E666" s="32" t="n">
        <v>0</v>
      </c>
      <c r="F666" s="32" t="n">
        <v>0</v>
      </c>
      <c r="G666" s="32">
        <f>C666+D666+E666+F666</f>
        <v/>
      </c>
    </row>
    <row r="667">
      <c r="A667" s="31" t="n">
        <v>46188</v>
      </c>
      <c r="B667" s="43" t="inlineStr">
        <is>
          <t>Tech F</t>
        </is>
      </c>
      <c r="C667" s="32" t="n">
        <v>24.8</v>
      </c>
      <c r="D667" s="32" t="n">
        <v>4.4</v>
      </c>
      <c r="E667" s="32" t="n">
        <v>0.5</v>
      </c>
      <c r="F667" s="32" t="n">
        <v>0</v>
      </c>
      <c r="G667" s="32">
        <f>C667+D667+E667+F667</f>
        <v/>
      </c>
    </row>
    <row r="668">
      <c r="A668" s="31" t="n">
        <v>46188</v>
      </c>
      <c r="B668" s="43" t="inlineStr">
        <is>
          <t>Tech G</t>
        </is>
      </c>
      <c r="C668" s="32" t="n">
        <v>44.3</v>
      </c>
      <c r="D668" s="32" t="n">
        <v>4.9</v>
      </c>
      <c r="E668" s="32" t="n">
        <v>0.5</v>
      </c>
      <c r="F668" s="32" t="n">
        <v>0</v>
      </c>
      <c r="G668" s="32">
        <f>C668+D668+E668+F668</f>
        <v/>
      </c>
    </row>
    <row r="669">
      <c r="A669" s="31" t="n">
        <v>46188</v>
      </c>
      <c r="B669" s="43" t="inlineStr">
        <is>
          <t>Tech H</t>
        </is>
      </c>
      <c r="C669" s="32" t="n">
        <v>33.4</v>
      </c>
      <c r="D669" s="32" t="n">
        <v>0</v>
      </c>
      <c r="E669" s="32" t="n">
        <v>0.4</v>
      </c>
      <c r="F669" s="32" t="n">
        <v>0</v>
      </c>
      <c r="G669" s="32">
        <f>C669+D669+E669+F669</f>
        <v/>
      </c>
    </row>
    <row r="670">
      <c r="A670" s="31" t="n">
        <v>46195</v>
      </c>
      <c r="B670" s="43" t="inlineStr">
        <is>
          <t>Tech A</t>
        </is>
      </c>
      <c r="C670" s="32" t="n">
        <v>37</v>
      </c>
      <c r="D670" s="32" t="n">
        <v>7.2</v>
      </c>
      <c r="E670" s="32" t="n">
        <v>0</v>
      </c>
      <c r="F670" s="32" t="n">
        <v>4</v>
      </c>
      <c r="G670" s="32">
        <f>C670+D670+E670+F670</f>
        <v/>
      </c>
    </row>
    <row r="671">
      <c r="A671" s="31" t="n">
        <v>46195</v>
      </c>
      <c r="B671" s="43" t="inlineStr">
        <is>
          <t>Tech B</t>
        </is>
      </c>
      <c r="C671" s="32" t="n">
        <v>38.9</v>
      </c>
      <c r="D671" s="32" t="n">
        <v>0</v>
      </c>
      <c r="E671" s="32" t="n">
        <v>0</v>
      </c>
      <c r="F671" s="32" t="n">
        <v>0</v>
      </c>
      <c r="G671" s="32">
        <f>C671+D671+E671+F671</f>
        <v/>
      </c>
    </row>
    <row r="672">
      <c r="A672" s="31" t="n">
        <v>46195</v>
      </c>
      <c r="B672" s="43" t="inlineStr">
        <is>
          <t>Tech C</t>
        </is>
      </c>
      <c r="C672" s="32" t="n">
        <v>53.1</v>
      </c>
      <c r="D672" s="32" t="n">
        <v>4.9</v>
      </c>
      <c r="E672" s="32" t="n">
        <v>0</v>
      </c>
      <c r="F672" s="32" t="n">
        <v>0</v>
      </c>
      <c r="G672" s="32">
        <f>C672+D672+E672+F672</f>
        <v/>
      </c>
    </row>
    <row r="673">
      <c r="A673" s="31" t="n">
        <v>46195</v>
      </c>
      <c r="B673" s="43" t="inlineStr">
        <is>
          <t>Tech D</t>
        </is>
      </c>
      <c r="C673" s="32" t="n">
        <v>53.6</v>
      </c>
      <c r="D673" s="32" t="n">
        <v>0</v>
      </c>
      <c r="E673" s="32" t="n">
        <v>0.5</v>
      </c>
      <c r="F673" s="32" t="n">
        <v>0</v>
      </c>
      <c r="G673" s="32">
        <f>C673+D673+E673+F673</f>
        <v/>
      </c>
    </row>
    <row r="674">
      <c r="A674" s="31" t="n">
        <v>46195</v>
      </c>
      <c r="B674" s="43" t="inlineStr">
        <is>
          <t>Tech E</t>
        </is>
      </c>
      <c r="C674" s="32" t="n">
        <v>25.2</v>
      </c>
      <c r="D674" s="32" t="n">
        <v>3.5</v>
      </c>
      <c r="E674" s="32" t="n">
        <v>0</v>
      </c>
      <c r="F674" s="32" t="n">
        <v>0</v>
      </c>
      <c r="G674" s="32">
        <f>C674+D674+E674+F674</f>
        <v/>
      </c>
    </row>
    <row r="675">
      <c r="A675" s="31" t="n">
        <v>46195</v>
      </c>
      <c r="B675" s="43" t="inlineStr">
        <is>
          <t>Tech F</t>
        </is>
      </c>
      <c r="C675" s="32" t="n">
        <v>25</v>
      </c>
      <c r="D675" s="32" t="n">
        <v>0</v>
      </c>
      <c r="E675" s="32" t="n">
        <v>0.7</v>
      </c>
      <c r="F675" s="32" t="n">
        <v>0</v>
      </c>
      <c r="G675" s="32">
        <f>C675+D675+E675+F675</f>
        <v/>
      </c>
    </row>
    <row r="676">
      <c r="A676" s="31" t="n">
        <v>46195</v>
      </c>
      <c r="B676" s="43" t="inlineStr">
        <is>
          <t>Tech G</t>
        </is>
      </c>
      <c r="C676" s="32" t="n">
        <v>29.5</v>
      </c>
      <c r="D676" s="32" t="n">
        <v>0</v>
      </c>
      <c r="E676" s="32" t="n">
        <v>0.5</v>
      </c>
      <c r="F676" s="32" t="n">
        <v>0</v>
      </c>
      <c r="G676" s="32">
        <f>C676+D676+E676+F676</f>
        <v/>
      </c>
    </row>
    <row r="677">
      <c r="A677" s="31" t="n">
        <v>46195</v>
      </c>
      <c r="B677" s="43" t="inlineStr">
        <is>
          <t>Tech H</t>
        </is>
      </c>
      <c r="C677" s="32" t="n">
        <v>25.7</v>
      </c>
      <c r="D677" s="32" t="n">
        <v>4.4</v>
      </c>
      <c r="E677" s="32" t="n">
        <v>0.3</v>
      </c>
      <c r="F677" s="32" t="n">
        <v>0</v>
      </c>
      <c r="G677" s="32">
        <f>C677+D677+E677+F677</f>
        <v/>
      </c>
    </row>
    <row r="678">
      <c r="A678" s="31" t="n">
        <v>46202</v>
      </c>
      <c r="B678" s="43" t="inlineStr">
        <is>
          <t>Tech A</t>
        </is>
      </c>
      <c r="C678" s="32" t="n">
        <v>33.1</v>
      </c>
      <c r="D678" s="32" t="n">
        <v>4.1</v>
      </c>
      <c r="E678" s="32" t="n">
        <v>3.5</v>
      </c>
      <c r="F678" s="32" t="n">
        <v>0</v>
      </c>
      <c r="G678" s="32">
        <f>C678+D678+E678+F678</f>
        <v/>
      </c>
    </row>
    <row r="679">
      <c r="A679" s="31" t="n">
        <v>46202</v>
      </c>
      <c r="B679" s="43" t="inlineStr">
        <is>
          <t>Tech B</t>
        </is>
      </c>
      <c r="C679" s="32" t="n">
        <v>19.3</v>
      </c>
      <c r="D679" s="32" t="n">
        <v>0</v>
      </c>
      <c r="E679" s="32" t="n">
        <v>0</v>
      </c>
      <c r="F679" s="32" t="n">
        <v>0</v>
      </c>
      <c r="G679" s="32">
        <f>C679+D679+E679+F679</f>
        <v/>
      </c>
    </row>
    <row r="680">
      <c r="A680" s="31" t="n">
        <v>46202</v>
      </c>
      <c r="B680" s="43" t="inlineStr">
        <is>
          <t>Tech C</t>
        </is>
      </c>
      <c r="C680" s="32" t="n">
        <v>19.3</v>
      </c>
      <c r="D680" s="32" t="n">
        <v>0</v>
      </c>
      <c r="E680" s="32" t="n">
        <v>1.5</v>
      </c>
      <c r="F680" s="32" t="n">
        <v>0</v>
      </c>
      <c r="G680" s="32">
        <f>C680+D680+E680+F680</f>
        <v/>
      </c>
    </row>
    <row r="681">
      <c r="A681" s="31" t="n">
        <v>46202</v>
      </c>
      <c r="B681" s="43" t="inlineStr">
        <is>
          <t>Tech D</t>
        </is>
      </c>
      <c r="C681" s="32" t="n">
        <v>40.2</v>
      </c>
      <c r="D681" s="32" t="n">
        <v>3.8</v>
      </c>
      <c r="E681" s="32" t="n">
        <v>0</v>
      </c>
      <c r="F681" s="32" t="n">
        <v>0</v>
      </c>
      <c r="G681" s="32">
        <f>C681+D681+E681+F681</f>
        <v/>
      </c>
    </row>
    <row r="682">
      <c r="A682" s="31" t="n">
        <v>46202</v>
      </c>
      <c r="B682" s="43" t="inlineStr">
        <is>
          <t>Tech E</t>
        </is>
      </c>
      <c r="C682" s="32" t="n">
        <v>41.7</v>
      </c>
      <c r="D682" s="32" t="n">
        <v>0</v>
      </c>
      <c r="E682" s="32" t="n">
        <v>0</v>
      </c>
      <c r="F682" s="32" t="n">
        <v>0</v>
      </c>
      <c r="G682" s="32">
        <f>C682+D682+E682+F682</f>
        <v/>
      </c>
    </row>
    <row r="683">
      <c r="A683" s="31" t="n">
        <v>46202</v>
      </c>
      <c r="B683" s="43" t="inlineStr">
        <is>
          <t>Tech F</t>
        </is>
      </c>
      <c r="C683" s="32" t="n">
        <v>27.3</v>
      </c>
      <c r="D683" s="32" t="n">
        <v>0</v>
      </c>
      <c r="E683" s="32" t="n">
        <v>0</v>
      </c>
      <c r="F683" s="32" t="n">
        <v>0</v>
      </c>
      <c r="G683" s="32">
        <f>C683+D683+E683+F683</f>
        <v/>
      </c>
    </row>
    <row r="684">
      <c r="A684" s="31" t="n">
        <v>46202</v>
      </c>
      <c r="B684" s="43" t="inlineStr">
        <is>
          <t>Tech G</t>
        </is>
      </c>
      <c r="C684" s="32" t="n">
        <v>41.7</v>
      </c>
      <c r="D684" s="32" t="n">
        <v>0</v>
      </c>
      <c r="E684" s="32" t="n">
        <v>3.5</v>
      </c>
      <c r="F684" s="32" t="n">
        <v>0</v>
      </c>
      <c r="G684" s="32">
        <f>C684+D684+E684+F684</f>
        <v/>
      </c>
    </row>
    <row r="685">
      <c r="A685" s="31" t="n">
        <v>46202</v>
      </c>
      <c r="B685" s="43" t="inlineStr">
        <is>
          <t>Tech H</t>
        </is>
      </c>
      <c r="C685" s="32" t="n">
        <v>17.1</v>
      </c>
      <c r="D685" s="32" t="n">
        <v>2.5</v>
      </c>
      <c r="E685" s="32" t="n">
        <v>1.5</v>
      </c>
      <c r="F685" s="32" t="n">
        <v>0</v>
      </c>
      <c r="G685" s="32">
        <f>C685+D685+E685+F685</f>
        <v/>
      </c>
    </row>
    <row r="686">
      <c r="A686" s="31" t="n">
        <v>46202</v>
      </c>
      <c r="B686" s="43" t="inlineStr">
        <is>
          <t>Tech I</t>
        </is>
      </c>
      <c r="C686" s="32" t="n">
        <v>38.3</v>
      </c>
      <c r="D686" s="32" t="n">
        <v>4.6</v>
      </c>
      <c r="E686" s="32" t="n">
        <v>0</v>
      </c>
      <c r="F686" s="32" t="n">
        <v>0</v>
      </c>
      <c r="G686" s="32">
        <f>C686+D686+E686+F686</f>
        <v/>
      </c>
    </row>
    <row r="687">
      <c r="A687" s="34" t="n"/>
      <c r="C687" s="38" t="n"/>
      <c r="D687" s="38" t="n"/>
      <c r="E687" s="38" t="n"/>
      <c r="F687" s="38" t="n"/>
      <c r="G687" s="38" t="n"/>
    </row>
    <row r="688">
      <c r="A688" s="34" t="n"/>
      <c r="C688" s="38" t="n"/>
      <c r="D688" s="38" t="n"/>
      <c r="E688" s="38" t="n"/>
      <c r="F688" s="38" t="n"/>
      <c r="G688" s="38" t="n"/>
    </row>
    <row r="689">
      <c r="A689" s="34" t="n"/>
      <c r="C689" s="38" t="n"/>
      <c r="D689" s="38" t="n"/>
      <c r="E689" s="38" t="n"/>
      <c r="F689" s="38" t="n"/>
      <c r="G689" s="38" t="n"/>
    </row>
    <row r="690">
      <c r="A690" s="34" t="n"/>
      <c r="C690" s="38" t="n"/>
      <c r="D690" s="38" t="n"/>
      <c r="E690" s="38" t="n"/>
      <c r="F690" s="38" t="n"/>
      <c r="G690" s="38" t="n"/>
    </row>
    <row r="691">
      <c r="A691" s="34" t="n"/>
      <c r="C691" s="38" t="n"/>
      <c r="D691" s="38" t="n"/>
      <c r="E691" s="38" t="n"/>
      <c r="F691" s="38" t="n"/>
      <c r="G691" s="38" t="n"/>
    </row>
    <row r="692">
      <c r="A692" s="34" t="n"/>
      <c r="C692" s="38" t="n"/>
      <c r="D692" s="38" t="n"/>
      <c r="E692" s="38" t="n"/>
      <c r="F692" s="38" t="n"/>
      <c r="G692" s="38" t="n"/>
    </row>
    <row r="693">
      <c r="A693" s="34" t="n"/>
      <c r="C693" s="38" t="n"/>
      <c r="D693" s="38" t="n"/>
      <c r="E693" s="38" t="n"/>
      <c r="F693" s="38" t="n"/>
      <c r="G693" s="38" t="n"/>
    </row>
    <row r="694">
      <c r="A694" s="34" t="n"/>
      <c r="C694" s="38" t="n"/>
      <c r="D694" s="38" t="n"/>
      <c r="E694" s="38" t="n"/>
      <c r="F694" s="38" t="n"/>
      <c r="G694" s="38" t="n"/>
    </row>
    <row r="695">
      <c r="A695" s="34" t="n"/>
      <c r="C695" s="38" t="n"/>
      <c r="D695" s="38" t="n"/>
      <c r="E695" s="38" t="n"/>
      <c r="F695" s="38" t="n"/>
      <c r="G695" s="38" t="n"/>
    </row>
    <row r="696">
      <c r="A696" s="34" t="n"/>
      <c r="C696" s="38" t="n"/>
      <c r="D696" s="38" t="n"/>
      <c r="E696" s="38" t="n"/>
      <c r="F696" s="38" t="n"/>
      <c r="G696" s="38" t="n"/>
    </row>
    <row r="697">
      <c r="A697" s="34" t="n"/>
      <c r="C697" s="38" t="n"/>
      <c r="D697" s="38" t="n"/>
      <c r="E697" s="38" t="n"/>
      <c r="F697" s="38" t="n"/>
      <c r="G697" s="38" t="n"/>
    </row>
    <row r="698">
      <c r="A698" s="34" t="n"/>
      <c r="C698" s="38" t="n"/>
      <c r="D698" s="38" t="n"/>
      <c r="E698" s="38" t="n"/>
      <c r="F698" s="38" t="n"/>
      <c r="G698" s="38" t="n"/>
    </row>
    <row r="699">
      <c r="A699" s="34" t="n"/>
      <c r="C699" s="38" t="n"/>
      <c r="D699" s="38" t="n"/>
      <c r="E699" s="38" t="n"/>
      <c r="F699" s="38" t="n"/>
      <c r="G699" s="38" t="n"/>
    </row>
    <row r="700">
      <c r="A700" s="34" t="n"/>
      <c r="C700" s="38" t="n"/>
      <c r="D700" s="38" t="n"/>
      <c r="E700" s="38" t="n"/>
      <c r="F700" s="38" t="n"/>
      <c r="G700" s="38" t="n"/>
    </row>
    <row r="701">
      <c r="A701" s="34" t="n"/>
      <c r="C701" s="38" t="n"/>
      <c r="D701" s="38" t="n"/>
      <c r="E701" s="38" t="n"/>
      <c r="F701" s="38" t="n"/>
      <c r="G701" s="38" t="n"/>
    </row>
    <row r="702">
      <c r="A702" s="34" t="n"/>
      <c r="C702" s="38" t="n"/>
      <c r="D702" s="38" t="n"/>
      <c r="E702" s="38" t="n"/>
      <c r="F702" s="38" t="n"/>
      <c r="G702" s="38" t="n"/>
    </row>
    <row r="703">
      <c r="A703" s="34" t="n"/>
      <c r="C703" s="38" t="n"/>
      <c r="D703" s="38" t="n"/>
      <c r="E703" s="38" t="n"/>
      <c r="F703" s="38" t="n"/>
      <c r="G703" s="38" t="n"/>
    </row>
    <row r="704">
      <c r="A704" s="34" t="n"/>
      <c r="C704" s="38" t="n"/>
      <c r="D704" s="38" t="n"/>
      <c r="E704" s="38" t="n"/>
      <c r="F704" s="38" t="n"/>
      <c r="G704" s="38" t="n"/>
    </row>
    <row r="705">
      <c r="A705" s="34" t="n"/>
      <c r="C705" s="38" t="n"/>
      <c r="D705" s="38" t="n"/>
      <c r="E705" s="38" t="n"/>
      <c r="F705" s="38" t="n"/>
      <c r="G705" s="38" t="n"/>
    </row>
    <row r="706">
      <c r="A706" s="34" t="n"/>
      <c r="C706" s="38" t="n"/>
      <c r="D706" s="38" t="n"/>
      <c r="E706" s="38" t="n"/>
      <c r="F706" s="38" t="n"/>
      <c r="G706" s="38" t="n"/>
    </row>
    <row r="707">
      <c r="A707" s="34" t="n"/>
      <c r="C707" s="38" t="n"/>
      <c r="D707" s="38" t="n"/>
      <c r="E707" s="38" t="n"/>
      <c r="F707" s="38" t="n"/>
      <c r="G707" s="38" t="n"/>
    </row>
    <row r="708">
      <c r="A708" s="34" t="n"/>
      <c r="C708" s="38" t="n"/>
      <c r="D708" s="38" t="n"/>
      <c r="E708" s="38" t="n"/>
      <c r="F708" s="38" t="n"/>
      <c r="G708" s="38" t="n"/>
    </row>
    <row r="709">
      <c r="A709" s="34" t="n"/>
      <c r="C709" s="38" t="n"/>
      <c r="D709" s="38" t="n"/>
      <c r="E709" s="38" t="n"/>
      <c r="F709" s="38" t="n"/>
      <c r="G709" s="38" t="n"/>
    </row>
    <row r="710">
      <c r="A710" s="34" t="n"/>
      <c r="C710" s="38" t="n"/>
      <c r="D710" s="38" t="n"/>
      <c r="E710" s="38" t="n"/>
      <c r="F710" s="38" t="n"/>
      <c r="G710" s="38" t="n"/>
    </row>
    <row r="711">
      <c r="A711" s="34" t="n"/>
      <c r="C711" s="38" t="n"/>
      <c r="D711" s="38" t="n"/>
      <c r="E711" s="38" t="n"/>
      <c r="F711" s="38" t="n"/>
      <c r="G711" s="38" t="n"/>
    </row>
    <row r="712">
      <c r="A712" s="34" t="n"/>
      <c r="C712" s="38" t="n"/>
      <c r="D712" s="38" t="n"/>
      <c r="E712" s="38" t="n"/>
      <c r="F712" s="38" t="n"/>
      <c r="G712" s="38" t="n"/>
    </row>
    <row r="713">
      <c r="A713" s="34" t="n"/>
      <c r="C713" s="38" t="n"/>
      <c r="D713" s="38" t="n"/>
      <c r="E713" s="38" t="n"/>
      <c r="F713" s="38" t="n"/>
      <c r="G713" s="38" t="n"/>
    </row>
    <row r="714">
      <c r="A714" s="34" t="n"/>
      <c r="C714" s="38" t="n"/>
      <c r="D714" s="38" t="n"/>
      <c r="E714" s="38" t="n"/>
      <c r="F714" s="38" t="n"/>
      <c r="G714" s="38" t="n"/>
    </row>
    <row r="715">
      <c r="A715" s="34" t="n"/>
      <c r="C715" s="38" t="n"/>
      <c r="D715" s="38" t="n"/>
      <c r="E715" s="38" t="n"/>
      <c r="F715" s="38" t="n"/>
      <c r="G715" s="38" t="n"/>
    </row>
    <row r="716">
      <c r="A716" s="34" t="n"/>
      <c r="C716" s="38" t="n"/>
      <c r="D716" s="38" t="n"/>
      <c r="E716" s="38" t="n"/>
      <c r="F716" s="38" t="n"/>
      <c r="G716" s="38" t="n"/>
    </row>
    <row r="717">
      <c r="A717" s="34" t="n"/>
      <c r="C717" s="38" t="n"/>
      <c r="D717" s="38" t="n"/>
      <c r="E717" s="38" t="n"/>
      <c r="F717" s="38" t="n"/>
      <c r="G717" s="38" t="n"/>
    </row>
    <row r="718">
      <c r="A718" s="34" t="n"/>
      <c r="C718" s="38" t="n"/>
      <c r="D718" s="38" t="n"/>
      <c r="E718" s="38" t="n"/>
      <c r="F718" s="38" t="n"/>
      <c r="G718" s="38" t="n"/>
    </row>
    <row r="719">
      <c r="A719" s="34" t="n"/>
      <c r="C719" s="38" t="n"/>
      <c r="D719" s="38" t="n"/>
      <c r="E719" s="38" t="n"/>
      <c r="F719" s="38" t="n"/>
      <c r="G719" s="38" t="n"/>
    </row>
    <row r="720">
      <c r="A720" s="34" t="n"/>
      <c r="C720" s="38" t="n"/>
      <c r="D720" s="38" t="n"/>
      <c r="E720" s="38" t="n"/>
      <c r="F720" s="38" t="n"/>
      <c r="G720" s="38" t="n"/>
    </row>
    <row r="721">
      <c r="A721" s="34" t="n"/>
      <c r="C721" s="38" t="n"/>
      <c r="D721" s="38" t="n"/>
      <c r="E721" s="38" t="n"/>
      <c r="F721" s="38" t="n"/>
      <c r="G721" s="38" t="n"/>
    </row>
    <row r="722">
      <c r="A722" s="34" t="n"/>
      <c r="C722" s="38" t="n"/>
      <c r="D722" s="38" t="n"/>
      <c r="E722" s="38" t="n"/>
      <c r="F722" s="38" t="n"/>
      <c r="G722" s="38" t="n"/>
    </row>
    <row r="723">
      <c r="A723" s="34" t="n"/>
      <c r="C723" s="38" t="n"/>
      <c r="D723" s="38" t="n"/>
      <c r="E723" s="38" t="n"/>
      <c r="F723" s="38" t="n"/>
      <c r="G723" s="38" t="n"/>
    </row>
    <row r="724">
      <c r="A724" s="34" t="n"/>
      <c r="C724" s="38" t="n"/>
      <c r="D724" s="38" t="n"/>
      <c r="E724" s="38" t="n"/>
      <c r="F724" s="38" t="n"/>
      <c r="G724" s="38" t="n"/>
    </row>
    <row r="725">
      <c r="A725" s="34" t="n"/>
      <c r="C725" s="38" t="n"/>
      <c r="D725" s="38" t="n"/>
      <c r="E725" s="38" t="n"/>
      <c r="F725" s="38" t="n"/>
      <c r="G725" s="38" t="n"/>
    </row>
    <row r="726">
      <c r="A726" s="34" t="n"/>
      <c r="C726" s="38" t="n"/>
      <c r="D726" s="38" t="n"/>
      <c r="E726" s="38" t="n"/>
      <c r="F726" s="38" t="n"/>
      <c r="G726" s="38" t="n"/>
    </row>
    <row r="727">
      <c r="A727" s="34" t="n"/>
      <c r="C727" s="38" t="n"/>
      <c r="D727" s="38" t="n"/>
      <c r="E727" s="38" t="n"/>
      <c r="F727" s="38" t="n"/>
      <c r="G727" s="38" t="n"/>
    </row>
    <row r="728">
      <c r="A728" s="34" t="n"/>
      <c r="C728" s="38" t="n"/>
      <c r="D728" s="38" t="n"/>
      <c r="E728" s="38" t="n"/>
      <c r="F728" s="38" t="n"/>
      <c r="G728" s="38" t="n"/>
    </row>
    <row r="729">
      <c r="A729" s="34" t="n"/>
      <c r="C729" s="38" t="n"/>
      <c r="D729" s="38" t="n"/>
      <c r="E729" s="38" t="n"/>
      <c r="F729" s="38" t="n"/>
      <c r="G729" s="38" t="n"/>
    </row>
    <row r="730">
      <c r="A730" s="34" t="n"/>
      <c r="C730" s="38" t="n"/>
      <c r="D730" s="38" t="n"/>
      <c r="E730" s="38" t="n"/>
      <c r="F730" s="38" t="n"/>
      <c r="G730" s="38" t="n"/>
    </row>
    <row r="731">
      <c r="A731" s="34" t="n"/>
      <c r="C731" s="38" t="n"/>
      <c r="D731" s="38" t="n"/>
      <c r="E731" s="38" t="n"/>
      <c r="F731" s="38" t="n"/>
      <c r="G731" s="38" t="n"/>
    </row>
    <row r="732">
      <c r="A732" s="34" t="n"/>
      <c r="C732" s="38" t="n"/>
      <c r="D732" s="38" t="n"/>
      <c r="E732" s="38" t="n"/>
      <c r="F732" s="38" t="n"/>
      <c r="G732" s="38" t="n"/>
    </row>
    <row r="733">
      <c r="A733" s="34" t="n"/>
      <c r="C733" s="38" t="n"/>
      <c r="D733" s="38" t="n"/>
      <c r="E733" s="38" t="n"/>
      <c r="F733" s="38" t="n"/>
      <c r="G733" s="38" t="n"/>
    </row>
    <row r="734">
      <c r="A734" s="34" t="n"/>
      <c r="C734" s="38" t="n"/>
      <c r="D734" s="38" t="n"/>
      <c r="E734" s="38" t="n"/>
      <c r="F734" s="38" t="n"/>
      <c r="G734" s="38" t="n"/>
    </row>
    <row r="735">
      <c r="A735" s="34" t="n"/>
      <c r="C735" s="38" t="n"/>
      <c r="D735" s="38" t="n"/>
      <c r="E735" s="38" t="n"/>
      <c r="F735" s="38" t="n"/>
      <c r="G735" s="38" t="n"/>
    </row>
    <row r="736">
      <c r="A736" s="34" t="n"/>
      <c r="C736" s="38" t="n"/>
      <c r="D736" s="38" t="n"/>
      <c r="E736" s="38" t="n"/>
      <c r="F736" s="38" t="n"/>
      <c r="G736" s="38" t="n"/>
    </row>
    <row r="737">
      <c r="A737" s="34" t="n"/>
      <c r="C737" s="38" t="n"/>
      <c r="D737" s="38" t="n"/>
      <c r="E737" s="38" t="n"/>
      <c r="F737" s="38" t="n"/>
      <c r="G737" s="38" t="n"/>
    </row>
    <row r="738">
      <c r="A738" s="34" t="n"/>
      <c r="C738" s="38" t="n"/>
      <c r="D738" s="38" t="n"/>
      <c r="E738" s="38" t="n"/>
      <c r="F738" s="38" t="n"/>
      <c r="G738" s="38" t="n"/>
    </row>
    <row r="739">
      <c r="A739" s="34" t="n"/>
      <c r="C739" s="38" t="n"/>
      <c r="D739" s="38" t="n"/>
      <c r="E739" s="38" t="n"/>
      <c r="F739" s="38" t="n"/>
      <c r="G739" s="38" t="n"/>
    </row>
    <row r="740">
      <c r="A740" s="34" t="n"/>
      <c r="C740" s="38" t="n"/>
      <c r="D740" s="38" t="n"/>
      <c r="E740" s="38" t="n"/>
      <c r="F740" s="38" t="n"/>
      <c r="G740" s="38" t="n"/>
    </row>
    <row r="741">
      <c r="A741" s="34" t="n"/>
      <c r="C741" s="38" t="n"/>
      <c r="D741" s="38" t="n"/>
      <c r="E741" s="38" t="n"/>
      <c r="F741" s="38" t="n"/>
      <c r="G741" s="38" t="n"/>
    </row>
    <row r="742">
      <c r="A742" s="34" t="n"/>
      <c r="C742" s="38" t="n"/>
      <c r="D742" s="38" t="n"/>
      <c r="E742" s="38" t="n"/>
      <c r="F742" s="38" t="n"/>
      <c r="G742" s="38" t="n"/>
    </row>
    <row r="743">
      <c r="A743" s="34" t="n"/>
      <c r="C743" s="38" t="n"/>
      <c r="D743" s="38" t="n"/>
      <c r="E743" s="38" t="n"/>
      <c r="F743" s="38" t="n"/>
      <c r="G743" s="38" t="n"/>
    </row>
    <row r="744">
      <c r="A744" s="34" t="n"/>
      <c r="C744" s="38" t="n"/>
      <c r="D744" s="38" t="n"/>
      <c r="E744" s="38" t="n"/>
      <c r="F744" s="38" t="n"/>
      <c r="G744" s="38" t="n"/>
    </row>
    <row r="745">
      <c r="A745" s="34" t="n"/>
      <c r="C745" s="38" t="n"/>
      <c r="D745" s="38" t="n"/>
      <c r="E745" s="38" t="n"/>
      <c r="F745" s="38" t="n"/>
      <c r="G745" s="38" t="n"/>
    </row>
    <row r="746">
      <c r="A746" s="34" t="n"/>
      <c r="C746" s="38" t="n"/>
      <c r="D746" s="38" t="n"/>
      <c r="E746" s="38" t="n"/>
      <c r="F746" s="38" t="n"/>
      <c r="G746" s="38" t="n"/>
    </row>
    <row r="747">
      <c r="A747" s="34" t="n"/>
      <c r="C747" s="38" t="n"/>
      <c r="D747" s="38" t="n"/>
      <c r="E747" s="38" t="n"/>
      <c r="F747" s="38" t="n"/>
      <c r="G747" s="38" t="n"/>
    </row>
    <row r="748">
      <c r="A748" s="34" t="n"/>
      <c r="C748" s="38" t="n"/>
      <c r="D748" s="38" t="n"/>
      <c r="E748" s="38" t="n"/>
      <c r="F748" s="38" t="n"/>
      <c r="G748" s="38" t="n"/>
    </row>
    <row r="749">
      <c r="A749" s="34" t="n"/>
      <c r="C749" s="38" t="n"/>
      <c r="D749" s="38" t="n"/>
      <c r="E749" s="38" t="n"/>
      <c r="F749" s="38" t="n"/>
      <c r="G749" s="38" t="n"/>
    </row>
    <row r="750">
      <c r="A750" s="34" t="n"/>
      <c r="C750" s="38" t="n"/>
      <c r="D750" s="38" t="n"/>
      <c r="E750" s="38" t="n"/>
      <c r="F750" s="38" t="n"/>
      <c r="G750" s="38" t="n"/>
    </row>
    <row r="751">
      <c r="A751" s="34" t="n"/>
      <c r="C751" s="38" t="n"/>
      <c r="D751" s="38" t="n"/>
      <c r="E751" s="38" t="n"/>
      <c r="F751" s="38" t="n"/>
      <c r="G751" s="38" t="n"/>
    </row>
    <row r="752">
      <c r="A752" s="34" t="n"/>
      <c r="C752" s="38" t="n"/>
      <c r="D752" s="38" t="n"/>
      <c r="E752" s="38" t="n"/>
      <c r="F752" s="38" t="n"/>
      <c r="G752" s="38" t="n"/>
    </row>
    <row r="753">
      <c r="A753" s="34" t="n"/>
      <c r="C753" s="38" t="n"/>
      <c r="D753" s="38" t="n"/>
      <c r="E753" s="38" t="n"/>
      <c r="F753" s="38" t="n"/>
      <c r="G753" s="38" t="n"/>
    </row>
    <row r="754">
      <c r="A754" s="34" t="n"/>
      <c r="C754" s="38" t="n"/>
      <c r="D754" s="38" t="n"/>
      <c r="E754" s="38" t="n"/>
      <c r="F754" s="38" t="n"/>
      <c r="G754" s="38" t="n"/>
    </row>
    <row r="755">
      <c r="A755" s="34" t="n"/>
      <c r="C755" s="38" t="n"/>
      <c r="D755" s="38" t="n"/>
      <c r="E755" s="38" t="n"/>
      <c r="F755" s="38" t="n"/>
      <c r="G755" s="38" t="n"/>
    </row>
    <row r="756">
      <c r="A756" s="34" t="n"/>
      <c r="C756" s="38" t="n"/>
      <c r="D756" s="38" t="n"/>
      <c r="E756" s="38" t="n"/>
      <c r="F756" s="38" t="n"/>
      <c r="G756" s="38" t="n"/>
    </row>
    <row r="757">
      <c r="A757" s="34" t="n"/>
      <c r="C757" s="38" t="n"/>
      <c r="D757" s="38" t="n"/>
      <c r="E757" s="38" t="n"/>
      <c r="F757" s="38" t="n"/>
      <c r="G757" s="38" t="n"/>
    </row>
    <row r="758">
      <c r="A758" s="34" t="n"/>
      <c r="C758" s="38" t="n"/>
      <c r="D758" s="38" t="n"/>
      <c r="E758" s="38" t="n"/>
      <c r="F758" s="38" t="n"/>
      <c r="G758" s="38" t="n"/>
    </row>
    <row r="759">
      <c r="A759" s="34" t="n"/>
      <c r="C759" s="38" t="n"/>
      <c r="D759" s="38" t="n"/>
      <c r="E759" s="38" t="n"/>
      <c r="F759" s="38" t="n"/>
      <c r="G759" s="38" t="n"/>
    </row>
    <row r="760">
      <c r="A760" s="34" t="n"/>
      <c r="C760" s="38" t="n"/>
      <c r="D760" s="38" t="n"/>
      <c r="E760" s="38" t="n"/>
      <c r="F760" s="38" t="n"/>
      <c r="G760" s="38" t="n"/>
    </row>
    <row r="761">
      <c r="A761" s="34" t="n"/>
      <c r="C761" s="38" t="n"/>
      <c r="D761" s="38" t="n"/>
      <c r="E761" s="38" t="n"/>
      <c r="F761" s="38" t="n"/>
      <c r="G761" s="38" t="n"/>
    </row>
    <row r="762">
      <c r="A762" s="34" t="n"/>
      <c r="C762" s="38" t="n"/>
      <c r="D762" s="38" t="n"/>
      <c r="E762" s="38" t="n"/>
      <c r="F762" s="38" t="n"/>
      <c r="G762" s="38" t="n"/>
    </row>
    <row r="763">
      <c r="A763" s="34" t="n"/>
      <c r="C763" s="38" t="n"/>
      <c r="D763" s="38" t="n"/>
      <c r="E763" s="38" t="n"/>
      <c r="F763" s="38" t="n"/>
      <c r="G763" s="38" t="n"/>
    </row>
    <row r="764">
      <c r="A764" s="34" t="n"/>
      <c r="C764" s="38" t="n"/>
      <c r="D764" s="38" t="n"/>
      <c r="E764" s="38" t="n"/>
      <c r="F764" s="38" t="n"/>
      <c r="G764" s="38" t="n"/>
    </row>
    <row r="765">
      <c r="A765" s="34" t="n"/>
      <c r="C765" s="38" t="n"/>
      <c r="D765" s="38" t="n"/>
      <c r="E765" s="38" t="n"/>
      <c r="F765" s="38" t="n"/>
      <c r="G765" s="38" t="n"/>
    </row>
    <row r="766">
      <c r="A766" s="34" t="n"/>
      <c r="C766" s="38" t="n"/>
      <c r="D766" s="38" t="n"/>
      <c r="E766" s="38" t="n"/>
      <c r="F766" s="38" t="n"/>
      <c r="G766" s="38" t="n"/>
    </row>
    <row r="767">
      <c r="A767" s="34" t="n"/>
      <c r="C767" s="38" t="n"/>
      <c r="D767" s="38" t="n"/>
      <c r="E767" s="38" t="n"/>
      <c r="F767" s="38" t="n"/>
      <c r="G767" s="38" t="n"/>
    </row>
    <row r="768">
      <c r="A768" s="34" t="n"/>
      <c r="C768" s="38" t="n"/>
      <c r="D768" s="38" t="n"/>
      <c r="E768" s="38" t="n"/>
      <c r="F768" s="38" t="n"/>
      <c r="G768" s="38" t="n"/>
    </row>
    <row r="769">
      <c r="A769" s="34" t="n"/>
      <c r="C769" s="38" t="n"/>
      <c r="D769" s="38" t="n"/>
      <c r="E769" s="38" t="n"/>
      <c r="F769" s="38" t="n"/>
      <c r="G769" s="38" t="n"/>
    </row>
    <row r="770">
      <c r="A770" s="34" t="n"/>
      <c r="C770" s="38" t="n"/>
      <c r="D770" s="38" t="n"/>
      <c r="E770" s="38" t="n"/>
      <c r="F770" s="38" t="n"/>
      <c r="G770" s="38" t="n"/>
    </row>
    <row r="771">
      <c r="A771" s="34" t="n"/>
      <c r="C771" s="38" t="n"/>
      <c r="D771" s="38" t="n"/>
      <c r="E771" s="38" t="n"/>
      <c r="F771" s="38" t="n"/>
      <c r="G771" s="38" t="n"/>
    </row>
    <row r="772">
      <c r="A772" s="34" t="n"/>
      <c r="C772" s="38" t="n"/>
      <c r="D772" s="38" t="n"/>
      <c r="E772" s="38" t="n"/>
      <c r="F772" s="38" t="n"/>
      <c r="G772" s="38" t="n"/>
    </row>
    <row r="773">
      <c r="A773" s="34" t="n"/>
      <c r="C773" s="38" t="n"/>
      <c r="D773" s="38" t="n"/>
      <c r="E773" s="38" t="n"/>
      <c r="F773" s="38" t="n"/>
      <c r="G773" s="38" t="n"/>
    </row>
    <row r="774">
      <c r="A774" s="34" t="n"/>
      <c r="C774" s="38" t="n"/>
      <c r="D774" s="38" t="n"/>
      <c r="E774" s="38" t="n"/>
      <c r="F774" s="38" t="n"/>
      <c r="G774" s="38" t="n"/>
    </row>
    <row r="775">
      <c r="A775" s="34" t="n"/>
      <c r="C775" s="38" t="n"/>
      <c r="D775" s="38" t="n"/>
      <c r="E775" s="38" t="n"/>
      <c r="F775" s="38" t="n"/>
      <c r="G775" s="38" t="n"/>
    </row>
    <row r="776">
      <c r="A776" s="34" t="n"/>
      <c r="C776" s="38" t="n"/>
      <c r="D776" s="38" t="n"/>
      <c r="E776" s="38" t="n"/>
      <c r="F776" s="38" t="n"/>
      <c r="G776" s="38" t="n"/>
    </row>
    <row r="777">
      <c r="A777" s="34" t="n"/>
      <c r="C777" s="38" t="n"/>
      <c r="D777" s="38" t="n"/>
      <c r="E777" s="38" t="n"/>
      <c r="F777" s="38" t="n"/>
      <c r="G777" s="38" t="n"/>
    </row>
    <row r="778">
      <c r="A778" s="34" t="n"/>
      <c r="C778" s="38" t="n"/>
      <c r="D778" s="38" t="n"/>
      <c r="E778" s="38" t="n"/>
      <c r="F778" s="38" t="n"/>
      <c r="G778" s="38" t="n"/>
    </row>
    <row r="779">
      <c r="A779" s="34" t="n"/>
      <c r="C779" s="38" t="n"/>
      <c r="D779" s="38" t="n"/>
      <c r="E779" s="38" t="n"/>
      <c r="F779" s="38" t="n"/>
      <c r="G779" s="38" t="n"/>
    </row>
    <row r="780">
      <c r="A780" s="34" t="n"/>
      <c r="C780" s="38" t="n"/>
      <c r="D780" s="38" t="n"/>
      <c r="E780" s="38" t="n"/>
      <c r="F780" s="38" t="n"/>
      <c r="G780" s="38" t="n"/>
    </row>
    <row r="781">
      <c r="A781" s="34" t="n"/>
      <c r="C781" s="38" t="n"/>
      <c r="D781" s="38" t="n"/>
      <c r="E781" s="38" t="n"/>
      <c r="F781" s="38" t="n"/>
      <c r="G781" s="38" t="n"/>
    </row>
    <row r="782">
      <c r="A782" s="34" t="n"/>
      <c r="C782" s="38" t="n"/>
      <c r="D782" s="38" t="n"/>
      <c r="E782" s="38" t="n"/>
      <c r="F782" s="38" t="n"/>
      <c r="G782" s="38" t="n"/>
    </row>
    <row r="783">
      <c r="A783" s="34" t="n"/>
      <c r="C783" s="38" t="n"/>
      <c r="D783" s="38" t="n"/>
      <c r="E783" s="38" t="n"/>
      <c r="F783" s="38" t="n"/>
      <c r="G783" s="38" t="n"/>
    </row>
    <row r="784">
      <c r="A784" s="34" t="n"/>
      <c r="C784" s="38" t="n"/>
      <c r="D784" s="38" t="n"/>
      <c r="E784" s="38" t="n"/>
      <c r="F784" s="38" t="n"/>
      <c r="G784" s="38" t="n"/>
    </row>
    <row r="785">
      <c r="A785" s="34" t="n"/>
      <c r="C785" s="38" t="n"/>
      <c r="D785" s="38" t="n"/>
      <c r="E785" s="38" t="n"/>
      <c r="F785" s="38" t="n"/>
      <c r="G785" s="38" t="n"/>
    </row>
    <row r="786">
      <c r="A786" s="34" t="n"/>
      <c r="C786" s="38" t="n"/>
      <c r="D786" s="38" t="n"/>
      <c r="E786" s="38" t="n"/>
      <c r="F786" s="38" t="n"/>
      <c r="G786" s="38" t="n"/>
    </row>
    <row r="787">
      <c r="A787" s="34" t="n"/>
      <c r="C787" s="38" t="n"/>
      <c r="D787" s="38" t="n"/>
      <c r="E787" s="38" t="n"/>
      <c r="F787" s="38" t="n"/>
      <c r="G787" s="38" t="n"/>
    </row>
    <row r="788">
      <c r="A788" s="34" t="n"/>
      <c r="C788" s="38" t="n"/>
      <c r="D788" s="38" t="n"/>
      <c r="E788" s="38" t="n"/>
      <c r="F788" s="38" t="n"/>
      <c r="G788" s="38" t="n"/>
    </row>
    <row r="789">
      <c r="A789" s="34" t="n"/>
      <c r="C789" s="38" t="n"/>
      <c r="D789" s="38" t="n"/>
      <c r="E789" s="38" t="n"/>
      <c r="F789" s="38" t="n"/>
      <c r="G789" s="38" t="n"/>
    </row>
    <row r="790">
      <c r="A790" s="34" t="n"/>
      <c r="C790" s="38" t="n"/>
      <c r="D790" s="38" t="n"/>
      <c r="E790" s="38" t="n"/>
      <c r="F790" s="38" t="n"/>
      <c r="G790" s="38" t="n"/>
    </row>
    <row r="791">
      <c r="A791" s="34" t="n"/>
      <c r="C791" s="38" t="n"/>
      <c r="D791" s="38" t="n"/>
      <c r="E791" s="38" t="n"/>
      <c r="F791" s="38" t="n"/>
      <c r="G791" s="38" t="n"/>
    </row>
    <row r="792">
      <c r="A792" s="34" t="n"/>
      <c r="C792" s="38" t="n"/>
      <c r="D792" s="38" t="n"/>
      <c r="E792" s="38" t="n"/>
      <c r="F792" s="38" t="n"/>
      <c r="G792" s="38" t="n"/>
    </row>
    <row r="793">
      <c r="A793" s="34" t="n"/>
      <c r="C793" s="38" t="n"/>
      <c r="D793" s="38" t="n"/>
      <c r="E793" s="38" t="n"/>
      <c r="F793" s="38" t="n"/>
      <c r="G793" s="38" t="n"/>
    </row>
    <row r="794">
      <c r="A794" s="34" t="n"/>
      <c r="C794" s="38" t="n"/>
      <c r="D794" s="38" t="n"/>
      <c r="E794" s="38" t="n"/>
      <c r="F794" s="38" t="n"/>
      <c r="G794" s="38" t="n"/>
    </row>
    <row r="795">
      <c r="A795" s="34" t="n"/>
      <c r="C795" s="38" t="n"/>
      <c r="D795" s="38" t="n"/>
      <c r="E795" s="38" t="n"/>
      <c r="F795" s="38" t="n"/>
      <c r="G795" s="38" t="n"/>
    </row>
    <row r="796">
      <c r="A796" s="34" t="n"/>
      <c r="C796" s="38" t="n"/>
      <c r="D796" s="38" t="n"/>
      <c r="E796" s="38" t="n"/>
      <c r="F796" s="38" t="n"/>
      <c r="G796" s="38" t="n"/>
    </row>
    <row r="797">
      <c r="A797" s="34" t="n"/>
      <c r="C797" s="38" t="n"/>
      <c r="D797" s="38" t="n"/>
      <c r="E797" s="38" t="n"/>
      <c r="F797" s="38" t="n"/>
      <c r="G797" s="38" t="n"/>
    </row>
    <row r="798">
      <c r="A798" s="34" t="n"/>
      <c r="C798" s="38" t="n"/>
      <c r="D798" s="38" t="n"/>
      <c r="E798" s="38" t="n"/>
      <c r="F798" s="38" t="n"/>
      <c r="G798" s="38" t="n"/>
    </row>
    <row r="799">
      <c r="A799" s="34" t="n"/>
      <c r="C799" s="38" t="n"/>
      <c r="D799" s="38" t="n"/>
      <c r="E799" s="38" t="n"/>
      <c r="F799" s="38" t="n"/>
      <c r="G799" s="38" t="n"/>
    </row>
    <row r="800">
      <c r="A800" s="34" t="n"/>
      <c r="C800" s="38" t="n"/>
      <c r="D800" s="38" t="n"/>
      <c r="E800" s="38" t="n"/>
      <c r="F800" s="38" t="n"/>
      <c r="G800" s="38" t="n"/>
    </row>
    <row r="801">
      <c r="A801" s="34" t="n"/>
      <c r="C801" s="38" t="n"/>
      <c r="D801" s="38" t="n"/>
      <c r="E801" s="38" t="n"/>
      <c r="F801" s="38" t="n"/>
      <c r="G801" s="38" t="n"/>
    </row>
    <row r="802">
      <c r="A802" s="34" t="n"/>
      <c r="C802" s="38" t="n"/>
      <c r="D802" s="38" t="n"/>
      <c r="E802" s="38" t="n"/>
      <c r="F802" s="38" t="n"/>
      <c r="G802" s="38" t="n"/>
    </row>
    <row r="803">
      <c r="A803" s="34" t="n"/>
      <c r="C803" s="38" t="n"/>
      <c r="D803" s="38" t="n"/>
      <c r="E803" s="38" t="n"/>
      <c r="F803" s="38" t="n"/>
      <c r="G803" s="38" t="n"/>
    </row>
    <row r="804">
      <c r="A804" s="34" t="n"/>
      <c r="C804" s="38" t="n"/>
      <c r="D804" s="38" t="n"/>
      <c r="E804" s="38" t="n"/>
      <c r="F804" s="38" t="n"/>
      <c r="G804" s="38" t="n"/>
    </row>
    <row r="805">
      <c r="A805" s="34" t="n"/>
      <c r="C805" s="38" t="n"/>
      <c r="D805" s="38" t="n"/>
      <c r="E805" s="38" t="n"/>
      <c r="F805" s="38" t="n"/>
      <c r="G805" s="38" t="n"/>
    </row>
    <row r="806">
      <c r="A806" s="34" t="n"/>
      <c r="C806" s="38" t="n"/>
      <c r="D806" s="38" t="n"/>
      <c r="E806" s="38" t="n"/>
      <c r="F806" s="38" t="n"/>
      <c r="G806" s="38" t="n"/>
    </row>
    <row r="807">
      <c r="A807" s="34" t="n"/>
      <c r="C807" s="38" t="n"/>
      <c r="D807" s="38" t="n"/>
      <c r="E807" s="38" t="n"/>
      <c r="F807" s="38" t="n"/>
      <c r="G807" s="38" t="n"/>
    </row>
    <row r="808">
      <c r="A808" s="34" t="n"/>
      <c r="C808" s="38" t="n"/>
      <c r="D808" s="38" t="n"/>
      <c r="E808" s="38" t="n"/>
      <c r="F808" s="38" t="n"/>
      <c r="G808" s="38" t="n"/>
    </row>
    <row r="809">
      <c r="A809" s="34" t="n"/>
      <c r="C809" s="38" t="n"/>
      <c r="D809" s="38" t="n"/>
      <c r="E809" s="38" t="n"/>
      <c r="F809" s="38" t="n"/>
      <c r="G809" s="38" t="n"/>
    </row>
    <row r="810">
      <c r="A810" s="34" t="n"/>
      <c r="C810" s="38" t="n"/>
      <c r="D810" s="38" t="n"/>
      <c r="E810" s="38" t="n"/>
      <c r="F810" s="38" t="n"/>
      <c r="G810" s="38" t="n"/>
    </row>
    <row r="811">
      <c r="A811" s="34" t="n"/>
      <c r="C811" s="38" t="n"/>
      <c r="D811" s="38" t="n"/>
      <c r="E811" s="38" t="n"/>
      <c r="F811" s="38" t="n"/>
      <c r="G811" s="38" t="n"/>
    </row>
    <row r="812">
      <c r="A812" s="34" t="n"/>
      <c r="C812" s="38" t="n"/>
      <c r="D812" s="38" t="n"/>
      <c r="E812" s="38" t="n"/>
      <c r="F812" s="38" t="n"/>
      <c r="G812" s="38" t="n"/>
    </row>
    <row r="813">
      <c r="A813" s="34" t="n"/>
      <c r="C813" s="38" t="n"/>
      <c r="D813" s="38" t="n"/>
      <c r="E813" s="38" t="n"/>
      <c r="F813" s="38" t="n"/>
      <c r="G813" s="38" t="n"/>
    </row>
    <row r="814">
      <c r="A814" s="34" t="n"/>
      <c r="C814" s="38" t="n"/>
      <c r="D814" s="38" t="n"/>
      <c r="E814" s="38" t="n"/>
      <c r="F814" s="38" t="n"/>
      <c r="G814" s="38" t="n"/>
    </row>
    <row r="815">
      <c r="A815" s="34" t="n"/>
      <c r="C815" s="38" t="n"/>
      <c r="D815" s="38" t="n"/>
      <c r="E815" s="38" t="n"/>
      <c r="F815" s="38" t="n"/>
      <c r="G815" s="38" t="n"/>
    </row>
    <row r="816">
      <c r="A816" s="34" t="n"/>
      <c r="C816" s="38" t="n"/>
      <c r="D816" s="38" t="n"/>
      <c r="E816" s="38" t="n"/>
      <c r="F816" s="38" t="n"/>
      <c r="G816" s="38" t="n"/>
    </row>
    <row r="817">
      <c r="A817" s="34" t="n"/>
      <c r="C817" s="38" t="n"/>
      <c r="D817" s="38" t="n"/>
      <c r="E817" s="38" t="n"/>
      <c r="F817" s="38" t="n"/>
      <c r="G817" s="38" t="n"/>
    </row>
    <row r="818">
      <c r="A818" s="34" t="n"/>
      <c r="C818" s="38" t="n"/>
      <c r="D818" s="38" t="n"/>
      <c r="E818" s="38" t="n"/>
      <c r="F818" s="38" t="n"/>
      <c r="G818" s="38" t="n"/>
    </row>
    <row r="819">
      <c r="A819" s="34" t="n"/>
      <c r="C819" s="38" t="n"/>
      <c r="D819" s="38" t="n"/>
      <c r="E819" s="38" t="n"/>
      <c r="F819" s="38" t="n"/>
      <c r="G819" s="38" t="n"/>
    </row>
    <row r="820">
      <c r="A820" s="34" t="n"/>
      <c r="C820" s="38" t="n"/>
      <c r="D820" s="38" t="n"/>
      <c r="E820" s="38" t="n"/>
      <c r="F820" s="38" t="n"/>
      <c r="G820" s="38" t="n"/>
    </row>
    <row r="821">
      <c r="A821" s="34" t="n"/>
      <c r="C821" s="38" t="n"/>
      <c r="D821" s="38" t="n"/>
      <c r="E821" s="38" t="n"/>
      <c r="F821" s="38" t="n"/>
      <c r="G821" s="38" t="n"/>
    </row>
    <row r="822">
      <c r="A822" s="34" t="n"/>
      <c r="C822" s="38" t="n"/>
      <c r="D822" s="38" t="n"/>
      <c r="E822" s="38" t="n"/>
      <c r="F822" s="38" t="n"/>
      <c r="G822" s="38" t="n"/>
    </row>
    <row r="823">
      <c r="A823" s="34" t="n"/>
      <c r="C823" s="38" t="n"/>
      <c r="D823" s="38" t="n"/>
      <c r="E823" s="38" t="n"/>
      <c r="F823" s="38" t="n"/>
      <c r="G823" s="38" t="n"/>
    </row>
    <row r="824">
      <c r="A824" s="34" t="n"/>
      <c r="C824" s="38" t="n"/>
      <c r="D824" s="38" t="n"/>
      <c r="E824" s="38" t="n"/>
      <c r="F824" s="38" t="n"/>
      <c r="G824" s="38" t="n"/>
    </row>
    <row r="825">
      <c r="A825" s="34" t="n"/>
      <c r="C825" s="38" t="n"/>
      <c r="D825" s="38" t="n"/>
      <c r="E825" s="38" t="n"/>
      <c r="F825" s="38" t="n"/>
      <c r="G825" s="38" t="n"/>
    </row>
    <row r="826">
      <c r="A826" s="34" t="n"/>
      <c r="C826" s="38" t="n"/>
      <c r="D826" s="38" t="n"/>
      <c r="E826" s="38" t="n"/>
      <c r="F826" s="38" t="n"/>
      <c r="G826" s="38" t="n"/>
    </row>
    <row r="827">
      <c r="A827" s="34" t="n"/>
      <c r="C827" s="38" t="n"/>
      <c r="D827" s="38" t="n"/>
      <c r="E827" s="38" t="n"/>
      <c r="F827" s="38" t="n"/>
      <c r="G827" s="38" t="n"/>
    </row>
    <row r="828">
      <c r="A828" s="34" t="n"/>
      <c r="C828" s="38" t="n"/>
      <c r="D828" s="38" t="n"/>
      <c r="E828" s="38" t="n"/>
      <c r="F828" s="38" t="n"/>
      <c r="G828" s="38" t="n"/>
    </row>
    <row r="829">
      <c r="A829" s="34" t="n"/>
      <c r="C829" s="38" t="n"/>
      <c r="D829" s="38" t="n"/>
      <c r="E829" s="38" t="n"/>
      <c r="F829" s="38" t="n"/>
      <c r="G829" s="38" t="n"/>
    </row>
    <row r="830">
      <c r="A830" s="34" t="n"/>
      <c r="C830" s="38" t="n"/>
      <c r="D830" s="38" t="n"/>
      <c r="E830" s="38" t="n"/>
      <c r="F830" s="38" t="n"/>
      <c r="G830" s="38" t="n"/>
    </row>
    <row r="831">
      <c r="A831" s="34" t="n"/>
      <c r="C831" s="38" t="n"/>
      <c r="D831" s="38" t="n"/>
      <c r="E831" s="38" t="n"/>
      <c r="F831" s="38" t="n"/>
      <c r="G831" s="38" t="n"/>
    </row>
    <row r="832">
      <c r="A832" s="34" t="n"/>
      <c r="C832" s="38" t="n"/>
      <c r="D832" s="38" t="n"/>
      <c r="E832" s="38" t="n"/>
      <c r="F832" s="38" t="n"/>
      <c r="G832" s="38" t="n"/>
    </row>
    <row r="833">
      <c r="A833" s="34" t="n"/>
      <c r="C833" s="38" t="n"/>
      <c r="D833" s="38" t="n"/>
      <c r="E833" s="38" t="n"/>
      <c r="F833" s="38" t="n"/>
      <c r="G833" s="38" t="n"/>
    </row>
    <row r="834">
      <c r="A834" s="34" t="n"/>
      <c r="C834" s="38" t="n"/>
      <c r="D834" s="38" t="n"/>
      <c r="E834" s="38" t="n"/>
      <c r="F834" s="38" t="n"/>
      <c r="G834" s="38" t="n"/>
    </row>
    <row r="835">
      <c r="A835" s="34" t="n"/>
      <c r="C835" s="38" t="n"/>
      <c r="D835" s="38" t="n"/>
      <c r="E835" s="38" t="n"/>
      <c r="F835" s="38" t="n"/>
      <c r="G835" s="38" t="n"/>
    </row>
    <row r="836">
      <c r="A836" s="34" t="n"/>
      <c r="C836" s="38" t="n"/>
      <c r="D836" s="38" t="n"/>
      <c r="E836" s="38" t="n"/>
      <c r="F836" s="38" t="n"/>
      <c r="G836" s="38" t="n"/>
    </row>
    <row r="837">
      <c r="A837" s="34" t="n"/>
      <c r="C837" s="38" t="n"/>
      <c r="D837" s="38" t="n"/>
      <c r="E837" s="38" t="n"/>
      <c r="F837" s="38" t="n"/>
      <c r="G837" s="38" t="n"/>
    </row>
    <row r="838">
      <c r="A838" s="34" t="n"/>
      <c r="C838" s="38" t="n"/>
      <c r="D838" s="38" t="n"/>
      <c r="E838" s="38" t="n"/>
      <c r="F838" s="38" t="n"/>
      <c r="G838" s="38" t="n"/>
    </row>
    <row r="839">
      <c r="A839" s="34" t="n"/>
      <c r="C839" s="38" t="n"/>
      <c r="D839" s="38" t="n"/>
      <c r="E839" s="38" t="n"/>
      <c r="F839" s="38" t="n"/>
      <c r="G839" s="38" t="n"/>
    </row>
    <row r="840">
      <c r="A840" s="34" t="n"/>
      <c r="C840" s="38" t="n"/>
      <c r="D840" s="38" t="n"/>
      <c r="E840" s="38" t="n"/>
      <c r="F840" s="38" t="n"/>
      <c r="G840" s="38" t="n"/>
    </row>
    <row r="841">
      <c r="A841" s="34" t="n"/>
      <c r="C841" s="38" t="n"/>
      <c r="D841" s="38" t="n"/>
      <c r="E841" s="38" t="n"/>
      <c r="F841" s="38" t="n"/>
      <c r="G841" s="38" t="n"/>
    </row>
    <row r="842">
      <c r="A842" s="34" t="n"/>
      <c r="C842" s="38" t="n"/>
      <c r="D842" s="38" t="n"/>
      <c r="E842" s="38" t="n"/>
      <c r="F842" s="38" t="n"/>
      <c r="G842" s="38" t="n"/>
    </row>
    <row r="843">
      <c r="A843" s="34" t="n"/>
      <c r="C843" s="38" t="n"/>
      <c r="D843" s="38" t="n"/>
      <c r="E843" s="38" t="n"/>
      <c r="F843" s="38" t="n"/>
      <c r="G843" s="38" t="n"/>
    </row>
    <row r="844">
      <c r="A844" s="34" t="n"/>
      <c r="C844" s="38" t="n"/>
      <c r="D844" s="38" t="n"/>
      <c r="E844" s="38" t="n"/>
      <c r="F844" s="38" t="n"/>
      <c r="G844" s="38" t="n"/>
    </row>
    <row r="845">
      <c r="A845" s="34" t="n"/>
      <c r="C845" s="38" t="n"/>
      <c r="D845" s="38" t="n"/>
      <c r="E845" s="38" t="n"/>
      <c r="F845" s="38" t="n"/>
      <c r="G845" s="38" t="n"/>
    </row>
    <row r="846">
      <c r="A846" s="34" t="n"/>
      <c r="C846" s="38" t="n"/>
      <c r="D846" s="38" t="n"/>
      <c r="E846" s="38" t="n"/>
      <c r="F846" s="38" t="n"/>
      <c r="G846" s="38" t="n"/>
    </row>
    <row r="847">
      <c r="A847" s="34" t="n"/>
      <c r="C847" s="38" t="n"/>
      <c r="D847" s="38" t="n"/>
      <c r="E847" s="38" t="n"/>
      <c r="F847" s="38" t="n"/>
      <c r="G847" s="38" t="n"/>
    </row>
    <row r="848">
      <c r="A848" s="34" t="n"/>
      <c r="C848" s="38" t="n"/>
      <c r="D848" s="38" t="n"/>
      <c r="E848" s="38" t="n"/>
      <c r="F848" s="38" t="n"/>
      <c r="G848" s="38" t="n"/>
    </row>
    <row r="849">
      <c r="A849" s="34" t="n"/>
      <c r="C849" s="38" t="n"/>
      <c r="D849" s="38" t="n"/>
      <c r="E849" s="38" t="n"/>
      <c r="F849" s="38" t="n"/>
      <c r="G849" s="38" t="n"/>
    </row>
    <row r="850">
      <c r="A850" s="34" t="n"/>
      <c r="C850" s="38" t="n"/>
      <c r="D850" s="38" t="n"/>
      <c r="E850" s="38" t="n"/>
      <c r="F850" s="38" t="n"/>
      <c r="G850" s="38" t="n"/>
    </row>
    <row r="851">
      <c r="A851" s="34" t="n"/>
      <c r="C851" s="38" t="n"/>
      <c r="D851" s="38" t="n"/>
      <c r="E851" s="38" t="n"/>
      <c r="F851" s="38" t="n"/>
      <c r="G851" s="38" t="n"/>
    </row>
    <row r="852">
      <c r="A852" s="34" t="n"/>
      <c r="C852" s="38" t="n"/>
      <c r="D852" s="38" t="n"/>
      <c r="E852" s="38" t="n"/>
      <c r="F852" s="38" t="n"/>
      <c r="G852" s="38" t="n"/>
    </row>
    <row r="853">
      <c r="A853" s="34" t="n"/>
      <c r="C853" s="38" t="n"/>
      <c r="D853" s="38" t="n"/>
      <c r="E853" s="38" t="n"/>
      <c r="F853" s="38" t="n"/>
      <c r="G853" s="38" t="n"/>
    </row>
    <row r="854">
      <c r="A854" s="34" t="n"/>
      <c r="C854" s="38" t="n"/>
      <c r="D854" s="38" t="n"/>
      <c r="E854" s="38" t="n"/>
      <c r="F854" s="38" t="n"/>
      <c r="G854" s="38" t="n"/>
    </row>
    <row r="855">
      <c r="A855" s="34" t="n"/>
      <c r="C855" s="38" t="n"/>
      <c r="D855" s="38" t="n"/>
      <c r="E855" s="38" t="n"/>
      <c r="F855" s="38" t="n"/>
      <c r="G855" s="38" t="n"/>
    </row>
    <row r="856">
      <c r="A856" s="34" t="n"/>
      <c r="C856" s="38" t="n"/>
      <c r="D856" s="38" t="n"/>
      <c r="E856" s="38" t="n"/>
      <c r="F856" s="38" t="n"/>
      <c r="G856" s="38" t="n"/>
    </row>
    <row r="857">
      <c r="A857" s="34" t="n"/>
      <c r="C857" s="38" t="n"/>
      <c r="D857" s="38" t="n"/>
      <c r="E857" s="38" t="n"/>
      <c r="F857" s="38" t="n"/>
      <c r="G857" s="38" t="n"/>
    </row>
    <row r="858">
      <c r="A858" s="34" t="n"/>
      <c r="C858" s="38" t="n"/>
      <c r="D858" s="38" t="n"/>
      <c r="E858" s="38" t="n"/>
      <c r="F858" s="38" t="n"/>
      <c r="G858" s="38" t="n"/>
    </row>
    <row r="859">
      <c r="A859" s="34" t="n"/>
      <c r="C859" s="38" t="n"/>
      <c r="D859" s="38" t="n"/>
      <c r="E859" s="38" t="n"/>
      <c r="F859" s="38" t="n"/>
      <c r="G859" s="38" t="n"/>
    </row>
    <row r="860">
      <c r="A860" s="34" t="n"/>
      <c r="C860" s="38" t="n"/>
      <c r="D860" s="38" t="n"/>
      <c r="E860" s="38" t="n"/>
      <c r="F860" s="38" t="n"/>
      <c r="G860" s="38" t="n"/>
    </row>
    <row r="861">
      <c r="A861" s="34" t="n"/>
      <c r="C861" s="38" t="n"/>
      <c r="D861" s="38" t="n"/>
      <c r="E861" s="38" t="n"/>
      <c r="F861" s="38" t="n"/>
      <c r="G861" s="38" t="n"/>
    </row>
    <row r="862">
      <c r="A862" s="34" t="n"/>
      <c r="C862" s="38" t="n"/>
      <c r="D862" s="38" t="n"/>
      <c r="E862" s="38" t="n"/>
      <c r="F862" s="38" t="n"/>
      <c r="G862" s="38" t="n"/>
    </row>
    <row r="863">
      <c r="A863" s="34" t="n"/>
      <c r="C863" s="38" t="n"/>
      <c r="D863" s="38" t="n"/>
      <c r="E863" s="38" t="n"/>
      <c r="F863" s="38" t="n"/>
      <c r="G863" s="38" t="n"/>
    </row>
    <row r="864">
      <c r="A864" s="34" t="n"/>
      <c r="C864" s="38" t="n"/>
      <c r="D864" s="38" t="n"/>
      <c r="E864" s="38" t="n"/>
      <c r="F864" s="38" t="n"/>
      <c r="G864" s="38" t="n"/>
    </row>
    <row r="865">
      <c r="A865" s="34" t="n"/>
      <c r="C865" s="38" t="n"/>
      <c r="D865" s="38" t="n"/>
      <c r="E865" s="38" t="n"/>
      <c r="F865" s="38" t="n"/>
      <c r="G865" s="38" t="n"/>
    </row>
    <row r="866">
      <c r="A866" s="34" t="n"/>
      <c r="C866" s="38" t="n"/>
      <c r="D866" s="38" t="n"/>
      <c r="E866" s="38" t="n"/>
      <c r="F866" s="38" t="n"/>
      <c r="G866" s="38" t="n"/>
    </row>
    <row r="867">
      <c r="A867" s="34" t="n"/>
      <c r="C867" s="38" t="n"/>
      <c r="D867" s="38" t="n"/>
      <c r="E867" s="38" t="n"/>
      <c r="F867" s="38" t="n"/>
      <c r="G867" s="38" t="n"/>
    </row>
    <row r="868">
      <c r="A868" s="34" t="n"/>
      <c r="C868" s="38" t="n"/>
      <c r="D868" s="38" t="n"/>
      <c r="E868" s="38" t="n"/>
      <c r="F868" s="38" t="n"/>
      <c r="G868" s="38" t="n"/>
    </row>
    <row r="869">
      <c r="A869" s="34" t="n"/>
      <c r="C869" s="38" t="n"/>
      <c r="D869" s="38" t="n"/>
      <c r="E869" s="38" t="n"/>
      <c r="F869" s="38" t="n"/>
      <c r="G869" s="38" t="n"/>
    </row>
    <row r="870">
      <c r="A870" s="34" t="n"/>
      <c r="C870" s="38" t="n"/>
      <c r="D870" s="38" t="n"/>
      <c r="E870" s="38" t="n"/>
      <c r="F870" s="38" t="n"/>
      <c r="G870" s="38" t="n"/>
    </row>
    <row r="871">
      <c r="A871" s="34" t="n"/>
      <c r="C871" s="38" t="n"/>
      <c r="D871" s="38" t="n"/>
      <c r="E871" s="38" t="n"/>
      <c r="F871" s="38" t="n"/>
      <c r="G871" s="38" t="n"/>
    </row>
    <row r="872">
      <c r="A872" s="34" t="n"/>
      <c r="C872" s="38" t="n"/>
      <c r="D872" s="38" t="n"/>
      <c r="E872" s="38" t="n"/>
      <c r="F872" s="38" t="n"/>
      <c r="G872" s="38" t="n"/>
    </row>
    <row r="873">
      <c r="A873" s="34" t="n"/>
      <c r="C873" s="38" t="n"/>
      <c r="D873" s="38" t="n"/>
      <c r="E873" s="38" t="n"/>
      <c r="F873" s="38" t="n"/>
      <c r="G873" s="38" t="n"/>
    </row>
    <row r="874">
      <c r="A874" s="34" t="n"/>
      <c r="C874" s="38" t="n"/>
      <c r="D874" s="38" t="n"/>
      <c r="E874" s="38" t="n"/>
      <c r="F874" s="38" t="n"/>
      <c r="G874" s="38" t="n"/>
    </row>
    <row r="875">
      <c r="A875" s="34" t="n"/>
      <c r="C875" s="38" t="n"/>
      <c r="D875" s="38" t="n"/>
      <c r="E875" s="38" t="n"/>
      <c r="F875" s="38" t="n"/>
      <c r="G875" s="38" t="n"/>
    </row>
    <row r="876">
      <c r="A876" s="34" t="n"/>
      <c r="C876" s="38" t="n"/>
      <c r="D876" s="38" t="n"/>
      <c r="E876" s="38" t="n"/>
      <c r="F876" s="38" t="n"/>
      <c r="G876" s="38" t="n"/>
    </row>
    <row r="877">
      <c r="A877" s="34" t="n"/>
      <c r="C877" s="38" t="n"/>
      <c r="D877" s="38" t="n"/>
      <c r="E877" s="38" t="n"/>
      <c r="F877" s="38" t="n"/>
      <c r="G877" s="38" t="n"/>
    </row>
    <row r="878">
      <c r="A878" s="34" t="n"/>
      <c r="C878" s="38" t="n"/>
      <c r="D878" s="38" t="n"/>
      <c r="E878" s="38" t="n"/>
      <c r="F878" s="38" t="n"/>
      <c r="G878" s="38" t="n"/>
    </row>
    <row r="879">
      <c r="A879" s="34" t="n"/>
      <c r="C879" s="38" t="n"/>
      <c r="D879" s="38" t="n"/>
      <c r="E879" s="38" t="n"/>
      <c r="F879" s="38" t="n"/>
      <c r="G879" s="38" t="n"/>
    </row>
    <row r="880">
      <c r="A880" s="34" t="n"/>
      <c r="C880" s="38" t="n"/>
      <c r="D880" s="38" t="n"/>
      <c r="E880" s="38" t="n"/>
      <c r="F880" s="38" t="n"/>
      <c r="G880" s="38" t="n"/>
    </row>
    <row r="881">
      <c r="A881" s="34" t="n"/>
      <c r="C881" s="38" t="n"/>
      <c r="D881" s="38" t="n"/>
      <c r="E881" s="38" t="n"/>
      <c r="F881" s="38" t="n"/>
      <c r="G881" s="38" t="n"/>
    </row>
    <row r="882">
      <c r="A882" s="34" t="n"/>
      <c r="C882" s="38" t="n"/>
      <c r="D882" s="38" t="n"/>
      <c r="E882" s="38" t="n"/>
      <c r="F882" s="38" t="n"/>
      <c r="G882" s="38" t="n"/>
    </row>
    <row r="883">
      <c r="A883" s="34" t="n"/>
      <c r="C883" s="38" t="n"/>
      <c r="D883" s="38" t="n"/>
      <c r="E883" s="38" t="n"/>
      <c r="F883" s="38" t="n"/>
      <c r="G883" s="38" t="n"/>
    </row>
    <row r="884">
      <c r="A884" s="34" t="n"/>
      <c r="C884" s="38" t="n"/>
      <c r="D884" s="38" t="n"/>
      <c r="E884" s="38" t="n"/>
      <c r="F884" s="38" t="n"/>
      <c r="G884" s="38" t="n"/>
    </row>
    <row r="885">
      <c r="A885" s="34" t="n"/>
      <c r="C885" s="38" t="n"/>
      <c r="D885" s="38" t="n"/>
      <c r="E885" s="38" t="n"/>
      <c r="F885" s="38" t="n"/>
      <c r="G885" s="38" t="n"/>
    </row>
    <row r="886">
      <c r="A886" s="34" t="n"/>
      <c r="C886" s="38" t="n"/>
      <c r="D886" s="38" t="n"/>
      <c r="E886" s="38" t="n"/>
      <c r="F886" s="38" t="n"/>
      <c r="G886" s="38" t="n"/>
    </row>
    <row r="887">
      <c r="A887" s="34" t="n"/>
      <c r="C887" s="38" t="n"/>
      <c r="D887" s="38" t="n"/>
      <c r="E887" s="38" t="n"/>
      <c r="F887" s="38" t="n"/>
      <c r="G887" s="38" t="n"/>
    </row>
    <row r="888">
      <c r="A888" s="34" t="n"/>
      <c r="C888" s="38" t="n"/>
      <c r="D888" s="38" t="n"/>
      <c r="E888" s="38" t="n"/>
      <c r="F888" s="38" t="n"/>
      <c r="G888" s="38" t="n"/>
    </row>
    <row r="889">
      <c r="A889" s="34" t="n"/>
      <c r="C889" s="38" t="n"/>
      <c r="D889" s="38" t="n"/>
      <c r="E889" s="38" t="n"/>
      <c r="F889" s="38" t="n"/>
      <c r="G889" s="38" t="n"/>
    </row>
    <row r="890">
      <c r="A890" s="34" t="n"/>
      <c r="C890" s="38" t="n"/>
      <c r="D890" s="38" t="n"/>
      <c r="E890" s="38" t="n"/>
      <c r="F890" s="38" t="n"/>
      <c r="G890" s="38" t="n"/>
    </row>
    <row r="891">
      <c r="A891" s="34" t="n"/>
      <c r="C891" s="38" t="n"/>
      <c r="D891" s="38" t="n"/>
      <c r="E891" s="38" t="n"/>
      <c r="F891" s="38" t="n"/>
      <c r="G891" s="38" t="n"/>
    </row>
    <row r="892">
      <c r="A892" s="34" t="n"/>
      <c r="C892" s="38" t="n"/>
      <c r="D892" s="38" t="n"/>
      <c r="E892" s="38" t="n"/>
      <c r="F892" s="38" t="n"/>
      <c r="G892" s="38" t="n"/>
    </row>
    <row r="893">
      <c r="A893" s="34" t="n"/>
      <c r="C893" s="38" t="n"/>
      <c r="D893" s="38" t="n"/>
      <c r="E893" s="38" t="n"/>
      <c r="F893" s="38" t="n"/>
      <c r="G893" s="38" t="n"/>
    </row>
    <row r="894">
      <c r="A894" s="34" t="n"/>
      <c r="C894" s="38" t="n"/>
      <c r="D894" s="38" t="n"/>
      <c r="E894" s="38" t="n"/>
      <c r="F894" s="38" t="n"/>
      <c r="G894" s="38" t="n"/>
    </row>
    <row r="895">
      <c r="A895" s="34" t="n"/>
      <c r="C895" s="38" t="n"/>
      <c r="D895" s="38" t="n"/>
      <c r="E895" s="38" t="n"/>
      <c r="F895" s="38" t="n"/>
      <c r="G895" s="38" t="n"/>
    </row>
    <row r="896">
      <c r="A896" s="34" t="n"/>
      <c r="C896" s="38" t="n"/>
      <c r="D896" s="38" t="n"/>
      <c r="E896" s="38" t="n"/>
      <c r="F896" s="38" t="n"/>
      <c r="G896" s="38" t="n"/>
    </row>
    <row r="897">
      <c r="A897" s="34" t="n"/>
      <c r="C897" s="38" t="n"/>
      <c r="D897" s="38" t="n"/>
      <c r="E897" s="38" t="n"/>
      <c r="F897" s="38" t="n"/>
      <c r="G897" s="38" t="n"/>
    </row>
    <row r="898">
      <c r="A898" s="34" t="n"/>
      <c r="C898" s="38" t="n"/>
      <c r="D898" s="38" t="n"/>
      <c r="E898" s="38" t="n"/>
      <c r="F898" s="38" t="n"/>
      <c r="G898" s="38" t="n"/>
    </row>
    <row r="899">
      <c r="A899" s="34" t="n"/>
      <c r="C899" s="38" t="n"/>
      <c r="D899" s="38" t="n"/>
      <c r="E899" s="38" t="n"/>
      <c r="F899" s="38" t="n"/>
      <c r="G899" s="38" t="n"/>
    </row>
    <row r="900">
      <c r="A900" s="34" t="n"/>
      <c r="C900" s="38" t="n"/>
      <c r="D900" s="38" t="n"/>
      <c r="E900" s="38" t="n"/>
      <c r="F900" s="38" t="n"/>
      <c r="G900" s="38" t="n"/>
    </row>
    <row r="901">
      <c r="A901" s="34" t="n"/>
      <c r="C901" s="38" t="n"/>
      <c r="D901" s="38" t="n"/>
      <c r="E901" s="38" t="n"/>
      <c r="F901" s="38" t="n"/>
      <c r="G901" s="38" t="n"/>
    </row>
    <row r="902">
      <c r="A902" s="34" t="n"/>
      <c r="C902" s="38" t="n"/>
      <c r="D902" s="38" t="n"/>
      <c r="E902" s="38" t="n"/>
      <c r="F902" s="38" t="n"/>
      <c r="G902" s="38" t="n"/>
    </row>
    <row r="903">
      <c r="A903" s="34" t="n"/>
      <c r="C903" s="38" t="n"/>
      <c r="D903" s="38" t="n"/>
      <c r="E903" s="38" t="n"/>
      <c r="F903" s="38" t="n"/>
      <c r="G903" s="38" t="n"/>
    </row>
    <row r="904">
      <c r="A904" s="34" t="n"/>
      <c r="C904" s="38" t="n"/>
      <c r="D904" s="38" t="n"/>
      <c r="E904" s="38" t="n"/>
      <c r="F904" s="38" t="n"/>
      <c r="G904" s="38" t="n"/>
    </row>
    <row r="905">
      <c r="A905" s="34" t="n"/>
      <c r="C905" s="38" t="n"/>
      <c r="D905" s="38" t="n"/>
      <c r="E905" s="38" t="n"/>
      <c r="F905" s="38" t="n"/>
      <c r="G905" s="38" t="n"/>
    </row>
    <row r="906">
      <c r="A906" s="34" t="n"/>
      <c r="C906" s="38" t="n"/>
      <c r="D906" s="38" t="n"/>
      <c r="E906" s="38" t="n"/>
      <c r="F906" s="38" t="n"/>
      <c r="G906" s="38" t="n"/>
    </row>
    <row r="907">
      <c r="A907" s="34" t="n"/>
      <c r="C907" s="38" t="n"/>
      <c r="D907" s="38" t="n"/>
      <c r="E907" s="38" t="n"/>
      <c r="F907" s="38" t="n"/>
      <c r="G907" s="38" t="n"/>
    </row>
    <row r="908">
      <c r="A908" s="34" t="n"/>
      <c r="C908" s="38" t="n"/>
      <c r="D908" s="38" t="n"/>
      <c r="E908" s="38" t="n"/>
      <c r="F908" s="38" t="n"/>
      <c r="G908" s="38" t="n"/>
    </row>
    <row r="909">
      <c r="A909" s="34" t="n"/>
      <c r="C909" s="38" t="n"/>
      <c r="D909" s="38" t="n"/>
      <c r="E909" s="38" t="n"/>
      <c r="F909" s="38" t="n"/>
      <c r="G909" s="38" t="n"/>
    </row>
    <row r="910">
      <c r="A910" s="34" t="n"/>
      <c r="C910" s="38" t="n"/>
      <c r="D910" s="38" t="n"/>
      <c r="E910" s="38" t="n"/>
      <c r="F910" s="38" t="n"/>
      <c r="G910" s="38" t="n"/>
    </row>
    <row r="911">
      <c r="A911" s="34" t="n"/>
      <c r="C911" s="38" t="n"/>
      <c r="D911" s="38" t="n"/>
      <c r="E911" s="38" t="n"/>
      <c r="F911" s="38" t="n"/>
      <c r="G911" s="38" t="n"/>
    </row>
    <row r="912">
      <c r="A912" s="34" t="n"/>
      <c r="C912" s="38" t="n"/>
      <c r="D912" s="38" t="n"/>
      <c r="E912" s="38" t="n"/>
      <c r="F912" s="38" t="n"/>
      <c r="G912" s="38" t="n"/>
    </row>
    <row r="913">
      <c r="A913" s="34" t="n"/>
      <c r="C913" s="38" t="n"/>
      <c r="D913" s="38" t="n"/>
      <c r="E913" s="38" t="n"/>
      <c r="F913" s="38" t="n"/>
      <c r="G913" s="38" t="n"/>
    </row>
    <row r="914">
      <c r="A914" s="34" t="n"/>
      <c r="C914" s="38" t="n"/>
      <c r="D914" s="38" t="n"/>
      <c r="E914" s="38" t="n"/>
      <c r="F914" s="38" t="n"/>
      <c r="G914" s="38" t="n"/>
    </row>
    <row r="915">
      <c r="A915" s="34" t="n"/>
      <c r="C915" s="38" t="n"/>
      <c r="D915" s="38" t="n"/>
      <c r="E915" s="38" t="n"/>
      <c r="F915" s="38" t="n"/>
      <c r="G915" s="38" t="n"/>
    </row>
    <row r="916">
      <c r="A916" s="34" t="n"/>
      <c r="C916" s="38" t="n"/>
      <c r="D916" s="38" t="n"/>
      <c r="E916" s="38" t="n"/>
      <c r="F916" s="38" t="n"/>
      <c r="G916" s="38" t="n"/>
    </row>
    <row r="917">
      <c r="A917" s="34" t="n"/>
      <c r="C917" s="38" t="n"/>
      <c r="D917" s="38" t="n"/>
      <c r="E917" s="38" t="n"/>
      <c r="F917" s="38" t="n"/>
      <c r="G917" s="38" t="n"/>
    </row>
    <row r="918">
      <c r="A918" s="34" t="n"/>
      <c r="C918" s="38" t="n"/>
      <c r="D918" s="38" t="n"/>
      <c r="E918" s="38" t="n"/>
      <c r="F918" s="38" t="n"/>
      <c r="G918" s="38" t="n"/>
    </row>
    <row r="919">
      <c r="A919" s="34" t="n"/>
      <c r="C919" s="38" t="n"/>
      <c r="D919" s="38" t="n"/>
      <c r="E919" s="38" t="n"/>
      <c r="F919" s="38" t="n"/>
      <c r="G919" s="38" t="n"/>
    </row>
    <row r="920">
      <c r="A920" s="34" t="n"/>
      <c r="C920" s="38" t="n"/>
      <c r="D920" s="38" t="n"/>
      <c r="E920" s="38" t="n"/>
      <c r="F920" s="38" t="n"/>
      <c r="G920" s="38" t="n"/>
    </row>
    <row r="921">
      <c r="A921" s="34" t="n"/>
      <c r="C921" s="38" t="n"/>
      <c r="D921" s="38" t="n"/>
      <c r="E921" s="38" t="n"/>
      <c r="F921" s="38" t="n"/>
      <c r="G921" s="38" t="n"/>
    </row>
    <row r="922">
      <c r="A922" s="34" t="n"/>
      <c r="C922" s="38" t="n"/>
      <c r="D922" s="38" t="n"/>
      <c r="E922" s="38" t="n"/>
      <c r="F922" s="38" t="n"/>
      <c r="G922" s="38" t="n"/>
    </row>
    <row r="923">
      <c r="A923" s="34" t="n"/>
      <c r="C923" s="38" t="n"/>
      <c r="D923" s="38" t="n"/>
      <c r="E923" s="38" t="n"/>
      <c r="F923" s="38" t="n"/>
      <c r="G923" s="38" t="n"/>
    </row>
    <row r="924">
      <c r="A924" s="34" t="n"/>
      <c r="C924" s="38" t="n"/>
      <c r="D924" s="38" t="n"/>
      <c r="E924" s="38" t="n"/>
      <c r="F924" s="38" t="n"/>
      <c r="G924" s="38" t="n"/>
    </row>
    <row r="925">
      <c r="A925" s="34" t="n"/>
      <c r="C925" s="38" t="n"/>
      <c r="D925" s="38" t="n"/>
      <c r="E925" s="38" t="n"/>
      <c r="F925" s="38" t="n"/>
      <c r="G925" s="38" t="n"/>
    </row>
    <row r="926">
      <c r="A926" s="34" t="n"/>
      <c r="C926" s="38" t="n"/>
      <c r="D926" s="38" t="n"/>
      <c r="E926" s="38" t="n"/>
      <c r="F926" s="38" t="n"/>
      <c r="G926" s="38" t="n"/>
    </row>
    <row r="927">
      <c r="A927" s="34" t="n"/>
      <c r="C927" s="38" t="n"/>
      <c r="D927" s="38" t="n"/>
      <c r="E927" s="38" t="n"/>
      <c r="F927" s="38" t="n"/>
      <c r="G927" s="38" t="n"/>
    </row>
    <row r="928">
      <c r="A928" s="34" t="n"/>
      <c r="C928" s="38" t="n"/>
      <c r="D928" s="38" t="n"/>
      <c r="E928" s="38" t="n"/>
      <c r="F928" s="38" t="n"/>
      <c r="G928" s="38" t="n"/>
    </row>
    <row r="929">
      <c r="A929" s="34" t="n"/>
      <c r="C929" s="38" t="n"/>
      <c r="D929" s="38" t="n"/>
      <c r="E929" s="38" t="n"/>
      <c r="F929" s="38" t="n"/>
      <c r="G929" s="38" t="n"/>
    </row>
    <row r="930">
      <c r="A930" s="34" t="n"/>
      <c r="C930" s="38" t="n"/>
      <c r="D930" s="38" t="n"/>
      <c r="E930" s="38" t="n"/>
      <c r="F930" s="38" t="n"/>
      <c r="G930" s="38" t="n"/>
    </row>
    <row r="931">
      <c r="A931" s="34" t="n"/>
      <c r="C931" s="38" t="n"/>
      <c r="D931" s="38" t="n"/>
      <c r="E931" s="38" t="n"/>
      <c r="F931" s="38" t="n"/>
      <c r="G931" s="38" t="n"/>
    </row>
    <row r="932">
      <c r="A932" s="34" t="n"/>
      <c r="C932" s="38" t="n"/>
      <c r="D932" s="38" t="n"/>
      <c r="E932" s="38" t="n"/>
      <c r="F932" s="38" t="n"/>
      <c r="G932" s="38" t="n"/>
    </row>
    <row r="933">
      <c r="A933" s="34" t="n"/>
      <c r="C933" s="38" t="n"/>
      <c r="D933" s="38" t="n"/>
      <c r="E933" s="38" t="n"/>
      <c r="F933" s="38" t="n"/>
      <c r="G933" s="38" t="n"/>
    </row>
    <row r="934">
      <c r="A934" s="34" t="n"/>
      <c r="C934" s="38" t="n"/>
      <c r="D934" s="38" t="n"/>
      <c r="E934" s="38" t="n"/>
      <c r="F934" s="38" t="n"/>
      <c r="G934" s="38" t="n"/>
    </row>
    <row r="935">
      <c r="A935" s="34" t="n"/>
      <c r="C935" s="38" t="n"/>
      <c r="D935" s="38" t="n"/>
      <c r="E935" s="38" t="n"/>
      <c r="F935" s="38" t="n"/>
      <c r="G935" s="38" t="n"/>
    </row>
    <row r="936">
      <c r="A936" s="34" t="n"/>
      <c r="C936" s="38" t="n"/>
      <c r="D936" s="38" t="n"/>
      <c r="E936" s="38" t="n"/>
      <c r="F936" s="38" t="n"/>
      <c r="G936" s="38" t="n"/>
    </row>
    <row r="937">
      <c r="A937" s="34" t="n"/>
      <c r="C937" s="38" t="n"/>
      <c r="D937" s="38" t="n"/>
      <c r="E937" s="38" t="n"/>
      <c r="F937" s="38" t="n"/>
      <c r="G937" s="38" t="n"/>
    </row>
    <row r="938">
      <c r="A938" s="34" t="n"/>
      <c r="C938" s="38" t="n"/>
      <c r="D938" s="38" t="n"/>
      <c r="E938" s="38" t="n"/>
      <c r="F938" s="38" t="n"/>
      <c r="G938" s="38" t="n"/>
    </row>
    <row r="939">
      <c r="A939" s="34" t="n"/>
      <c r="C939" s="38" t="n"/>
      <c r="D939" s="38" t="n"/>
      <c r="E939" s="38" t="n"/>
      <c r="F939" s="38" t="n"/>
      <c r="G939" s="38" t="n"/>
    </row>
    <row r="940">
      <c r="A940" s="34" t="n"/>
      <c r="C940" s="38" t="n"/>
      <c r="D940" s="38" t="n"/>
      <c r="E940" s="38" t="n"/>
      <c r="F940" s="38" t="n"/>
      <c r="G940" s="38" t="n"/>
    </row>
    <row r="941">
      <c r="A941" s="34" t="n"/>
      <c r="C941" s="38" t="n"/>
      <c r="D941" s="38" t="n"/>
      <c r="E941" s="38" t="n"/>
      <c r="F941" s="38" t="n"/>
      <c r="G941" s="38" t="n"/>
    </row>
    <row r="942">
      <c r="A942" s="34" t="n"/>
      <c r="C942" s="38" t="n"/>
      <c r="D942" s="38" t="n"/>
      <c r="E942" s="38" t="n"/>
      <c r="F942" s="38" t="n"/>
      <c r="G942" s="38" t="n"/>
    </row>
    <row r="943">
      <c r="A943" s="34" t="n"/>
      <c r="C943" s="38" t="n"/>
      <c r="D943" s="38" t="n"/>
      <c r="E943" s="38" t="n"/>
      <c r="F943" s="38" t="n"/>
      <c r="G943" s="38" t="n"/>
    </row>
    <row r="944">
      <c r="A944" s="34" t="n"/>
      <c r="C944" s="38" t="n"/>
      <c r="D944" s="38" t="n"/>
      <c r="E944" s="38" t="n"/>
      <c r="F944" s="38" t="n"/>
      <c r="G944" s="38" t="n"/>
    </row>
    <row r="945">
      <c r="A945" s="34" t="n"/>
      <c r="C945" s="38" t="n"/>
      <c r="D945" s="38" t="n"/>
      <c r="E945" s="38" t="n"/>
      <c r="F945" s="38" t="n"/>
      <c r="G945" s="38" t="n"/>
    </row>
    <row r="946">
      <c r="A946" s="34" t="n"/>
      <c r="C946" s="38" t="n"/>
      <c r="D946" s="38" t="n"/>
      <c r="E946" s="38" t="n"/>
      <c r="F946" s="38" t="n"/>
      <c r="G946" s="38" t="n"/>
    </row>
    <row r="947">
      <c r="A947" s="34" t="n"/>
      <c r="C947" s="38" t="n"/>
      <c r="D947" s="38" t="n"/>
      <c r="E947" s="38" t="n"/>
      <c r="F947" s="38" t="n"/>
      <c r="G947" s="38" t="n"/>
    </row>
    <row r="948">
      <c r="A948" s="34" t="n"/>
      <c r="C948" s="38" t="n"/>
      <c r="D948" s="38" t="n"/>
      <c r="E948" s="38" t="n"/>
      <c r="F948" s="38" t="n"/>
      <c r="G948" s="38" t="n"/>
    </row>
    <row r="949">
      <c r="A949" s="34" t="n"/>
      <c r="C949" s="38" t="n"/>
      <c r="D949" s="38" t="n"/>
      <c r="E949" s="38" t="n"/>
      <c r="F949" s="38" t="n"/>
      <c r="G949" s="38" t="n"/>
    </row>
    <row r="950">
      <c r="A950" s="34" t="n"/>
      <c r="C950" s="38" t="n"/>
      <c r="D950" s="38" t="n"/>
      <c r="E950" s="38" t="n"/>
      <c r="F950" s="38" t="n"/>
      <c r="G950" s="38" t="n"/>
    </row>
    <row r="951">
      <c r="A951" s="34" t="n"/>
      <c r="C951" s="38" t="n"/>
      <c r="D951" s="38" t="n"/>
      <c r="E951" s="38" t="n"/>
      <c r="F951" s="38" t="n"/>
      <c r="G951" s="38" t="n"/>
    </row>
    <row r="952">
      <c r="A952" s="34" t="n"/>
      <c r="C952" s="38" t="n"/>
      <c r="D952" s="38" t="n"/>
      <c r="E952" s="38" t="n"/>
      <c r="F952" s="38" t="n"/>
      <c r="G952" s="38" t="n"/>
    </row>
    <row r="953">
      <c r="A953" s="34" t="n"/>
      <c r="C953" s="38" t="n"/>
      <c r="D953" s="38" t="n"/>
      <c r="E953" s="38" t="n"/>
      <c r="F953" s="38" t="n"/>
      <c r="G953" s="38" t="n"/>
    </row>
    <row r="954">
      <c r="A954" s="34" t="n"/>
      <c r="C954" s="38" t="n"/>
      <c r="D954" s="38" t="n"/>
      <c r="E954" s="38" t="n"/>
      <c r="F954" s="38" t="n"/>
      <c r="G954" s="38" t="n"/>
    </row>
    <row r="955">
      <c r="A955" s="34" t="n"/>
      <c r="C955" s="38" t="n"/>
      <c r="D955" s="38" t="n"/>
      <c r="E955" s="38" t="n"/>
      <c r="F955" s="38" t="n"/>
      <c r="G955" s="38" t="n"/>
    </row>
    <row r="956">
      <c r="A956" s="34" t="n"/>
      <c r="C956" s="38" t="n"/>
      <c r="D956" s="38" t="n"/>
      <c r="E956" s="38" t="n"/>
      <c r="F956" s="38" t="n"/>
      <c r="G956" s="38" t="n"/>
    </row>
    <row r="957">
      <c r="A957" s="34" t="n"/>
      <c r="C957" s="38" t="n"/>
      <c r="D957" s="38" t="n"/>
      <c r="E957" s="38" t="n"/>
      <c r="F957" s="38" t="n"/>
      <c r="G957" s="38" t="n"/>
    </row>
    <row r="958">
      <c r="A958" s="34" t="n"/>
      <c r="C958" s="38" t="n"/>
      <c r="D958" s="38" t="n"/>
      <c r="E958" s="38" t="n"/>
      <c r="F958" s="38" t="n"/>
      <c r="G958" s="38" t="n"/>
    </row>
    <row r="959">
      <c r="A959" s="34" t="n"/>
      <c r="C959" s="38" t="n"/>
      <c r="D959" s="38" t="n"/>
      <c r="E959" s="38" t="n"/>
      <c r="F959" s="38" t="n"/>
      <c r="G959" s="38" t="n"/>
    </row>
    <row r="960">
      <c r="A960" s="34" t="n"/>
      <c r="C960" s="38" t="n"/>
      <c r="D960" s="38" t="n"/>
      <c r="E960" s="38" t="n"/>
      <c r="F960" s="38" t="n"/>
      <c r="G960" s="38" t="n"/>
    </row>
    <row r="961">
      <c r="A961" s="34" t="n"/>
      <c r="C961" s="38" t="n"/>
      <c r="D961" s="38" t="n"/>
      <c r="E961" s="38" t="n"/>
      <c r="F961" s="38" t="n"/>
      <c r="G961" s="38" t="n"/>
    </row>
    <row r="962">
      <c r="A962" s="34" t="n"/>
      <c r="C962" s="38" t="n"/>
      <c r="D962" s="38" t="n"/>
      <c r="E962" s="38" t="n"/>
      <c r="F962" s="38" t="n"/>
      <c r="G962" s="38" t="n"/>
    </row>
    <row r="963">
      <c r="A963" s="34" t="n"/>
      <c r="C963" s="38" t="n"/>
      <c r="D963" s="38" t="n"/>
      <c r="E963" s="38" t="n"/>
      <c r="F963" s="38" t="n"/>
      <c r="G963" s="38" t="n"/>
    </row>
    <row r="964">
      <c r="A964" s="34" t="n"/>
      <c r="C964" s="38" t="n"/>
      <c r="D964" s="38" t="n"/>
      <c r="E964" s="38" t="n"/>
      <c r="F964" s="38" t="n"/>
      <c r="G964" s="38" t="n"/>
    </row>
    <row r="965">
      <c r="A965" s="34" t="n"/>
      <c r="C965" s="38" t="n"/>
      <c r="D965" s="38" t="n"/>
      <c r="E965" s="38" t="n"/>
      <c r="F965" s="38" t="n"/>
      <c r="G965" s="38" t="n"/>
    </row>
    <row r="966">
      <c r="A966" s="34" t="n"/>
      <c r="C966" s="38" t="n"/>
      <c r="D966" s="38" t="n"/>
      <c r="E966" s="38" t="n"/>
      <c r="F966" s="38" t="n"/>
      <c r="G966" s="38" t="n"/>
    </row>
    <row r="967">
      <c r="A967" s="34" t="n"/>
      <c r="C967" s="38" t="n"/>
      <c r="D967" s="38" t="n"/>
      <c r="E967" s="38" t="n"/>
      <c r="F967" s="38" t="n"/>
      <c r="G967" s="38" t="n"/>
    </row>
    <row r="968">
      <c r="A968" s="34" t="n"/>
      <c r="C968" s="38" t="n"/>
      <c r="D968" s="38" t="n"/>
      <c r="E968" s="38" t="n"/>
      <c r="F968" s="38" t="n"/>
      <c r="G968" s="38" t="n"/>
    </row>
    <row r="969">
      <c r="A969" s="34" t="n"/>
      <c r="C969" s="38" t="n"/>
      <c r="D969" s="38" t="n"/>
      <c r="E969" s="38" t="n"/>
      <c r="F969" s="38" t="n"/>
      <c r="G969" s="38" t="n"/>
    </row>
    <row r="970">
      <c r="A970" s="34" t="n"/>
      <c r="C970" s="38" t="n"/>
      <c r="D970" s="38" t="n"/>
      <c r="E970" s="38" t="n"/>
      <c r="F970" s="38" t="n"/>
      <c r="G970" s="38" t="n"/>
    </row>
    <row r="971">
      <c r="A971" s="34" t="n"/>
      <c r="C971" s="38" t="n"/>
      <c r="D971" s="38" t="n"/>
      <c r="E971" s="38" t="n"/>
      <c r="F971" s="38" t="n"/>
      <c r="G971" s="38" t="n"/>
    </row>
    <row r="972">
      <c r="A972" s="34" t="n"/>
      <c r="C972" s="38" t="n"/>
      <c r="D972" s="38" t="n"/>
      <c r="E972" s="38" t="n"/>
      <c r="F972" s="38" t="n"/>
      <c r="G972" s="38" t="n"/>
    </row>
    <row r="973">
      <c r="A973" s="34" t="n"/>
      <c r="C973" s="38" t="n"/>
      <c r="D973" s="38" t="n"/>
      <c r="E973" s="38" t="n"/>
      <c r="F973" s="38" t="n"/>
      <c r="G973" s="38" t="n"/>
    </row>
    <row r="974">
      <c r="A974" s="34" t="n"/>
      <c r="C974" s="38" t="n"/>
      <c r="D974" s="38" t="n"/>
      <c r="E974" s="38" t="n"/>
      <c r="F974" s="38" t="n"/>
      <c r="G974" s="38" t="n"/>
    </row>
    <row r="975">
      <c r="A975" s="34" t="n"/>
      <c r="C975" s="38" t="n"/>
      <c r="D975" s="38" t="n"/>
      <c r="E975" s="38" t="n"/>
      <c r="F975" s="38" t="n"/>
      <c r="G975" s="38" t="n"/>
    </row>
    <row r="976">
      <c r="A976" s="34" t="n"/>
      <c r="C976" s="38" t="n"/>
      <c r="D976" s="38" t="n"/>
      <c r="E976" s="38" t="n"/>
      <c r="F976" s="38" t="n"/>
      <c r="G976" s="38" t="n"/>
    </row>
    <row r="977">
      <c r="A977" s="34" t="n"/>
      <c r="C977" s="38" t="n"/>
      <c r="D977" s="38" t="n"/>
      <c r="E977" s="38" t="n"/>
      <c r="F977" s="38" t="n"/>
      <c r="G977" s="38" t="n"/>
    </row>
    <row r="978">
      <c r="A978" s="34" t="n"/>
      <c r="C978" s="38" t="n"/>
      <c r="D978" s="38" t="n"/>
      <c r="E978" s="38" t="n"/>
      <c r="F978" s="38" t="n"/>
      <c r="G978" s="38" t="n"/>
    </row>
    <row r="979">
      <c r="A979" s="34" t="n"/>
      <c r="C979" s="38" t="n"/>
      <c r="D979" s="38" t="n"/>
      <c r="E979" s="38" t="n"/>
      <c r="F979" s="38" t="n"/>
      <c r="G979" s="38" t="n"/>
    </row>
    <row r="980">
      <c r="A980" s="34" t="n"/>
      <c r="C980" s="38" t="n"/>
      <c r="D980" s="38" t="n"/>
      <c r="E980" s="38" t="n"/>
      <c r="F980" s="38" t="n"/>
      <c r="G980" s="38" t="n"/>
    </row>
    <row r="981">
      <c r="A981" s="34" t="n"/>
      <c r="C981" s="38" t="n"/>
      <c r="D981" s="38" t="n"/>
      <c r="E981" s="38" t="n"/>
      <c r="F981" s="38" t="n"/>
      <c r="G981" s="38" t="n"/>
    </row>
    <row r="982">
      <c r="A982" s="34" t="n"/>
      <c r="C982" s="38" t="n"/>
      <c r="D982" s="38" t="n"/>
      <c r="E982" s="38" t="n"/>
      <c r="F982" s="38" t="n"/>
      <c r="G982" s="38" t="n"/>
    </row>
    <row r="983">
      <c r="A983" s="34" t="n"/>
      <c r="C983" s="38" t="n"/>
      <c r="D983" s="38" t="n"/>
      <c r="E983" s="38" t="n"/>
      <c r="F983" s="38" t="n"/>
      <c r="G983" s="38" t="n"/>
    </row>
    <row r="984">
      <c r="A984" s="34" t="n"/>
      <c r="C984" s="38" t="n"/>
      <c r="D984" s="38" t="n"/>
      <c r="E984" s="38" t="n"/>
      <c r="F984" s="38" t="n"/>
      <c r="G984" s="38" t="n"/>
    </row>
    <row r="985">
      <c r="A985" s="34" t="n"/>
      <c r="C985" s="38" t="n"/>
      <c r="D985" s="38" t="n"/>
      <c r="E985" s="38" t="n"/>
      <c r="F985" s="38" t="n"/>
      <c r="G985" s="38" t="n"/>
    </row>
    <row r="986">
      <c r="A986" s="34" t="n"/>
      <c r="C986" s="38" t="n"/>
      <c r="D986" s="38" t="n"/>
      <c r="E986" s="38" t="n"/>
      <c r="F986" s="38" t="n"/>
      <c r="G986" s="38" t="n"/>
    </row>
    <row r="987">
      <c r="A987" s="34" t="n"/>
      <c r="C987" s="38" t="n"/>
      <c r="D987" s="38" t="n"/>
      <c r="E987" s="38" t="n"/>
      <c r="F987" s="38" t="n"/>
      <c r="G987" s="38" t="n"/>
    </row>
    <row r="988">
      <c r="A988" s="34" t="n"/>
      <c r="C988" s="38" t="n"/>
      <c r="D988" s="38" t="n"/>
      <c r="E988" s="38" t="n"/>
      <c r="F988" s="38" t="n"/>
      <c r="G988" s="38" t="n"/>
    </row>
    <row r="989">
      <c r="A989" s="34" t="n"/>
      <c r="C989" s="38" t="n"/>
      <c r="D989" s="38" t="n"/>
      <c r="E989" s="38" t="n"/>
      <c r="F989" s="38" t="n"/>
      <c r="G989" s="38" t="n"/>
    </row>
    <row r="990">
      <c r="A990" s="34" t="n"/>
      <c r="C990" s="38" t="n"/>
      <c r="D990" s="38" t="n"/>
      <c r="E990" s="38" t="n"/>
      <c r="F990" s="38" t="n"/>
      <c r="G990" s="38" t="n"/>
    </row>
    <row r="991">
      <c r="A991" s="34" t="n"/>
      <c r="C991" s="38" t="n"/>
      <c r="D991" s="38" t="n"/>
      <c r="E991" s="38" t="n"/>
      <c r="F991" s="38" t="n"/>
      <c r="G991" s="38" t="n"/>
    </row>
    <row r="992">
      <c r="A992" s="34" t="n"/>
      <c r="C992" s="38" t="n"/>
      <c r="D992" s="38" t="n"/>
      <c r="E992" s="38" t="n"/>
      <c r="F992" s="38" t="n"/>
      <c r="G992" s="38" t="n"/>
    </row>
    <row r="993">
      <c r="A993" s="34" t="n"/>
      <c r="C993" s="38" t="n"/>
      <c r="D993" s="38" t="n"/>
      <c r="E993" s="38" t="n"/>
      <c r="F993" s="38" t="n"/>
      <c r="G993" s="38" t="n"/>
    </row>
    <row r="994">
      <c r="A994" s="34" t="n"/>
      <c r="C994" s="38" t="n"/>
      <c r="D994" s="38" t="n"/>
      <c r="E994" s="38" t="n"/>
      <c r="F994" s="38" t="n"/>
      <c r="G994" s="38" t="n"/>
    </row>
    <row r="995">
      <c r="A995" s="34" t="n"/>
      <c r="C995" s="38" t="n"/>
      <c r="D995" s="38" t="n"/>
      <c r="E995" s="38" t="n"/>
      <c r="F995" s="38" t="n"/>
      <c r="G995" s="38" t="n"/>
    </row>
    <row r="996">
      <c r="A996" s="34" t="n"/>
      <c r="C996" s="38" t="n"/>
      <c r="D996" s="38" t="n"/>
      <c r="E996" s="38" t="n"/>
      <c r="F996" s="38" t="n"/>
      <c r="G996" s="38" t="n"/>
    </row>
    <row r="997">
      <c r="A997" s="34" t="n"/>
      <c r="C997" s="38" t="n"/>
      <c r="D997" s="38" t="n"/>
      <c r="E997" s="38" t="n"/>
      <c r="F997" s="38" t="n"/>
      <c r="G997" s="38" t="n"/>
    </row>
    <row r="998">
      <c r="A998" s="34" t="n"/>
      <c r="C998" s="38" t="n"/>
      <c r="D998" s="38" t="n"/>
      <c r="E998" s="38" t="n"/>
      <c r="F998" s="38" t="n"/>
      <c r="G998" s="38" t="n"/>
    </row>
    <row r="999">
      <c r="A999" s="34" t="n"/>
      <c r="C999" s="38" t="n"/>
      <c r="D999" s="38" t="n"/>
      <c r="E999" s="38" t="n"/>
      <c r="F999" s="38" t="n"/>
      <c r="G999" s="38" t="n"/>
    </row>
    <row r="1000">
      <c r="A1000" s="34" t="n"/>
      <c r="C1000" s="38" t="n"/>
      <c r="D1000" s="38" t="n"/>
      <c r="E1000" s="38" t="n"/>
      <c r="F1000" s="38" t="n"/>
      <c r="G1000" s="38" t="n"/>
    </row>
    <row r="1001">
      <c r="A1001" s="34" t="n"/>
      <c r="C1001" s="38" t="n"/>
      <c r="D1001" s="38" t="n"/>
      <c r="E1001" s="38" t="n"/>
      <c r="F1001" s="38" t="n"/>
      <c r="G1001" s="38" t="n"/>
    </row>
    <row r="1002">
      <c r="A1002" s="34" t="n"/>
      <c r="C1002" s="38" t="n"/>
      <c r="D1002" s="38" t="n"/>
      <c r="E1002" s="38" t="n"/>
      <c r="F1002" s="38" t="n"/>
      <c r="G1002" s="38" t="n"/>
    </row>
    <row r="1003">
      <c r="A1003" s="34" t="n"/>
      <c r="C1003" s="38" t="n"/>
      <c r="D1003" s="38" t="n"/>
      <c r="E1003" s="38" t="n"/>
      <c r="F1003" s="38" t="n"/>
      <c r="G1003" s="38" t="n"/>
    </row>
    <row r="1004">
      <c r="A1004" s="34" t="n"/>
      <c r="C1004" s="38" t="n"/>
      <c r="D1004" s="38" t="n"/>
      <c r="E1004" s="38" t="n"/>
      <c r="F1004" s="38" t="n"/>
      <c r="G1004" s="38" t="n"/>
    </row>
    <row r="1005">
      <c r="A1005" s="34" t="n"/>
      <c r="C1005" s="38" t="n"/>
      <c r="D1005" s="38" t="n"/>
      <c r="E1005" s="38" t="n"/>
      <c r="F1005" s="38" t="n"/>
      <c r="G1005" s="38" t="n"/>
    </row>
    <row r="1006">
      <c r="A1006" s="34" t="n"/>
      <c r="C1006" s="38" t="n"/>
      <c r="D1006" s="38" t="n"/>
      <c r="E1006" s="38" t="n"/>
      <c r="F1006" s="38" t="n"/>
      <c r="G1006" s="38" t="n"/>
    </row>
    <row r="1007">
      <c r="A1007" s="34" t="n"/>
      <c r="C1007" s="38" t="n"/>
      <c r="D1007" s="38" t="n"/>
      <c r="E1007" s="38" t="n"/>
      <c r="F1007" s="38" t="n"/>
      <c r="G1007" s="38" t="n"/>
    </row>
    <row r="1008">
      <c r="A1008" s="34" t="n"/>
      <c r="C1008" s="38" t="n"/>
      <c r="D1008" s="38" t="n"/>
      <c r="E1008" s="38" t="n"/>
      <c r="F1008" s="38" t="n"/>
      <c r="G1008" s="38" t="n"/>
    </row>
    <row r="1009">
      <c r="A1009" s="34" t="n"/>
      <c r="C1009" s="38" t="n"/>
      <c r="D1009" s="38" t="n"/>
      <c r="E1009" s="38" t="n"/>
      <c r="F1009" s="38" t="n"/>
      <c r="G1009" s="38" t="n"/>
    </row>
    <row r="1010">
      <c r="A1010" s="34" t="n"/>
      <c r="C1010" s="38" t="n"/>
      <c r="D1010" s="38" t="n"/>
      <c r="E1010" s="38" t="n"/>
      <c r="F1010" s="38" t="n"/>
      <c r="G1010" s="38" t="n"/>
    </row>
    <row r="1011">
      <c r="A1011" s="34" t="n"/>
      <c r="C1011" s="38" t="n"/>
      <c r="D1011" s="38" t="n"/>
      <c r="E1011" s="38" t="n"/>
      <c r="F1011" s="38" t="n"/>
      <c r="G1011" s="38" t="n"/>
    </row>
    <row r="1012">
      <c r="A1012" s="34" t="n"/>
      <c r="C1012" s="38" t="n"/>
      <c r="D1012" s="38" t="n"/>
      <c r="E1012" s="38" t="n"/>
      <c r="F1012" s="38" t="n"/>
      <c r="G1012" s="38" t="n"/>
    </row>
    <row r="1013">
      <c r="A1013" s="34" t="n"/>
      <c r="C1013" s="38" t="n"/>
      <c r="D1013" s="38" t="n"/>
      <c r="E1013" s="38" t="n"/>
      <c r="F1013" s="38" t="n"/>
      <c r="G1013" s="38" t="n"/>
    </row>
    <row r="1014">
      <c r="A1014" s="34" t="n"/>
      <c r="C1014" s="38" t="n"/>
      <c r="D1014" s="38" t="n"/>
      <c r="E1014" s="38" t="n"/>
      <c r="F1014" s="38" t="n"/>
      <c r="G1014" s="38" t="n"/>
    </row>
    <row r="1015">
      <c r="A1015" s="34" t="n"/>
      <c r="C1015" s="38" t="n"/>
      <c r="D1015" s="38" t="n"/>
      <c r="E1015" s="38" t="n"/>
      <c r="F1015" s="38" t="n"/>
      <c r="G1015" s="38" t="n"/>
    </row>
    <row r="1016">
      <c r="A1016" s="34" t="n"/>
      <c r="C1016" s="38" t="n"/>
      <c r="D1016" s="38" t="n"/>
      <c r="E1016" s="38" t="n"/>
      <c r="F1016" s="38" t="n"/>
      <c r="G1016" s="38" t="n"/>
    </row>
    <row r="1017">
      <c r="A1017" s="34" t="n"/>
      <c r="C1017" s="38" t="n"/>
      <c r="D1017" s="38" t="n"/>
      <c r="E1017" s="38" t="n"/>
      <c r="F1017" s="38" t="n"/>
      <c r="G1017" s="38" t="n"/>
    </row>
    <row r="1018">
      <c r="A1018" s="34" t="n"/>
      <c r="C1018" s="38" t="n"/>
      <c r="D1018" s="38" t="n"/>
      <c r="E1018" s="38" t="n"/>
      <c r="F1018" s="38" t="n"/>
      <c r="G1018" s="38" t="n"/>
    </row>
    <row r="1019">
      <c r="A1019" s="34" t="n"/>
      <c r="C1019" s="38" t="n"/>
      <c r="D1019" s="38" t="n"/>
      <c r="E1019" s="38" t="n"/>
      <c r="F1019" s="38" t="n"/>
      <c r="G1019" s="38" t="n"/>
    </row>
    <row r="1020">
      <c r="A1020" s="34" t="n"/>
      <c r="C1020" s="38" t="n"/>
      <c r="D1020" s="38" t="n"/>
      <c r="E1020" s="38" t="n"/>
      <c r="F1020" s="38" t="n"/>
      <c r="G1020" s="38" t="n"/>
    </row>
    <row r="1021">
      <c r="A1021" s="34" t="n"/>
      <c r="C1021" s="38" t="n"/>
      <c r="D1021" s="38" t="n"/>
      <c r="E1021" s="38" t="n"/>
      <c r="F1021" s="38" t="n"/>
      <c r="G1021" s="38" t="n"/>
    </row>
    <row r="1022">
      <c r="A1022" s="34" t="n"/>
      <c r="C1022" s="38" t="n"/>
      <c r="D1022" s="38" t="n"/>
      <c r="E1022" s="38" t="n"/>
      <c r="F1022" s="38" t="n"/>
      <c r="G1022" s="38" t="n"/>
    </row>
    <row r="1023">
      <c r="A1023" s="34" t="n"/>
      <c r="C1023" s="38" t="n"/>
      <c r="D1023" s="38" t="n"/>
      <c r="E1023" s="38" t="n"/>
      <c r="F1023" s="38" t="n"/>
      <c r="G1023" s="38" t="n"/>
    </row>
    <row r="1024">
      <c r="A1024" s="34" t="n"/>
      <c r="C1024" s="38" t="n"/>
      <c r="D1024" s="38" t="n"/>
      <c r="E1024" s="38" t="n"/>
      <c r="F1024" s="38" t="n"/>
      <c r="G1024" s="38" t="n"/>
    </row>
    <row r="1025">
      <c r="A1025" s="34" t="n"/>
      <c r="C1025" s="38" t="n"/>
      <c r="D1025" s="38" t="n"/>
      <c r="E1025" s="38" t="n"/>
      <c r="F1025" s="38" t="n"/>
      <c r="G1025" s="38" t="n"/>
    </row>
    <row r="1026">
      <c r="A1026" s="34" t="n"/>
      <c r="C1026" s="38" t="n"/>
      <c r="D1026" s="38" t="n"/>
      <c r="E1026" s="38" t="n"/>
      <c r="F1026" s="38" t="n"/>
      <c r="G1026" s="38" t="n"/>
    </row>
    <row r="1027">
      <c r="A1027" s="34" t="n"/>
      <c r="C1027" s="38" t="n"/>
      <c r="D1027" s="38" t="n"/>
      <c r="E1027" s="38" t="n"/>
      <c r="F1027" s="38" t="n"/>
      <c r="G1027" s="38" t="n"/>
    </row>
    <row r="1028">
      <c r="A1028" s="34" t="n"/>
      <c r="C1028" s="38" t="n"/>
      <c r="D1028" s="38" t="n"/>
      <c r="E1028" s="38" t="n"/>
      <c r="F1028" s="38" t="n"/>
      <c r="G1028" s="38" t="n"/>
    </row>
    <row r="1029">
      <c r="A1029" s="34" t="n"/>
      <c r="C1029" s="38" t="n"/>
      <c r="D1029" s="38" t="n"/>
      <c r="E1029" s="38" t="n"/>
      <c r="F1029" s="38" t="n"/>
      <c r="G1029" s="38" t="n"/>
    </row>
    <row r="1030">
      <c r="A1030" s="34" t="n"/>
      <c r="C1030" s="38" t="n"/>
      <c r="D1030" s="38" t="n"/>
      <c r="E1030" s="38" t="n"/>
      <c r="F1030" s="38" t="n"/>
      <c r="G1030" s="38" t="n"/>
    </row>
    <row r="1031">
      <c r="A1031" s="34" t="n"/>
      <c r="C1031" s="38" t="n"/>
      <c r="D1031" s="38" t="n"/>
      <c r="E1031" s="38" t="n"/>
      <c r="F1031" s="38" t="n"/>
      <c r="G1031" s="38" t="n"/>
    </row>
    <row r="1032">
      <c r="A1032" s="34" t="n"/>
      <c r="C1032" s="38" t="n"/>
      <c r="D1032" s="38" t="n"/>
      <c r="E1032" s="38" t="n"/>
      <c r="F1032" s="38" t="n"/>
      <c r="G1032" s="38" t="n"/>
    </row>
    <row r="1033">
      <c r="A1033" s="34" t="n"/>
      <c r="C1033" s="38" t="n"/>
      <c r="D1033" s="38" t="n"/>
      <c r="E1033" s="38" t="n"/>
      <c r="F1033" s="38" t="n"/>
      <c r="G1033" s="38" t="n"/>
    </row>
    <row r="1034">
      <c r="A1034" s="34" t="n"/>
      <c r="C1034" s="38" t="n"/>
      <c r="D1034" s="38" t="n"/>
      <c r="E1034" s="38" t="n"/>
      <c r="F1034" s="38" t="n"/>
      <c r="G1034" s="38" t="n"/>
    </row>
    <row r="1035">
      <c r="A1035" s="34" t="n"/>
      <c r="C1035" s="38" t="n"/>
      <c r="D1035" s="38" t="n"/>
      <c r="E1035" s="38" t="n"/>
      <c r="F1035" s="38" t="n"/>
      <c r="G1035" s="38" t="n"/>
    </row>
    <row r="1036">
      <c r="A1036" s="34" t="n"/>
      <c r="C1036" s="38" t="n"/>
      <c r="D1036" s="38" t="n"/>
      <c r="E1036" s="38" t="n"/>
      <c r="F1036" s="38" t="n"/>
      <c r="G1036" s="38" t="n"/>
    </row>
    <row r="1037">
      <c r="A1037" s="34" t="n"/>
      <c r="C1037" s="38" t="n"/>
      <c r="D1037" s="38" t="n"/>
      <c r="E1037" s="38" t="n"/>
      <c r="F1037" s="38" t="n"/>
      <c r="G1037" s="38" t="n"/>
    </row>
    <row r="1038">
      <c r="A1038" s="34" t="n"/>
      <c r="C1038" s="38" t="n"/>
      <c r="D1038" s="38" t="n"/>
      <c r="E1038" s="38" t="n"/>
      <c r="F1038" s="38" t="n"/>
      <c r="G1038" s="38" t="n"/>
    </row>
    <row r="1039">
      <c r="A1039" s="34" t="n"/>
      <c r="C1039" s="38" t="n"/>
      <c r="D1039" s="38" t="n"/>
      <c r="E1039" s="38" t="n"/>
      <c r="F1039" s="38" t="n"/>
      <c r="G1039" s="38" t="n"/>
    </row>
    <row r="1040">
      <c r="A1040" s="34" t="n"/>
      <c r="C1040" s="38" t="n"/>
      <c r="D1040" s="38" t="n"/>
      <c r="E1040" s="38" t="n"/>
      <c r="F1040" s="38" t="n"/>
      <c r="G1040" s="38" t="n"/>
    </row>
    <row r="1041">
      <c r="A1041" s="34" t="n"/>
      <c r="C1041" s="38" t="n"/>
      <c r="D1041" s="38" t="n"/>
      <c r="E1041" s="38" t="n"/>
      <c r="F1041" s="38" t="n"/>
      <c r="G1041" s="38" t="n"/>
    </row>
    <row r="1042">
      <c r="A1042" s="34" t="n"/>
      <c r="C1042" s="38" t="n"/>
      <c r="D1042" s="38" t="n"/>
      <c r="E1042" s="38" t="n"/>
      <c r="F1042" s="38" t="n"/>
      <c r="G1042" s="38" t="n"/>
    </row>
    <row r="1043">
      <c r="A1043" s="34" t="n"/>
      <c r="C1043" s="38" t="n"/>
      <c r="D1043" s="38" t="n"/>
      <c r="E1043" s="38" t="n"/>
      <c r="F1043" s="38" t="n"/>
      <c r="G1043" s="38" t="n"/>
    </row>
    <row r="1044">
      <c r="A1044" s="34" t="n"/>
      <c r="C1044" s="38" t="n"/>
      <c r="D1044" s="38" t="n"/>
      <c r="E1044" s="38" t="n"/>
      <c r="F1044" s="38" t="n"/>
      <c r="G1044" s="38" t="n"/>
    </row>
    <row r="1045">
      <c r="A1045" s="34" t="n"/>
      <c r="C1045" s="38" t="n"/>
      <c r="D1045" s="38" t="n"/>
      <c r="E1045" s="38" t="n"/>
      <c r="F1045" s="38" t="n"/>
      <c r="G1045" s="38" t="n"/>
    </row>
    <row r="1046">
      <c r="A1046" s="34" t="n"/>
      <c r="C1046" s="38" t="n"/>
      <c r="D1046" s="38" t="n"/>
      <c r="E1046" s="38" t="n"/>
      <c r="F1046" s="38" t="n"/>
      <c r="G1046" s="38" t="n"/>
    </row>
    <row r="1047">
      <c r="A1047" s="34" t="n"/>
      <c r="C1047" s="38" t="n"/>
      <c r="D1047" s="38" t="n"/>
      <c r="E1047" s="38" t="n"/>
      <c r="F1047" s="38" t="n"/>
      <c r="G1047" s="38" t="n"/>
    </row>
    <row r="1048">
      <c r="A1048" s="34" t="n"/>
      <c r="C1048" s="38" t="n"/>
      <c r="D1048" s="38" t="n"/>
      <c r="E1048" s="38" t="n"/>
      <c r="F1048" s="38" t="n"/>
      <c r="G1048" s="38" t="n"/>
    </row>
    <row r="1049">
      <c r="A1049" s="34" t="n"/>
      <c r="C1049" s="38" t="n"/>
      <c r="D1049" s="38" t="n"/>
      <c r="E1049" s="38" t="n"/>
      <c r="F1049" s="38" t="n"/>
      <c r="G1049" s="38" t="n"/>
    </row>
    <row r="1050">
      <c r="A1050" s="34" t="n"/>
      <c r="C1050" s="38" t="n"/>
      <c r="D1050" s="38" t="n"/>
      <c r="E1050" s="38" t="n"/>
      <c r="F1050" s="38" t="n"/>
      <c r="G1050" s="38" t="n"/>
    </row>
    <row r="1051">
      <c r="A1051" s="34" t="n"/>
      <c r="C1051" s="38" t="n"/>
      <c r="D1051" s="38" t="n"/>
      <c r="E1051" s="38" t="n"/>
      <c r="F1051" s="38" t="n"/>
      <c r="G1051" s="38" t="n"/>
    </row>
    <row r="1052">
      <c r="A1052" s="34" t="n"/>
      <c r="C1052" s="38" t="n"/>
      <c r="D1052" s="38" t="n"/>
      <c r="E1052" s="38" t="n"/>
      <c r="F1052" s="38" t="n"/>
      <c r="G1052" s="38" t="n"/>
    </row>
    <row r="1053">
      <c r="A1053" s="34" t="n"/>
      <c r="C1053" s="38" t="n"/>
      <c r="D1053" s="38" t="n"/>
      <c r="E1053" s="38" t="n"/>
      <c r="F1053" s="38" t="n"/>
      <c r="G1053" s="38" t="n"/>
    </row>
    <row r="1054">
      <c r="A1054" s="34" t="n"/>
      <c r="C1054" s="38" t="n"/>
      <c r="D1054" s="38" t="n"/>
      <c r="E1054" s="38" t="n"/>
      <c r="F1054" s="38" t="n"/>
      <c r="G1054" s="38" t="n"/>
    </row>
    <row r="1055">
      <c r="A1055" s="34" t="n"/>
      <c r="C1055" s="38" t="n"/>
      <c r="D1055" s="38" t="n"/>
      <c r="E1055" s="38" t="n"/>
      <c r="F1055" s="38" t="n"/>
      <c r="G1055" s="38" t="n"/>
    </row>
    <row r="1056">
      <c r="A1056" s="34" t="n"/>
      <c r="C1056" s="38" t="n"/>
      <c r="D1056" s="38" t="n"/>
      <c r="E1056" s="38" t="n"/>
      <c r="F1056" s="38" t="n"/>
      <c r="G1056" s="38" t="n"/>
    </row>
    <row r="1057">
      <c r="A1057" s="34" t="n"/>
      <c r="C1057" s="38" t="n"/>
      <c r="D1057" s="38" t="n"/>
      <c r="E1057" s="38" t="n"/>
      <c r="F1057" s="38" t="n"/>
      <c r="G1057" s="38" t="n"/>
    </row>
    <row r="1058">
      <c r="A1058" s="34" t="n"/>
      <c r="C1058" s="38" t="n"/>
      <c r="D1058" s="38" t="n"/>
      <c r="E1058" s="38" t="n"/>
      <c r="F1058" s="38" t="n"/>
      <c r="G1058" s="38" t="n"/>
    </row>
    <row r="1059">
      <c r="A1059" s="34" t="n"/>
      <c r="C1059" s="38" t="n"/>
      <c r="D1059" s="38" t="n"/>
      <c r="E1059" s="38" t="n"/>
      <c r="F1059" s="38" t="n"/>
      <c r="G1059" s="38" t="n"/>
    </row>
    <row r="1060">
      <c r="A1060" s="34" t="n"/>
      <c r="C1060" s="38" t="n"/>
      <c r="D1060" s="38" t="n"/>
      <c r="E1060" s="38" t="n"/>
      <c r="F1060" s="38" t="n"/>
      <c r="G1060" s="38" t="n"/>
    </row>
    <row r="1061">
      <c r="A1061" s="34" t="n"/>
      <c r="C1061" s="38" t="n"/>
      <c r="D1061" s="38" t="n"/>
      <c r="E1061" s="38" t="n"/>
      <c r="F1061" s="38" t="n"/>
      <c r="G1061" s="38" t="n"/>
    </row>
    <row r="1062">
      <c r="A1062" s="34" t="n"/>
      <c r="C1062" s="38" t="n"/>
      <c r="D1062" s="38" t="n"/>
      <c r="E1062" s="38" t="n"/>
      <c r="F1062" s="38" t="n"/>
      <c r="G1062" s="38" t="n"/>
    </row>
    <row r="1063">
      <c r="A1063" s="34" t="n"/>
      <c r="C1063" s="38" t="n"/>
      <c r="D1063" s="38" t="n"/>
      <c r="E1063" s="38" t="n"/>
      <c r="F1063" s="38" t="n"/>
      <c r="G1063" s="38" t="n"/>
    </row>
    <row r="1064">
      <c r="A1064" s="34" t="n"/>
      <c r="C1064" s="38" t="n"/>
      <c r="D1064" s="38" t="n"/>
      <c r="E1064" s="38" t="n"/>
      <c r="F1064" s="38" t="n"/>
      <c r="G1064" s="38" t="n"/>
    </row>
    <row r="1065">
      <c r="A1065" s="34" t="n"/>
      <c r="C1065" s="38" t="n"/>
      <c r="D1065" s="38" t="n"/>
      <c r="E1065" s="38" t="n"/>
      <c r="F1065" s="38" t="n"/>
      <c r="G1065" s="38" t="n"/>
    </row>
    <row r="1066">
      <c r="A1066" s="34" t="n"/>
      <c r="C1066" s="38" t="n"/>
      <c r="D1066" s="38" t="n"/>
      <c r="E1066" s="38" t="n"/>
      <c r="F1066" s="38" t="n"/>
      <c r="G1066" s="38" t="n"/>
    </row>
    <row r="1067">
      <c r="A1067" s="34" t="n"/>
      <c r="C1067" s="38" t="n"/>
      <c r="D1067" s="38" t="n"/>
      <c r="E1067" s="38" t="n"/>
      <c r="F1067" s="38" t="n"/>
      <c r="G1067" s="38" t="n"/>
    </row>
    <row r="1068">
      <c r="A1068" s="34" t="n"/>
      <c r="C1068" s="38" t="n"/>
      <c r="D1068" s="38" t="n"/>
      <c r="E1068" s="38" t="n"/>
      <c r="F1068" s="38" t="n"/>
      <c r="G1068" s="38" t="n"/>
    </row>
    <row r="1069">
      <c r="A1069" s="34" t="n"/>
      <c r="C1069" s="38" t="n"/>
      <c r="D1069" s="38" t="n"/>
      <c r="E1069" s="38" t="n"/>
      <c r="F1069" s="38" t="n"/>
      <c r="G1069" s="38" t="n"/>
    </row>
    <row r="1070">
      <c r="A1070" s="34" t="n"/>
      <c r="C1070" s="38" t="n"/>
      <c r="D1070" s="38" t="n"/>
      <c r="E1070" s="38" t="n"/>
      <c r="F1070" s="38" t="n"/>
      <c r="G1070" s="38" t="n"/>
    </row>
    <row r="1071">
      <c r="A1071" s="34" t="n"/>
      <c r="C1071" s="38" t="n"/>
      <c r="D1071" s="38" t="n"/>
      <c r="E1071" s="38" t="n"/>
      <c r="F1071" s="38" t="n"/>
      <c r="G1071" s="38" t="n"/>
    </row>
    <row r="1072">
      <c r="A1072" s="34" t="n"/>
      <c r="C1072" s="38" t="n"/>
      <c r="D1072" s="38" t="n"/>
      <c r="E1072" s="38" t="n"/>
      <c r="F1072" s="38" t="n"/>
      <c r="G1072" s="38" t="n"/>
    </row>
    <row r="1073">
      <c r="A1073" s="34" t="n"/>
      <c r="C1073" s="38" t="n"/>
      <c r="D1073" s="38" t="n"/>
      <c r="E1073" s="38" t="n"/>
      <c r="F1073" s="38" t="n"/>
      <c r="G1073" s="38" t="n"/>
    </row>
    <row r="1074">
      <c r="A1074" s="34" t="n"/>
      <c r="C1074" s="38" t="n"/>
      <c r="D1074" s="38" t="n"/>
      <c r="E1074" s="38" t="n"/>
      <c r="F1074" s="38" t="n"/>
      <c r="G1074" s="38" t="n"/>
    </row>
    <row r="1075">
      <c r="A1075" s="34" t="n"/>
      <c r="C1075" s="38" t="n"/>
      <c r="D1075" s="38" t="n"/>
      <c r="E1075" s="38" t="n"/>
      <c r="F1075" s="38" t="n"/>
      <c r="G1075" s="38" t="n"/>
    </row>
    <row r="1076">
      <c r="A1076" s="34" t="n"/>
      <c r="C1076" s="38" t="n"/>
      <c r="D1076" s="38" t="n"/>
      <c r="E1076" s="38" t="n"/>
      <c r="F1076" s="38" t="n"/>
      <c r="G1076" s="38" t="n"/>
    </row>
    <row r="1077">
      <c r="A1077" s="34" t="n"/>
      <c r="C1077" s="38" t="n"/>
      <c r="D1077" s="38" t="n"/>
      <c r="E1077" s="38" t="n"/>
      <c r="F1077" s="38" t="n"/>
      <c r="G1077" s="38" t="n"/>
    </row>
    <row r="1078">
      <c r="A1078" s="34" t="n"/>
      <c r="C1078" s="38" t="n"/>
      <c r="D1078" s="38" t="n"/>
      <c r="E1078" s="38" t="n"/>
      <c r="F1078" s="38" t="n"/>
      <c r="G1078" s="38" t="n"/>
    </row>
    <row r="1079">
      <c r="A1079" s="34" t="n"/>
      <c r="C1079" s="38" t="n"/>
      <c r="D1079" s="38" t="n"/>
      <c r="E1079" s="38" t="n"/>
      <c r="F1079" s="38" t="n"/>
      <c r="G1079" s="38" t="n"/>
    </row>
    <row r="1080">
      <c r="A1080" s="34" t="n"/>
      <c r="C1080" s="38" t="n"/>
      <c r="D1080" s="38" t="n"/>
      <c r="E1080" s="38" t="n"/>
      <c r="F1080" s="38" t="n"/>
      <c r="G1080" s="38" t="n"/>
    </row>
    <row r="1081">
      <c r="A1081" s="34" t="n"/>
      <c r="C1081" s="38" t="n"/>
      <c r="D1081" s="38" t="n"/>
      <c r="E1081" s="38" t="n"/>
      <c r="F1081" s="38" t="n"/>
      <c r="G1081" s="38" t="n"/>
    </row>
    <row r="1082">
      <c r="A1082" s="34" t="n"/>
      <c r="C1082" s="38" t="n"/>
      <c r="D1082" s="38" t="n"/>
      <c r="E1082" s="38" t="n"/>
      <c r="F1082" s="38" t="n"/>
      <c r="G1082" s="38" t="n"/>
    </row>
    <row r="1083">
      <c r="A1083" s="34" t="n"/>
      <c r="C1083" s="38" t="n"/>
      <c r="D1083" s="38" t="n"/>
      <c r="E1083" s="38" t="n"/>
      <c r="F1083" s="38" t="n"/>
      <c r="G1083" s="38" t="n"/>
    </row>
    <row r="1084">
      <c r="A1084" s="34" t="n"/>
      <c r="C1084" s="38" t="n"/>
      <c r="D1084" s="38" t="n"/>
      <c r="E1084" s="38" t="n"/>
      <c r="F1084" s="38" t="n"/>
      <c r="G1084" s="38" t="n"/>
    </row>
    <row r="1085">
      <c r="A1085" s="34" t="n"/>
      <c r="C1085" s="38" t="n"/>
      <c r="D1085" s="38" t="n"/>
      <c r="E1085" s="38" t="n"/>
      <c r="F1085" s="38" t="n"/>
      <c r="G1085" s="38" t="n"/>
    </row>
    <row r="1086">
      <c r="A1086" s="34" t="n"/>
      <c r="C1086" s="38" t="n"/>
      <c r="D1086" s="38" t="n"/>
      <c r="E1086" s="38" t="n"/>
      <c r="F1086" s="38" t="n"/>
      <c r="G1086" s="38" t="n"/>
    </row>
    <row r="1087">
      <c r="A1087" s="34" t="n"/>
      <c r="C1087" s="38" t="n"/>
      <c r="D1087" s="38" t="n"/>
      <c r="E1087" s="38" t="n"/>
      <c r="F1087" s="38" t="n"/>
      <c r="G1087" s="38" t="n"/>
    </row>
    <row r="1088">
      <c r="A1088" s="34" t="n"/>
      <c r="C1088" s="38" t="n"/>
      <c r="D1088" s="38" t="n"/>
      <c r="E1088" s="38" t="n"/>
      <c r="F1088" s="38" t="n"/>
      <c r="G1088" s="38" t="n"/>
    </row>
    <row r="1089">
      <c r="A1089" s="34" t="n"/>
      <c r="C1089" s="38" t="n"/>
      <c r="D1089" s="38" t="n"/>
      <c r="E1089" s="38" t="n"/>
      <c r="F1089" s="38" t="n"/>
      <c r="G1089" s="38" t="n"/>
    </row>
    <row r="1090">
      <c r="A1090" s="34" t="n"/>
      <c r="C1090" s="38" t="n"/>
      <c r="D1090" s="38" t="n"/>
      <c r="E1090" s="38" t="n"/>
      <c r="F1090" s="38" t="n"/>
      <c r="G1090" s="38" t="n"/>
    </row>
    <row r="1091">
      <c r="A1091" s="34" t="n"/>
      <c r="C1091" s="38" t="n"/>
      <c r="D1091" s="38" t="n"/>
      <c r="E1091" s="38" t="n"/>
      <c r="F1091" s="38" t="n"/>
      <c r="G1091" s="38" t="n"/>
    </row>
    <row r="1092">
      <c r="A1092" s="34" t="n"/>
      <c r="C1092" s="38" t="n"/>
      <c r="D1092" s="38" t="n"/>
      <c r="E1092" s="38" t="n"/>
      <c r="F1092" s="38" t="n"/>
      <c r="G1092" s="38" t="n"/>
    </row>
    <row r="1093">
      <c r="A1093" s="34" t="n"/>
      <c r="C1093" s="38" t="n"/>
      <c r="D1093" s="38" t="n"/>
      <c r="E1093" s="38" t="n"/>
      <c r="F1093" s="38" t="n"/>
      <c r="G1093" s="38" t="n"/>
    </row>
    <row r="1094">
      <c r="A1094" s="34" t="n"/>
      <c r="C1094" s="38" t="n"/>
      <c r="D1094" s="38" t="n"/>
      <c r="E1094" s="38" t="n"/>
      <c r="F1094" s="38" t="n"/>
      <c r="G1094" s="38" t="n"/>
    </row>
    <row r="1095">
      <c r="A1095" s="34" t="n"/>
      <c r="C1095" s="38" t="n"/>
      <c r="D1095" s="38" t="n"/>
      <c r="E1095" s="38" t="n"/>
      <c r="F1095" s="38" t="n"/>
      <c r="G1095" s="38" t="n"/>
    </row>
    <row r="1096">
      <c r="A1096" s="34" t="n"/>
      <c r="C1096" s="38" t="n"/>
      <c r="D1096" s="38" t="n"/>
      <c r="E1096" s="38" t="n"/>
      <c r="F1096" s="38" t="n"/>
      <c r="G1096" s="38" t="n"/>
    </row>
    <row r="1097">
      <c r="A1097" s="34" t="n"/>
      <c r="C1097" s="38" t="n"/>
      <c r="D1097" s="38" t="n"/>
      <c r="E1097" s="38" t="n"/>
      <c r="F1097" s="38" t="n"/>
      <c r="G1097" s="38" t="n"/>
    </row>
    <row r="1098">
      <c r="A1098" s="34" t="n"/>
      <c r="C1098" s="38" t="n"/>
      <c r="D1098" s="38" t="n"/>
      <c r="E1098" s="38" t="n"/>
      <c r="F1098" s="38" t="n"/>
      <c r="G1098" s="38" t="n"/>
    </row>
    <row r="1099">
      <c r="A1099" s="34" t="n"/>
      <c r="C1099" s="38" t="n"/>
      <c r="D1099" s="38" t="n"/>
      <c r="E1099" s="38" t="n"/>
      <c r="F1099" s="38" t="n"/>
      <c r="G1099" s="38" t="n"/>
    </row>
    <row r="1100">
      <c r="A1100" s="34" t="n"/>
      <c r="C1100" s="38" t="n"/>
      <c r="D1100" s="38" t="n"/>
      <c r="E1100" s="38" t="n"/>
      <c r="F1100" s="38" t="n"/>
      <c r="G1100" s="38" t="n"/>
    </row>
    <row r="1101">
      <c r="A1101" s="34" t="n"/>
      <c r="C1101" s="38" t="n"/>
      <c r="D1101" s="38" t="n"/>
      <c r="E1101" s="38" t="n"/>
      <c r="F1101" s="38" t="n"/>
      <c r="G1101" s="38" t="n"/>
    </row>
    <row r="1102">
      <c r="A1102" s="34" t="n"/>
      <c r="C1102" s="38" t="n"/>
      <c r="D1102" s="38" t="n"/>
      <c r="E1102" s="38" t="n"/>
      <c r="F1102" s="38" t="n"/>
      <c r="G1102" s="38" t="n"/>
    </row>
    <row r="1103">
      <c r="A1103" s="34" t="n"/>
      <c r="C1103" s="38" t="n"/>
      <c r="D1103" s="38" t="n"/>
      <c r="E1103" s="38" t="n"/>
      <c r="F1103" s="38" t="n"/>
      <c r="G1103" s="38" t="n"/>
    </row>
    <row r="1104">
      <c r="A1104" s="34" t="n"/>
      <c r="C1104" s="38" t="n"/>
      <c r="D1104" s="38" t="n"/>
      <c r="E1104" s="38" t="n"/>
      <c r="F1104" s="38" t="n"/>
      <c r="G1104" s="38" t="n"/>
    </row>
    <row r="1105">
      <c r="A1105" s="34" t="n"/>
      <c r="C1105" s="38" t="n"/>
      <c r="D1105" s="38" t="n"/>
      <c r="E1105" s="38" t="n"/>
      <c r="F1105" s="38" t="n"/>
      <c r="G1105" s="38" t="n"/>
    </row>
    <row r="1106">
      <c r="A1106" s="34" t="n"/>
      <c r="C1106" s="38" t="n"/>
      <c r="D1106" s="38" t="n"/>
      <c r="E1106" s="38" t="n"/>
      <c r="F1106" s="38" t="n"/>
      <c r="G1106" s="38" t="n"/>
    </row>
    <row r="1107">
      <c r="A1107" s="34" t="n"/>
      <c r="C1107" s="38" t="n"/>
      <c r="D1107" s="38" t="n"/>
      <c r="E1107" s="38" t="n"/>
      <c r="F1107" s="38" t="n"/>
      <c r="G1107" s="38" t="n"/>
    </row>
    <row r="1108">
      <c r="A1108" s="34" t="n"/>
      <c r="C1108" s="38" t="n"/>
      <c r="D1108" s="38" t="n"/>
      <c r="E1108" s="38" t="n"/>
      <c r="F1108" s="38" t="n"/>
      <c r="G1108" s="38" t="n"/>
    </row>
    <row r="1109">
      <c r="A1109" s="34" t="n"/>
      <c r="C1109" s="38" t="n"/>
      <c r="D1109" s="38" t="n"/>
      <c r="E1109" s="38" t="n"/>
      <c r="F1109" s="38" t="n"/>
      <c r="G1109" s="38" t="n"/>
    </row>
    <row r="1110">
      <c r="A1110" s="34" t="n"/>
      <c r="C1110" s="38" t="n"/>
      <c r="D1110" s="38" t="n"/>
      <c r="E1110" s="38" t="n"/>
      <c r="F1110" s="38" t="n"/>
      <c r="G1110" s="38" t="n"/>
    </row>
    <row r="1111">
      <c r="A1111" s="34" t="n"/>
      <c r="C1111" s="38" t="n"/>
      <c r="D1111" s="38" t="n"/>
      <c r="E1111" s="38" t="n"/>
      <c r="F1111" s="38" t="n"/>
      <c r="G1111" s="38" t="n"/>
    </row>
    <row r="1112">
      <c r="A1112" s="34" t="n"/>
      <c r="C1112" s="38" t="n"/>
      <c r="D1112" s="38" t="n"/>
      <c r="E1112" s="38" t="n"/>
      <c r="F1112" s="38" t="n"/>
      <c r="G1112" s="38" t="n"/>
    </row>
    <row r="1113">
      <c r="A1113" s="34" t="n"/>
      <c r="C1113" s="38" t="n"/>
      <c r="D1113" s="38" t="n"/>
      <c r="E1113" s="38" t="n"/>
      <c r="F1113" s="38" t="n"/>
      <c r="G1113" s="38" t="n"/>
    </row>
    <row r="1114">
      <c r="A1114" s="34" t="n"/>
      <c r="C1114" s="38" t="n"/>
      <c r="D1114" s="38" t="n"/>
      <c r="E1114" s="38" t="n"/>
      <c r="F1114" s="38" t="n"/>
      <c r="G1114" s="38" t="n"/>
    </row>
    <row r="1115">
      <c r="A1115" s="34" t="n"/>
      <c r="C1115" s="38" t="n"/>
      <c r="D1115" s="38" t="n"/>
      <c r="E1115" s="38" t="n"/>
      <c r="F1115" s="38" t="n"/>
      <c r="G1115" s="38" t="n"/>
    </row>
    <row r="1116">
      <c r="A1116" s="34" t="n"/>
      <c r="C1116" s="38" t="n"/>
      <c r="D1116" s="38" t="n"/>
      <c r="E1116" s="38" t="n"/>
      <c r="F1116" s="38" t="n"/>
      <c r="G1116" s="38" t="n"/>
    </row>
    <row r="1117">
      <c r="A1117" s="34" t="n"/>
      <c r="C1117" s="38" t="n"/>
      <c r="D1117" s="38" t="n"/>
      <c r="E1117" s="38" t="n"/>
      <c r="F1117" s="38" t="n"/>
      <c r="G1117" s="38" t="n"/>
    </row>
    <row r="1118">
      <c r="A1118" s="34" t="n"/>
      <c r="C1118" s="38" t="n"/>
      <c r="D1118" s="38" t="n"/>
      <c r="E1118" s="38" t="n"/>
      <c r="F1118" s="38" t="n"/>
      <c r="G1118" s="38" t="n"/>
    </row>
    <row r="1119">
      <c r="A1119" s="34" t="n"/>
      <c r="C1119" s="38" t="n"/>
      <c r="D1119" s="38" t="n"/>
      <c r="E1119" s="38" t="n"/>
      <c r="F1119" s="38" t="n"/>
      <c r="G1119" s="38" t="n"/>
    </row>
    <row r="1120">
      <c r="A1120" s="34" t="n"/>
      <c r="C1120" s="38" t="n"/>
      <c r="D1120" s="38" t="n"/>
      <c r="E1120" s="38" t="n"/>
      <c r="F1120" s="38" t="n"/>
      <c r="G1120" s="38" t="n"/>
    </row>
    <row r="1121">
      <c r="A1121" s="34" t="n"/>
      <c r="C1121" s="38" t="n"/>
      <c r="D1121" s="38" t="n"/>
      <c r="E1121" s="38" t="n"/>
      <c r="F1121" s="38" t="n"/>
      <c r="G1121" s="38" t="n"/>
    </row>
    <row r="1122">
      <c r="A1122" s="34" t="n"/>
      <c r="C1122" s="38" t="n"/>
      <c r="D1122" s="38" t="n"/>
      <c r="E1122" s="38" t="n"/>
      <c r="F1122" s="38" t="n"/>
      <c r="G1122" s="38" t="n"/>
    </row>
    <row r="1123">
      <c r="A1123" s="34" t="n"/>
      <c r="C1123" s="38" t="n"/>
      <c r="D1123" s="38" t="n"/>
      <c r="E1123" s="38" t="n"/>
      <c r="F1123" s="38" t="n"/>
      <c r="G1123" s="38" t="n"/>
    </row>
    <row r="1124">
      <c r="A1124" s="34" t="n"/>
      <c r="C1124" s="38" t="n"/>
      <c r="D1124" s="38" t="n"/>
      <c r="E1124" s="38" t="n"/>
      <c r="F1124" s="38" t="n"/>
      <c r="G1124" s="38" t="n"/>
    </row>
    <row r="1125">
      <c r="A1125" s="34" t="n"/>
      <c r="C1125" s="38" t="n"/>
      <c r="D1125" s="38" t="n"/>
      <c r="E1125" s="38" t="n"/>
      <c r="F1125" s="38" t="n"/>
      <c r="G1125" s="38" t="n"/>
    </row>
    <row r="1126">
      <c r="A1126" s="34" t="n"/>
      <c r="C1126" s="38" t="n"/>
      <c r="D1126" s="38" t="n"/>
      <c r="E1126" s="38" t="n"/>
      <c r="F1126" s="38" t="n"/>
      <c r="G1126" s="38" t="n"/>
    </row>
    <row r="1127">
      <c r="A1127" s="34" t="n"/>
      <c r="C1127" s="38" t="n"/>
      <c r="D1127" s="38" t="n"/>
      <c r="E1127" s="38" t="n"/>
      <c r="F1127" s="38" t="n"/>
      <c r="G1127" s="38" t="n"/>
    </row>
    <row r="1128">
      <c r="A1128" s="34" t="n"/>
      <c r="C1128" s="38" t="n"/>
      <c r="D1128" s="38" t="n"/>
      <c r="E1128" s="38" t="n"/>
      <c r="F1128" s="38" t="n"/>
      <c r="G1128" s="38" t="n"/>
    </row>
    <row r="1129">
      <c r="A1129" s="34" t="n"/>
      <c r="C1129" s="38" t="n"/>
      <c r="D1129" s="38" t="n"/>
      <c r="E1129" s="38" t="n"/>
      <c r="F1129" s="38" t="n"/>
      <c r="G1129" s="38" t="n"/>
    </row>
    <row r="1130">
      <c r="A1130" s="34" t="n"/>
      <c r="C1130" s="38" t="n"/>
      <c r="D1130" s="38" t="n"/>
      <c r="E1130" s="38" t="n"/>
      <c r="F1130" s="38" t="n"/>
      <c r="G1130" s="38" t="n"/>
    </row>
    <row r="1131">
      <c r="A1131" s="34" t="n"/>
      <c r="C1131" s="38" t="n"/>
      <c r="D1131" s="38" t="n"/>
      <c r="E1131" s="38" t="n"/>
      <c r="F1131" s="38" t="n"/>
      <c r="G1131" s="38" t="n"/>
    </row>
    <row r="1132">
      <c r="A1132" s="34" t="n"/>
      <c r="C1132" s="38" t="n"/>
      <c r="D1132" s="38" t="n"/>
      <c r="E1132" s="38" t="n"/>
      <c r="F1132" s="38" t="n"/>
      <c r="G1132" s="38" t="n"/>
    </row>
    <row r="1133">
      <c r="A1133" s="34" t="n"/>
      <c r="C1133" s="38" t="n"/>
      <c r="D1133" s="38" t="n"/>
      <c r="E1133" s="38" t="n"/>
      <c r="F1133" s="38" t="n"/>
      <c r="G1133" s="38" t="n"/>
    </row>
    <row r="1134">
      <c r="A1134" s="34" t="n"/>
      <c r="C1134" s="38" t="n"/>
      <c r="D1134" s="38" t="n"/>
      <c r="E1134" s="38" t="n"/>
      <c r="F1134" s="38" t="n"/>
      <c r="G1134" s="38" t="n"/>
    </row>
    <row r="1135">
      <c r="A1135" s="34" t="n"/>
      <c r="C1135" s="38" t="n"/>
      <c r="D1135" s="38" t="n"/>
      <c r="E1135" s="38" t="n"/>
      <c r="F1135" s="38" t="n"/>
      <c r="G1135" s="38" t="n"/>
    </row>
    <row r="1136">
      <c r="A1136" s="34" t="n"/>
      <c r="C1136" s="38" t="n"/>
      <c r="D1136" s="38" t="n"/>
      <c r="E1136" s="38" t="n"/>
      <c r="F1136" s="38" t="n"/>
      <c r="G1136" s="38" t="n"/>
    </row>
    <row r="1137">
      <c r="A1137" s="34" t="n"/>
      <c r="C1137" s="38" t="n"/>
      <c r="D1137" s="38" t="n"/>
      <c r="E1137" s="38" t="n"/>
      <c r="F1137" s="38" t="n"/>
      <c r="G1137" s="38" t="n"/>
    </row>
    <row r="1138">
      <c r="A1138" s="34" t="n"/>
      <c r="C1138" s="38" t="n"/>
      <c r="D1138" s="38" t="n"/>
      <c r="E1138" s="38" t="n"/>
      <c r="F1138" s="38" t="n"/>
      <c r="G1138" s="38" t="n"/>
    </row>
    <row r="1139">
      <c r="A1139" s="34" t="n"/>
      <c r="C1139" s="38" t="n"/>
      <c r="D1139" s="38" t="n"/>
      <c r="E1139" s="38" t="n"/>
      <c r="F1139" s="38" t="n"/>
      <c r="G1139" s="38" t="n"/>
    </row>
    <row r="1140">
      <c r="A1140" s="34" t="n"/>
      <c r="C1140" s="38" t="n"/>
      <c r="D1140" s="38" t="n"/>
      <c r="E1140" s="38" t="n"/>
      <c r="F1140" s="38" t="n"/>
      <c r="G1140" s="38" t="n"/>
    </row>
    <row r="1141">
      <c r="A1141" s="34" t="n"/>
      <c r="C1141" s="38" t="n"/>
      <c r="D1141" s="38" t="n"/>
      <c r="E1141" s="38" t="n"/>
      <c r="F1141" s="38" t="n"/>
      <c r="G1141" s="38" t="n"/>
    </row>
    <row r="1142">
      <c r="A1142" s="34" t="n"/>
      <c r="C1142" s="38" t="n"/>
      <c r="D1142" s="38" t="n"/>
      <c r="E1142" s="38" t="n"/>
      <c r="F1142" s="38" t="n"/>
      <c r="G1142" s="38" t="n"/>
    </row>
    <row r="1143">
      <c r="A1143" s="34" t="n"/>
      <c r="C1143" s="38" t="n"/>
      <c r="D1143" s="38" t="n"/>
      <c r="E1143" s="38" t="n"/>
      <c r="F1143" s="38" t="n"/>
      <c r="G1143" s="38" t="n"/>
    </row>
    <row r="1144">
      <c r="A1144" s="34" t="n"/>
      <c r="C1144" s="38" t="n"/>
      <c r="D1144" s="38" t="n"/>
      <c r="E1144" s="38" t="n"/>
      <c r="F1144" s="38" t="n"/>
      <c r="G1144" s="38" t="n"/>
    </row>
    <row r="1145">
      <c r="A1145" s="34" t="n"/>
      <c r="C1145" s="38" t="n"/>
      <c r="D1145" s="38" t="n"/>
      <c r="E1145" s="38" t="n"/>
      <c r="F1145" s="38" t="n"/>
      <c r="G1145" s="38" t="n"/>
    </row>
    <row r="1146">
      <c r="A1146" s="34" t="n"/>
      <c r="C1146" s="38" t="n"/>
      <c r="D1146" s="38" t="n"/>
      <c r="E1146" s="38" t="n"/>
      <c r="F1146" s="38" t="n"/>
      <c r="G1146" s="38" t="n"/>
    </row>
    <row r="1147">
      <c r="A1147" s="34" t="n"/>
      <c r="C1147" s="38" t="n"/>
      <c r="D1147" s="38" t="n"/>
      <c r="E1147" s="38" t="n"/>
      <c r="F1147" s="38" t="n"/>
      <c r="G1147" s="38" t="n"/>
    </row>
    <row r="1148">
      <c r="A1148" s="34" t="n"/>
      <c r="C1148" s="38" t="n"/>
      <c r="D1148" s="38" t="n"/>
      <c r="E1148" s="38" t="n"/>
      <c r="F1148" s="38" t="n"/>
      <c r="G1148" s="38" t="n"/>
    </row>
    <row r="1149">
      <c r="A1149" s="34" t="n"/>
      <c r="C1149" s="38" t="n"/>
      <c r="D1149" s="38" t="n"/>
      <c r="E1149" s="38" t="n"/>
      <c r="F1149" s="38" t="n"/>
      <c r="G1149" s="38" t="n"/>
    </row>
    <row r="1150">
      <c r="A1150" s="34" t="n"/>
      <c r="C1150" s="38" t="n"/>
      <c r="D1150" s="38" t="n"/>
      <c r="E1150" s="38" t="n"/>
      <c r="F1150" s="38" t="n"/>
      <c r="G1150" s="38" t="n"/>
    </row>
    <row r="1151">
      <c r="A1151" s="34" t="n"/>
      <c r="C1151" s="38" t="n"/>
      <c r="D1151" s="38" t="n"/>
      <c r="E1151" s="38" t="n"/>
      <c r="F1151" s="38" t="n"/>
      <c r="G1151" s="38" t="n"/>
    </row>
    <row r="1152">
      <c r="A1152" s="34" t="n"/>
      <c r="C1152" s="38" t="n"/>
      <c r="D1152" s="38" t="n"/>
      <c r="E1152" s="38" t="n"/>
      <c r="F1152" s="38" t="n"/>
      <c r="G1152" s="38" t="n"/>
    </row>
    <row r="1153">
      <c r="A1153" s="34" t="n"/>
      <c r="C1153" s="38" t="n"/>
      <c r="D1153" s="38" t="n"/>
      <c r="E1153" s="38" t="n"/>
      <c r="F1153" s="38" t="n"/>
      <c r="G1153" s="38" t="n"/>
    </row>
    <row r="1154">
      <c r="A1154" s="34" t="n"/>
      <c r="C1154" s="38" t="n"/>
      <c r="D1154" s="38" t="n"/>
      <c r="E1154" s="38" t="n"/>
      <c r="F1154" s="38" t="n"/>
      <c r="G1154" s="38" t="n"/>
    </row>
    <row r="1155">
      <c r="A1155" s="34" t="n"/>
      <c r="C1155" s="38" t="n"/>
      <c r="D1155" s="38" t="n"/>
      <c r="E1155" s="38" t="n"/>
      <c r="F1155" s="38" t="n"/>
      <c r="G1155" s="38" t="n"/>
    </row>
    <row r="1156">
      <c r="A1156" s="34" t="n"/>
      <c r="C1156" s="38" t="n"/>
      <c r="D1156" s="38" t="n"/>
      <c r="E1156" s="38" t="n"/>
      <c r="F1156" s="38" t="n"/>
      <c r="G1156" s="38" t="n"/>
    </row>
    <row r="1157">
      <c r="A1157" s="34" t="n"/>
      <c r="C1157" s="38" t="n"/>
      <c r="D1157" s="38" t="n"/>
      <c r="E1157" s="38" t="n"/>
      <c r="F1157" s="38" t="n"/>
      <c r="G1157" s="38" t="n"/>
    </row>
    <row r="1158">
      <c r="A1158" s="34" t="n"/>
      <c r="C1158" s="38" t="n"/>
      <c r="D1158" s="38" t="n"/>
      <c r="E1158" s="38" t="n"/>
      <c r="F1158" s="38" t="n"/>
      <c r="G1158" s="38" t="n"/>
    </row>
    <row r="1159">
      <c r="A1159" s="34" t="n"/>
      <c r="C1159" s="38" t="n"/>
      <c r="D1159" s="38" t="n"/>
      <c r="E1159" s="38" t="n"/>
      <c r="F1159" s="38" t="n"/>
      <c r="G1159" s="38" t="n"/>
    </row>
    <row r="1160">
      <c r="A1160" s="34" t="n"/>
      <c r="C1160" s="38" t="n"/>
      <c r="D1160" s="38" t="n"/>
      <c r="E1160" s="38" t="n"/>
      <c r="F1160" s="38" t="n"/>
      <c r="G1160" s="38" t="n"/>
    </row>
    <row r="1161">
      <c r="A1161" s="34" t="n"/>
      <c r="C1161" s="38" t="n"/>
      <c r="D1161" s="38" t="n"/>
      <c r="E1161" s="38" t="n"/>
      <c r="F1161" s="38" t="n"/>
      <c r="G1161" s="38" t="n"/>
    </row>
    <row r="1162">
      <c r="A1162" s="34" t="n"/>
      <c r="C1162" s="38" t="n"/>
      <c r="D1162" s="38" t="n"/>
      <c r="E1162" s="38" t="n"/>
      <c r="F1162" s="38" t="n"/>
      <c r="G1162" s="38" t="n"/>
    </row>
    <row r="1163">
      <c r="A1163" s="34" t="n"/>
      <c r="C1163" s="38" t="n"/>
      <c r="D1163" s="38" t="n"/>
      <c r="E1163" s="38" t="n"/>
      <c r="F1163" s="38" t="n"/>
      <c r="G1163" s="38" t="n"/>
    </row>
    <row r="1164">
      <c r="A1164" s="34" t="n"/>
      <c r="C1164" s="38" t="n"/>
      <c r="D1164" s="38" t="n"/>
      <c r="E1164" s="38" t="n"/>
      <c r="F1164" s="38" t="n"/>
      <c r="G1164" s="38" t="n"/>
    </row>
    <row r="1165">
      <c r="A1165" s="34" t="n"/>
      <c r="C1165" s="38" t="n"/>
      <c r="D1165" s="38" t="n"/>
      <c r="E1165" s="38" t="n"/>
      <c r="F1165" s="38" t="n"/>
      <c r="G1165" s="38" t="n"/>
    </row>
    <row r="1166">
      <c r="A1166" s="34" t="n"/>
      <c r="C1166" s="38" t="n"/>
      <c r="D1166" s="38" t="n"/>
      <c r="E1166" s="38" t="n"/>
      <c r="F1166" s="38" t="n"/>
      <c r="G1166" s="38" t="n"/>
    </row>
    <row r="1167">
      <c r="A1167" s="34" t="n"/>
      <c r="C1167" s="38" t="n"/>
      <c r="D1167" s="38" t="n"/>
      <c r="E1167" s="38" t="n"/>
      <c r="F1167" s="38" t="n"/>
      <c r="G1167" s="38" t="n"/>
    </row>
    <row r="1168">
      <c r="A1168" s="34" t="n"/>
      <c r="C1168" s="38" t="n"/>
      <c r="D1168" s="38" t="n"/>
      <c r="E1168" s="38" t="n"/>
      <c r="F1168" s="38" t="n"/>
      <c r="G1168" s="38" t="n"/>
    </row>
    <row r="1169">
      <c r="A1169" s="34" t="n"/>
      <c r="C1169" s="38" t="n"/>
      <c r="D1169" s="38" t="n"/>
      <c r="E1169" s="38" t="n"/>
      <c r="F1169" s="38" t="n"/>
      <c r="G1169" s="38" t="n"/>
    </row>
    <row r="1170">
      <c r="A1170" s="34" t="n"/>
      <c r="C1170" s="38" t="n"/>
      <c r="D1170" s="38" t="n"/>
      <c r="E1170" s="38" t="n"/>
      <c r="F1170" s="38" t="n"/>
      <c r="G1170" s="38" t="n"/>
    </row>
    <row r="1171">
      <c r="A1171" s="34" t="n"/>
      <c r="C1171" s="38" t="n"/>
      <c r="D1171" s="38" t="n"/>
      <c r="E1171" s="38" t="n"/>
      <c r="F1171" s="38" t="n"/>
      <c r="G1171" s="38" t="n"/>
    </row>
    <row r="1172">
      <c r="A1172" s="34" t="n"/>
      <c r="C1172" s="38" t="n"/>
      <c r="D1172" s="38" t="n"/>
      <c r="E1172" s="38" t="n"/>
      <c r="F1172" s="38" t="n"/>
      <c r="G1172" s="38" t="n"/>
    </row>
    <row r="1173">
      <c r="A1173" s="34" t="n"/>
      <c r="C1173" s="38" t="n"/>
      <c r="D1173" s="38" t="n"/>
      <c r="E1173" s="38" t="n"/>
      <c r="F1173" s="38" t="n"/>
      <c r="G1173" s="38" t="n"/>
    </row>
    <row r="1174">
      <c r="A1174" s="34" t="n"/>
      <c r="C1174" s="38" t="n"/>
      <c r="D1174" s="38" t="n"/>
      <c r="E1174" s="38" t="n"/>
      <c r="F1174" s="38" t="n"/>
      <c r="G1174" s="38" t="n"/>
    </row>
    <row r="1175">
      <c r="A1175" s="34" t="n"/>
      <c r="C1175" s="38" t="n"/>
      <c r="D1175" s="38" t="n"/>
      <c r="E1175" s="38" t="n"/>
      <c r="F1175" s="38" t="n"/>
      <c r="G1175" s="38" t="n"/>
    </row>
    <row r="1176">
      <c r="A1176" s="34" t="n"/>
      <c r="C1176" s="38" t="n"/>
      <c r="D1176" s="38" t="n"/>
      <c r="E1176" s="38" t="n"/>
      <c r="F1176" s="38" t="n"/>
      <c r="G1176" s="38" t="n"/>
    </row>
    <row r="1177">
      <c r="A1177" s="34" t="n"/>
      <c r="C1177" s="38" t="n"/>
      <c r="D1177" s="38" t="n"/>
      <c r="E1177" s="38" t="n"/>
      <c r="F1177" s="38" t="n"/>
      <c r="G1177" s="38" t="n"/>
    </row>
    <row r="1178">
      <c r="A1178" s="34" t="n"/>
      <c r="C1178" s="38" t="n"/>
      <c r="D1178" s="38" t="n"/>
      <c r="E1178" s="38" t="n"/>
      <c r="F1178" s="38" t="n"/>
      <c r="G1178" s="38" t="n"/>
    </row>
    <row r="1179">
      <c r="A1179" s="34" t="n"/>
      <c r="C1179" s="38" t="n"/>
      <c r="D1179" s="38" t="n"/>
      <c r="E1179" s="38" t="n"/>
      <c r="F1179" s="38" t="n"/>
      <c r="G1179" s="38" t="n"/>
    </row>
    <row r="1180">
      <c r="A1180" s="34" t="n"/>
      <c r="C1180" s="38" t="n"/>
      <c r="D1180" s="38" t="n"/>
      <c r="E1180" s="38" t="n"/>
      <c r="F1180" s="38" t="n"/>
      <c r="G1180" s="38" t="n"/>
    </row>
    <row r="1181">
      <c r="A1181" s="34" t="n"/>
      <c r="C1181" s="38" t="n"/>
      <c r="D1181" s="38" t="n"/>
      <c r="E1181" s="38" t="n"/>
      <c r="F1181" s="38" t="n"/>
      <c r="G1181" s="38" t="n"/>
    </row>
    <row r="1182">
      <c r="A1182" s="34" t="n"/>
      <c r="C1182" s="38" t="n"/>
      <c r="D1182" s="38" t="n"/>
      <c r="E1182" s="38" t="n"/>
      <c r="F1182" s="38" t="n"/>
      <c r="G1182" s="38" t="n"/>
    </row>
    <row r="1183">
      <c r="A1183" s="34" t="n"/>
      <c r="C1183" s="38" t="n"/>
      <c r="D1183" s="38" t="n"/>
      <c r="E1183" s="38" t="n"/>
      <c r="F1183" s="38" t="n"/>
      <c r="G1183" s="38" t="n"/>
    </row>
    <row r="1184">
      <c r="A1184" s="34" t="n"/>
      <c r="C1184" s="38" t="n"/>
      <c r="D1184" s="38" t="n"/>
      <c r="E1184" s="38" t="n"/>
      <c r="F1184" s="38" t="n"/>
      <c r="G1184" s="38" t="n"/>
    </row>
    <row r="1185">
      <c r="A1185" s="34" t="n"/>
      <c r="C1185" s="38" t="n"/>
      <c r="D1185" s="38" t="n"/>
      <c r="E1185" s="38" t="n"/>
      <c r="F1185" s="38" t="n"/>
      <c r="G1185" s="38" t="n"/>
    </row>
    <row r="1186">
      <c r="A1186" s="34" t="n"/>
      <c r="C1186" s="38" t="n"/>
      <c r="D1186" s="38" t="n"/>
      <c r="E1186" s="38" t="n"/>
      <c r="F1186" s="38" t="n"/>
      <c r="G1186" s="38" t="n"/>
    </row>
    <row r="1187">
      <c r="A1187" s="34" t="n"/>
      <c r="C1187" s="38" t="n"/>
      <c r="D1187" s="38" t="n"/>
      <c r="E1187" s="38" t="n"/>
      <c r="F1187" s="38" t="n"/>
      <c r="G1187" s="38" t="n"/>
    </row>
    <row r="1188">
      <c r="A1188" s="34" t="n"/>
      <c r="C1188" s="38" t="n"/>
      <c r="D1188" s="38" t="n"/>
      <c r="E1188" s="38" t="n"/>
      <c r="F1188" s="38" t="n"/>
      <c r="G1188" s="38" t="n"/>
    </row>
    <row r="1189">
      <c r="A1189" s="34" t="n"/>
      <c r="C1189" s="38" t="n"/>
      <c r="D1189" s="38" t="n"/>
      <c r="E1189" s="38" t="n"/>
      <c r="F1189" s="38" t="n"/>
      <c r="G1189" s="38" t="n"/>
    </row>
    <row r="1190">
      <c r="A1190" s="34" t="n"/>
      <c r="C1190" s="38" t="n"/>
      <c r="D1190" s="38" t="n"/>
      <c r="E1190" s="38" t="n"/>
      <c r="F1190" s="38" t="n"/>
      <c r="G1190" s="38" t="n"/>
    </row>
    <row r="1191">
      <c r="A1191" s="34" t="n"/>
      <c r="C1191" s="38" t="n"/>
      <c r="D1191" s="38" t="n"/>
      <c r="E1191" s="38" t="n"/>
      <c r="F1191" s="38" t="n"/>
      <c r="G1191" s="38" t="n"/>
    </row>
    <row r="1192">
      <c r="A1192" s="34" t="n"/>
      <c r="C1192" s="38" t="n"/>
      <c r="D1192" s="38" t="n"/>
      <c r="E1192" s="38" t="n"/>
      <c r="F1192" s="38" t="n"/>
      <c r="G1192" s="38" t="n"/>
    </row>
    <row r="1193">
      <c r="A1193" s="34" t="n"/>
      <c r="C1193" s="38" t="n"/>
      <c r="D1193" s="38" t="n"/>
      <c r="E1193" s="38" t="n"/>
      <c r="F1193" s="38" t="n"/>
      <c r="G1193" s="38" t="n"/>
    </row>
    <row r="1194">
      <c r="A1194" s="34" t="n"/>
      <c r="C1194" s="38" t="n"/>
      <c r="D1194" s="38" t="n"/>
      <c r="E1194" s="38" t="n"/>
      <c r="F1194" s="38" t="n"/>
      <c r="G1194" s="38" t="n"/>
    </row>
    <row r="1195">
      <c r="A1195" s="34" t="n"/>
      <c r="C1195" s="38" t="n"/>
      <c r="D1195" s="38" t="n"/>
      <c r="E1195" s="38" t="n"/>
      <c r="F1195" s="38" t="n"/>
      <c r="G1195" s="38" t="n"/>
    </row>
    <row r="1196">
      <c r="A1196" s="34" t="n"/>
      <c r="C1196" s="38" t="n"/>
      <c r="D1196" s="38" t="n"/>
      <c r="E1196" s="38" t="n"/>
      <c r="F1196" s="38" t="n"/>
      <c r="G1196" s="38" t="n"/>
    </row>
    <row r="1197">
      <c r="A1197" s="34" t="n"/>
      <c r="C1197" s="38" t="n"/>
      <c r="D1197" s="38" t="n"/>
      <c r="E1197" s="38" t="n"/>
      <c r="F1197" s="38" t="n"/>
      <c r="G1197" s="38" t="n"/>
    </row>
    <row r="1198">
      <c r="A1198" s="34" t="n"/>
      <c r="C1198" s="38" t="n"/>
      <c r="D1198" s="38" t="n"/>
      <c r="E1198" s="38" t="n"/>
      <c r="F1198" s="38" t="n"/>
      <c r="G1198" s="38" t="n"/>
    </row>
    <row r="1199">
      <c r="A1199" s="34" t="n"/>
      <c r="C1199" s="38" t="n"/>
      <c r="D1199" s="38" t="n"/>
      <c r="E1199" s="38" t="n"/>
      <c r="F1199" s="38" t="n"/>
      <c r="G1199" s="38" t="n"/>
    </row>
    <row r="1200">
      <c r="A1200" s="34" t="n"/>
      <c r="C1200" s="38" t="n"/>
      <c r="D1200" s="38" t="n"/>
      <c r="E1200" s="38" t="n"/>
      <c r="F1200" s="38" t="n"/>
      <c r="G1200" s="38" t="n"/>
    </row>
    <row r="1201">
      <c r="A1201" s="34" t="n"/>
      <c r="C1201" s="38" t="n"/>
      <c r="D1201" s="38" t="n"/>
      <c r="E1201" s="38" t="n"/>
      <c r="F1201" s="38" t="n"/>
      <c r="G1201" s="38" t="n"/>
    </row>
    <row r="1202">
      <c r="A1202" s="34" t="n"/>
      <c r="C1202" s="38" t="n"/>
      <c r="D1202" s="38" t="n"/>
      <c r="E1202" s="38" t="n"/>
      <c r="F1202" s="38" t="n"/>
      <c r="G1202" s="38" t="n"/>
    </row>
    <row r="1203">
      <c r="A1203" s="34" t="n"/>
      <c r="C1203" s="38" t="n"/>
      <c r="D1203" s="38" t="n"/>
      <c r="E1203" s="38" t="n"/>
      <c r="F1203" s="38" t="n"/>
      <c r="G1203" s="38" t="n"/>
    </row>
    <row r="1204">
      <c r="A1204" s="34" t="n"/>
      <c r="C1204" s="38" t="n"/>
      <c r="D1204" s="38" t="n"/>
      <c r="E1204" s="38" t="n"/>
      <c r="F1204" s="38" t="n"/>
      <c r="G1204" s="38" t="n"/>
    </row>
    <row r="1205">
      <c r="A1205" s="34" t="n"/>
      <c r="C1205" s="38" t="n"/>
      <c r="D1205" s="38" t="n"/>
      <c r="E1205" s="38" t="n"/>
      <c r="F1205" s="38" t="n"/>
      <c r="G1205" s="38" t="n"/>
    </row>
    <row r="1206">
      <c r="A1206" s="34" t="n"/>
      <c r="C1206" s="38" t="n"/>
      <c r="D1206" s="38" t="n"/>
      <c r="E1206" s="38" t="n"/>
      <c r="F1206" s="38" t="n"/>
      <c r="G1206" s="38" t="n"/>
    </row>
    <row r="1207">
      <c r="A1207" s="34" t="n"/>
      <c r="C1207" s="38" t="n"/>
      <c r="D1207" s="38" t="n"/>
      <c r="E1207" s="38" t="n"/>
      <c r="F1207" s="38" t="n"/>
      <c r="G1207" s="38" t="n"/>
    </row>
    <row r="1208">
      <c r="A1208" s="34" t="n"/>
      <c r="C1208" s="38" t="n"/>
      <c r="D1208" s="38" t="n"/>
      <c r="E1208" s="38" t="n"/>
      <c r="F1208" s="38" t="n"/>
      <c r="G1208" s="38" t="n"/>
    </row>
    <row r="1209">
      <c r="A1209" s="34" t="n"/>
      <c r="C1209" s="38" t="n"/>
      <c r="D1209" s="38" t="n"/>
      <c r="E1209" s="38" t="n"/>
      <c r="F1209" s="38" t="n"/>
      <c r="G1209" s="38" t="n"/>
    </row>
    <row r="1210">
      <c r="A1210" s="34" t="n"/>
      <c r="C1210" s="38" t="n"/>
      <c r="D1210" s="38" t="n"/>
      <c r="E1210" s="38" t="n"/>
      <c r="F1210" s="38" t="n"/>
      <c r="G1210" s="38" t="n"/>
    </row>
    <row r="1211">
      <c r="A1211" s="34" t="n"/>
      <c r="C1211" s="38" t="n"/>
      <c r="D1211" s="38" t="n"/>
      <c r="E1211" s="38" t="n"/>
      <c r="F1211" s="38" t="n"/>
      <c r="G1211" s="38" t="n"/>
    </row>
    <row r="1212">
      <c r="A1212" s="34" t="n"/>
      <c r="C1212" s="38" t="n"/>
      <c r="D1212" s="38" t="n"/>
      <c r="E1212" s="38" t="n"/>
      <c r="F1212" s="38" t="n"/>
      <c r="G1212" s="38" t="n"/>
    </row>
    <row r="1213">
      <c r="A1213" s="34" t="n"/>
      <c r="C1213" s="38" t="n"/>
      <c r="D1213" s="38" t="n"/>
      <c r="E1213" s="38" t="n"/>
      <c r="F1213" s="38" t="n"/>
      <c r="G1213" s="38" t="n"/>
    </row>
    <row r="1214">
      <c r="A1214" s="34" t="n"/>
      <c r="C1214" s="38" t="n"/>
      <c r="D1214" s="38" t="n"/>
      <c r="E1214" s="38" t="n"/>
      <c r="F1214" s="38" t="n"/>
      <c r="G1214" s="38" t="n"/>
    </row>
    <row r="1215">
      <c r="A1215" s="34" t="n"/>
      <c r="C1215" s="38" t="n"/>
      <c r="D1215" s="38" t="n"/>
      <c r="E1215" s="38" t="n"/>
      <c r="F1215" s="38" t="n"/>
      <c r="G1215" s="38" t="n"/>
    </row>
    <row r="1216">
      <c r="A1216" s="34" t="n"/>
      <c r="C1216" s="38" t="n"/>
      <c r="D1216" s="38" t="n"/>
      <c r="E1216" s="38" t="n"/>
      <c r="F1216" s="38" t="n"/>
      <c r="G1216" s="38" t="n"/>
    </row>
    <row r="1217">
      <c r="A1217" s="34" t="n"/>
      <c r="C1217" s="38" t="n"/>
      <c r="D1217" s="38" t="n"/>
      <c r="E1217" s="38" t="n"/>
      <c r="F1217" s="38" t="n"/>
      <c r="G1217" s="38" t="n"/>
    </row>
    <row r="1218">
      <c r="A1218" s="34" t="n"/>
      <c r="C1218" s="38" t="n"/>
      <c r="D1218" s="38" t="n"/>
      <c r="E1218" s="38" t="n"/>
      <c r="F1218" s="38" t="n"/>
      <c r="G1218" s="38" t="n"/>
    </row>
    <row r="1219">
      <c r="A1219" s="34" t="n"/>
      <c r="C1219" s="38" t="n"/>
      <c r="D1219" s="38" t="n"/>
      <c r="E1219" s="38" t="n"/>
      <c r="F1219" s="38" t="n"/>
      <c r="G1219" s="38" t="n"/>
    </row>
    <row r="1220">
      <c r="A1220" s="34" t="n"/>
      <c r="C1220" s="38" t="n"/>
      <c r="D1220" s="38" t="n"/>
      <c r="E1220" s="38" t="n"/>
      <c r="F1220" s="38" t="n"/>
      <c r="G1220" s="38" t="n"/>
    </row>
    <row r="1221">
      <c r="A1221" s="34" t="n"/>
      <c r="C1221" s="38" t="n"/>
      <c r="D1221" s="38" t="n"/>
      <c r="E1221" s="38" t="n"/>
      <c r="F1221" s="38" t="n"/>
      <c r="G1221" s="38" t="n"/>
    </row>
    <row r="1222">
      <c r="A1222" s="34" t="n"/>
      <c r="C1222" s="38" t="n"/>
      <c r="D1222" s="38" t="n"/>
      <c r="E1222" s="38" t="n"/>
      <c r="F1222" s="38" t="n"/>
      <c r="G1222" s="38" t="n"/>
    </row>
    <row r="1223">
      <c r="A1223" s="34" t="n"/>
      <c r="C1223" s="38" t="n"/>
      <c r="D1223" s="38" t="n"/>
      <c r="E1223" s="38" t="n"/>
      <c r="F1223" s="38" t="n"/>
      <c r="G1223" s="38" t="n"/>
    </row>
    <row r="1224">
      <c r="A1224" s="34" t="n"/>
      <c r="C1224" s="38" t="n"/>
      <c r="D1224" s="38" t="n"/>
      <c r="E1224" s="38" t="n"/>
      <c r="F1224" s="38" t="n"/>
      <c r="G1224" s="38" t="n"/>
    </row>
    <row r="1225">
      <c r="A1225" s="34" t="n"/>
      <c r="C1225" s="38" t="n"/>
      <c r="D1225" s="38" t="n"/>
      <c r="E1225" s="38" t="n"/>
      <c r="F1225" s="38" t="n"/>
      <c r="G1225" s="38" t="n"/>
    </row>
    <row r="1226">
      <c r="A1226" s="34" t="n"/>
      <c r="C1226" s="38" t="n"/>
      <c r="D1226" s="38" t="n"/>
      <c r="E1226" s="38" t="n"/>
      <c r="F1226" s="38" t="n"/>
      <c r="G1226" s="38" t="n"/>
    </row>
    <row r="1227">
      <c r="A1227" s="34" t="n"/>
      <c r="C1227" s="38" t="n"/>
      <c r="D1227" s="38" t="n"/>
      <c r="E1227" s="38" t="n"/>
      <c r="F1227" s="38" t="n"/>
      <c r="G1227" s="38" t="n"/>
    </row>
    <row r="1228">
      <c r="A1228" s="34" t="n"/>
      <c r="C1228" s="38" t="n"/>
      <c r="D1228" s="38" t="n"/>
      <c r="E1228" s="38" t="n"/>
      <c r="F1228" s="38" t="n"/>
      <c r="G1228" s="38" t="n"/>
    </row>
    <row r="1229">
      <c r="A1229" s="34" t="n"/>
      <c r="C1229" s="38" t="n"/>
      <c r="D1229" s="38" t="n"/>
      <c r="E1229" s="38" t="n"/>
      <c r="F1229" s="38" t="n"/>
      <c r="G1229" s="38" t="n"/>
    </row>
    <row r="1230">
      <c r="A1230" s="34" t="n"/>
      <c r="C1230" s="38" t="n"/>
      <c r="D1230" s="38" t="n"/>
      <c r="E1230" s="38" t="n"/>
      <c r="F1230" s="38" t="n"/>
      <c r="G1230" s="38" t="n"/>
    </row>
    <row r="1231">
      <c r="A1231" s="34" t="n"/>
      <c r="C1231" s="38" t="n"/>
      <c r="D1231" s="38" t="n"/>
      <c r="E1231" s="38" t="n"/>
      <c r="F1231" s="38" t="n"/>
      <c r="G1231" s="38" t="n"/>
    </row>
    <row r="1232">
      <c r="A1232" s="34" t="n"/>
      <c r="C1232" s="38" t="n"/>
      <c r="D1232" s="38" t="n"/>
      <c r="E1232" s="38" t="n"/>
      <c r="F1232" s="38" t="n"/>
      <c r="G1232" s="38" t="n"/>
    </row>
    <row r="1233">
      <c r="A1233" s="34" t="n"/>
      <c r="C1233" s="38" t="n"/>
      <c r="D1233" s="38" t="n"/>
      <c r="E1233" s="38" t="n"/>
      <c r="F1233" s="38" t="n"/>
      <c r="G1233" s="38" t="n"/>
    </row>
    <row r="1234">
      <c r="A1234" s="34" t="n"/>
      <c r="C1234" s="38" t="n"/>
      <c r="D1234" s="38" t="n"/>
      <c r="E1234" s="38" t="n"/>
      <c r="F1234" s="38" t="n"/>
      <c r="G1234" s="38" t="n"/>
    </row>
    <row r="1235">
      <c r="A1235" s="34" t="n"/>
      <c r="C1235" s="38" t="n"/>
      <c r="D1235" s="38" t="n"/>
      <c r="E1235" s="38" t="n"/>
      <c r="F1235" s="38" t="n"/>
      <c r="G1235" s="38" t="n"/>
    </row>
    <row r="1236">
      <c r="A1236" s="34" t="n"/>
      <c r="C1236" s="38" t="n"/>
      <c r="D1236" s="38" t="n"/>
      <c r="E1236" s="38" t="n"/>
      <c r="F1236" s="38" t="n"/>
      <c r="G1236" s="38" t="n"/>
    </row>
    <row r="1237">
      <c r="A1237" s="34" t="n"/>
      <c r="C1237" s="38" t="n"/>
      <c r="D1237" s="38" t="n"/>
      <c r="E1237" s="38" t="n"/>
      <c r="F1237" s="38" t="n"/>
      <c r="G1237" s="38" t="n"/>
    </row>
    <row r="1238">
      <c r="A1238" s="34" t="n"/>
      <c r="C1238" s="38" t="n"/>
      <c r="D1238" s="38" t="n"/>
      <c r="E1238" s="38" t="n"/>
      <c r="F1238" s="38" t="n"/>
      <c r="G1238" s="38" t="n"/>
    </row>
    <row r="1239">
      <c r="A1239" s="34" t="n"/>
      <c r="C1239" s="38" t="n"/>
      <c r="D1239" s="38" t="n"/>
      <c r="E1239" s="38" t="n"/>
      <c r="F1239" s="38" t="n"/>
      <c r="G1239" s="38" t="n"/>
    </row>
    <row r="1240">
      <c r="A1240" s="34" t="n"/>
      <c r="C1240" s="38" t="n"/>
      <c r="D1240" s="38" t="n"/>
      <c r="E1240" s="38" t="n"/>
      <c r="F1240" s="38" t="n"/>
      <c r="G1240" s="38" t="n"/>
    </row>
    <row r="1241">
      <c r="A1241" s="34" t="n"/>
      <c r="C1241" s="38" t="n"/>
      <c r="D1241" s="38" t="n"/>
      <c r="E1241" s="38" t="n"/>
      <c r="F1241" s="38" t="n"/>
      <c r="G1241" s="38" t="n"/>
    </row>
    <row r="1242">
      <c r="A1242" s="34" t="n"/>
      <c r="C1242" s="38" t="n"/>
      <c r="D1242" s="38" t="n"/>
      <c r="E1242" s="38" t="n"/>
      <c r="F1242" s="38" t="n"/>
      <c r="G1242" s="38" t="n"/>
    </row>
    <row r="1243">
      <c r="A1243" s="34" t="n"/>
      <c r="C1243" s="38" t="n"/>
      <c r="D1243" s="38" t="n"/>
      <c r="E1243" s="38" t="n"/>
      <c r="F1243" s="38" t="n"/>
      <c r="G1243" s="38" t="n"/>
    </row>
    <row r="1244">
      <c r="A1244" s="34" t="n"/>
      <c r="C1244" s="38" t="n"/>
      <c r="D1244" s="38" t="n"/>
      <c r="E1244" s="38" t="n"/>
      <c r="F1244" s="38" t="n"/>
      <c r="G1244" s="38" t="n"/>
    </row>
    <row r="1245">
      <c r="A1245" s="34" t="n"/>
      <c r="C1245" s="38" t="n"/>
      <c r="D1245" s="38" t="n"/>
      <c r="E1245" s="38" t="n"/>
      <c r="F1245" s="38" t="n"/>
      <c r="G1245" s="38" t="n"/>
    </row>
    <row r="1246">
      <c r="A1246" s="34" t="n"/>
      <c r="C1246" s="38" t="n"/>
      <c r="D1246" s="38" t="n"/>
      <c r="E1246" s="38" t="n"/>
      <c r="F1246" s="38" t="n"/>
      <c r="G1246" s="38" t="n"/>
    </row>
    <row r="1247">
      <c r="A1247" s="34" t="n"/>
      <c r="C1247" s="38" t="n"/>
      <c r="D1247" s="38" t="n"/>
      <c r="E1247" s="38" t="n"/>
      <c r="F1247" s="38" t="n"/>
      <c r="G1247" s="38" t="n"/>
    </row>
    <row r="1248">
      <c r="A1248" s="34" t="n"/>
      <c r="C1248" s="38" t="n"/>
      <c r="D1248" s="38" t="n"/>
      <c r="E1248" s="38" t="n"/>
      <c r="F1248" s="38" t="n"/>
      <c r="G1248" s="38" t="n"/>
    </row>
    <row r="1249">
      <c r="A1249" s="34" t="n"/>
      <c r="C1249" s="38" t="n"/>
      <c r="D1249" s="38" t="n"/>
      <c r="E1249" s="38" t="n"/>
      <c r="F1249" s="38" t="n"/>
      <c r="G1249" s="38" t="n"/>
    </row>
    <row r="1250">
      <c r="A1250" s="34" t="n"/>
      <c r="C1250" s="38" t="n"/>
      <c r="D1250" s="38" t="n"/>
      <c r="E1250" s="38" t="n"/>
      <c r="F1250" s="38" t="n"/>
      <c r="G1250" s="38" t="n"/>
    </row>
    <row r="1251">
      <c r="A1251" s="34" t="n"/>
      <c r="C1251" s="38" t="n"/>
      <c r="D1251" s="38" t="n"/>
      <c r="E1251" s="38" t="n"/>
      <c r="F1251" s="38" t="n"/>
      <c r="G1251" s="38" t="n"/>
    </row>
    <row r="1252">
      <c r="A1252" s="34" t="n"/>
      <c r="C1252" s="38" t="n"/>
      <c r="D1252" s="38" t="n"/>
      <c r="E1252" s="38" t="n"/>
      <c r="F1252" s="38" t="n"/>
      <c r="G1252" s="38" t="n"/>
    </row>
    <row r="1253">
      <c r="A1253" s="34" t="n"/>
      <c r="C1253" s="38" t="n"/>
      <c r="D1253" s="38" t="n"/>
      <c r="E1253" s="38" t="n"/>
      <c r="F1253" s="38" t="n"/>
      <c r="G1253" s="38" t="n"/>
    </row>
    <row r="1254">
      <c r="A1254" s="34" t="n"/>
      <c r="C1254" s="38" t="n"/>
      <c r="D1254" s="38" t="n"/>
      <c r="E1254" s="38" t="n"/>
      <c r="F1254" s="38" t="n"/>
      <c r="G1254" s="38" t="n"/>
    </row>
    <row r="1255">
      <c r="A1255" s="34" t="n"/>
      <c r="C1255" s="38" t="n"/>
      <c r="D1255" s="38" t="n"/>
      <c r="E1255" s="38" t="n"/>
      <c r="F1255" s="38" t="n"/>
      <c r="G1255" s="38" t="n"/>
    </row>
    <row r="1256">
      <c r="A1256" s="34" t="n"/>
      <c r="C1256" s="38" t="n"/>
      <c r="D1256" s="38" t="n"/>
      <c r="E1256" s="38" t="n"/>
      <c r="F1256" s="38" t="n"/>
      <c r="G1256" s="38" t="n"/>
    </row>
    <row r="1257">
      <c r="A1257" s="34" t="n"/>
      <c r="C1257" s="38" t="n"/>
      <c r="D1257" s="38" t="n"/>
      <c r="E1257" s="38" t="n"/>
      <c r="F1257" s="38" t="n"/>
      <c r="G1257" s="38" t="n"/>
    </row>
    <row r="1258">
      <c r="A1258" s="34" t="n"/>
      <c r="C1258" s="38" t="n"/>
      <c r="D1258" s="38" t="n"/>
      <c r="E1258" s="38" t="n"/>
      <c r="F1258" s="38" t="n"/>
      <c r="G1258" s="38" t="n"/>
    </row>
    <row r="1259">
      <c r="A1259" s="34" t="n"/>
      <c r="C1259" s="38" t="n"/>
      <c r="D1259" s="38" t="n"/>
      <c r="E1259" s="38" t="n"/>
      <c r="F1259" s="38" t="n"/>
      <c r="G1259" s="38" t="n"/>
    </row>
    <row r="1260">
      <c r="A1260" s="34" t="n"/>
      <c r="C1260" s="38" t="n"/>
      <c r="D1260" s="38" t="n"/>
      <c r="E1260" s="38" t="n"/>
      <c r="F1260" s="38" t="n"/>
      <c r="G1260" s="38" t="n"/>
    </row>
    <row r="1261">
      <c r="A1261" s="34" t="n"/>
      <c r="C1261" s="38" t="n"/>
      <c r="D1261" s="38" t="n"/>
      <c r="E1261" s="38" t="n"/>
      <c r="F1261" s="38" t="n"/>
      <c r="G1261" s="38" t="n"/>
    </row>
    <row r="1262">
      <c r="A1262" s="34" t="n"/>
      <c r="C1262" s="38" t="n"/>
      <c r="D1262" s="38" t="n"/>
      <c r="E1262" s="38" t="n"/>
      <c r="F1262" s="38" t="n"/>
      <c r="G1262" s="38" t="n"/>
    </row>
    <row r="1263">
      <c r="A1263" s="34" t="n"/>
      <c r="C1263" s="38" t="n"/>
      <c r="D1263" s="38" t="n"/>
      <c r="E1263" s="38" t="n"/>
      <c r="F1263" s="38" t="n"/>
      <c r="G1263" s="38" t="n"/>
    </row>
    <row r="1264">
      <c r="A1264" s="34" t="n"/>
      <c r="C1264" s="38" t="n"/>
      <c r="D1264" s="38" t="n"/>
      <c r="E1264" s="38" t="n"/>
      <c r="F1264" s="38" t="n"/>
      <c r="G1264" s="38" t="n"/>
    </row>
    <row r="1265">
      <c r="A1265" s="34" t="n"/>
      <c r="C1265" s="38" t="n"/>
      <c r="D1265" s="38" t="n"/>
      <c r="E1265" s="38" t="n"/>
      <c r="F1265" s="38" t="n"/>
      <c r="G1265" s="38" t="n"/>
    </row>
    <row r="1266">
      <c r="A1266" s="34" t="n"/>
      <c r="C1266" s="38" t="n"/>
      <c r="D1266" s="38" t="n"/>
      <c r="E1266" s="38" t="n"/>
      <c r="F1266" s="38" t="n"/>
      <c r="G1266" s="38" t="n"/>
    </row>
    <row r="1267">
      <c r="A1267" s="34" t="n"/>
      <c r="C1267" s="38" t="n"/>
      <c r="D1267" s="38" t="n"/>
      <c r="E1267" s="38" t="n"/>
      <c r="F1267" s="38" t="n"/>
      <c r="G1267" s="38" t="n"/>
    </row>
    <row r="1268">
      <c r="A1268" s="34" t="n"/>
      <c r="C1268" s="38" t="n"/>
      <c r="D1268" s="38" t="n"/>
      <c r="E1268" s="38" t="n"/>
      <c r="F1268" s="38" t="n"/>
      <c r="G1268" s="38" t="n"/>
    </row>
    <row r="1269">
      <c r="A1269" s="34" t="n"/>
      <c r="C1269" s="38" t="n"/>
      <c r="D1269" s="38" t="n"/>
      <c r="E1269" s="38" t="n"/>
      <c r="F1269" s="38" t="n"/>
      <c r="G1269" s="38" t="n"/>
    </row>
    <row r="1270">
      <c r="A1270" s="34" t="n"/>
      <c r="C1270" s="38" t="n"/>
      <c r="D1270" s="38" t="n"/>
      <c r="E1270" s="38" t="n"/>
      <c r="F1270" s="38" t="n"/>
      <c r="G1270" s="38" t="n"/>
    </row>
    <row r="1271">
      <c r="A1271" s="34" t="n"/>
      <c r="C1271" s="38" t="n"/>
      <c r="D1271" s="38" t="n"/>
      <c r="E1271" s="38" t="n"/>
      <c r="F1271" s="38" t="n"/>
      <c r="G1271" s="38" t="n"/>
    </row>
    <row r="1272">
      <c r="A1272" s="34" t="n"/>
      <c r="C1272" s="38" t="n"/>
      <c r="D1272" s="38" t="n"/>
      <c r="E1272" s="38" t="n"/>
      <c r="F1272" s="38" t="n"/>
      <c r="G1272" s="38" t="n"/>
    </row>
    <row r="1273">
      <c r="A1273" s="34" t="n"/>
      <c r="C1273" s="38" t="n"/>
      <c r="D1273" s="38" t="n"/>
      <c r="E1273" s="38" t="n"/>
      <c r="F1273" s="38" t="n"/>
      <c r="G1273" s="38" t="n"/>
    </row>
    <row r="1274">
      <c r="A1274" s="34" t="n"/>
      <c r="C1274" s="38" t="n"/>
      <c r="D1274" s="38" t="n"/>
      <c r="E1274" s="38" t="n"/>
      <c r="F1274" s="38" t="n"/>
      <c r="G1274" s="38" t="n"/>
    </row>
    <row r="1275">
      <c r="A1275" s="34" t="n"/>
      <c r="C1275" s="38" t="n"/>
      <c r="D1275" s="38" t="n"/>
      <c r="E1275" s="38" t="n"/>
      <c r="F1275" s="38" t="n"/>
      <c r="G1275" s="38" t="n"/>
    </row>
    <row r="1276">
      <c r="A1276" s="34" t="n"/>
      <c r="C1276" s="38" t="n"/>
      <c r="D1276" s="38" t="n"/>
      <c r="E1276" s="38" t="n"/>
      <c r="F1276" s="38" t="n"/>
      <c r="G1276" s="38" t="n"/>
    </row>
    <row r="1277">
      <c r="A1277" s="34" t="n"/>
      <c r="C1277" s="38" t="n"/>
      <c r="D1277" s="38" t="n"/>
      <c r="E1277" s="38" t="n"/>
      <c r="F1277" s="38" t="n"/>
      <c r="G1277" s="38" t="n"/>
    </row>
    <row r="1278">
      <c r="A1278" s="34" t="n"/>
      <c r="C1278" s="38" t="n"/>
      <c r="D1278" s="38" t="n"/>
      <c r="E1278" s="38" t="n"/>
      <c r="F1278" s="38" t="n"/>
      <c r="G1278" s="38" t="n"/>
    </row>
    <row r="1279">
      <c r="A1279" s="34" t="n"/>
      <c r="C1279" s="38" t="n"/>
      <c r="D1279" s="38" t="n"/>
      <c r="E1279" s="38" t="n"/>
      <c r="F1279" s="38" t="n"/>
      <c r="G1279" s="38" t="n"/>
    </row>
    <row r="1280">
      <c r="A1280" s="34" t="n"/>
      <c r="C1280" s="38" t="n"/>
      <c r="D1280" s="38" t="n"/>
      <c r="E1280" s="38" t="n"/>
      <c r="F1280" s="38" t="n"/>
      <c r="G1280" s="38" t="n"/>
    </row>
    <row r="1281">
      <c r="A1281" s="34" t="n"/>
      <c r="C1281" s="38" t="n"/>
      <c r="D1281" s="38" t="n"/>
      <c r="E1281" s="38" t="n"/>
      <c r="F1281" s="38" t="n"/>
      <c r="G1281" s="38" t="n"/>
    </row>
    <row r="1282">
      <c r="A1282" s="34" t="n"/>
      <c r="C1282" s="38" t="n"/>
      <c r="D1282" s="38" t="n"/>
      <c r="E1282" s="38" t="n"/>
      <c r="F1282" s="38" t="n"/>
      <c r="G1282" s="38" t="n"/>
    </row>
    <row r="1283">
      <c r="A1283" s="34" t="n"/>
      <c r="C1283" s="38" t="n"/>
      <c r="D1283" s="38" t="n"/>
      <c r="E1283" s="38" t="n"/>
      <c r="F1283" s="38" t="n"/>
      <c r="G1283" s="38" t="n"/>
    </row>
    <row r="1284">
      <c r="A1284" s="34" t="n"/>
      <c r="C1284" s="38" t="n"/>
      <c r="D1284" s="38" t="n"/>
      <c r="E1284" s="38" t="n"/>
      <c r="F1284" s="38" t="n"/>
      <c r="G1284" s="38" t="n"/>
    </row>
    <row r="1285">
      <c r="A1285" s="34" t="n"/>
      <c r="C1285" s="38" t="n"/>
      <c r="D1285" s="38" t="n"/>
      <c r="E1285" s="38" t="n"/>
      <c r="F1285" s="38" t="n"/>
      <c r="G1285" s="38" t="n"/>
    </row>
    <row r="1286">
      <c r="A1286" s="34" t="n"/>
      <c r="C1286" s="38" t="n"/>
      <c r="D1286" s="38" t="n"/>
      <c r="E1286" s="38" t="n"/>
      <c r="F1286" s="38" t="n"/>
      <c r="G1286" s="38" t="n"/>
    </row>
    <row r="1287">
      <c r="A1287" s="34" t="n"/>
      <c r="C1287" s="38" t="n"/>
      <c r="D1287" s="38" t="n"/>
      <c r="E1287" s="38" t="n"/>
      <c r="F1287" s="38" t="n"/>
      <c r="G1287" s="38" t="n"/>
    </row>
    <row r="1288">
      <c r="A1288" s="34" t="n"/>
      <c r="C1288" s="38" t="n"/>
      <c r="D1288" s="38" t="n"/>
      <c r="E1288" s="38" t="n"/>
      <c r="F1288" s="38" t="n"/>
      <c r="G1288" s="38" t="n"/>
    </row>
    <row r="1289">
      <c r="A1289" s="34" t="n"/>
      <c r="C1289" s="38" t="n"/>
      <c r="D1289" s="38" t="n"/>
      <c r="E1289" s="38" t="n"/>
      <c r="F1289" s="38" t="n"/>
      <c r="G1289" s="38" t="n"/>
    </row>
    <row r="1290">
      <c r="A1290" s="34" t="n"/>
      <c r="C1290" s="38" t="n"/>
      <c r="D1290" s="38" t="n"/>
      <c r="E1290" s="38" t="n"/>
      <c r="F1290" s="38" t="n"/>
      <c r="G1290" s="38" t="n"/>
    </row>
    <row r="1291">
      <c r="A1291" s="34" t="n"/>
      <c r="C1291" s="38" t="n"/>
      <c r="D1291" s="38" t="n"/>
      <c r="E1291" s="38" t="n"/>
      <c r="F1291" s="38" t="n"/>
      <c r="G1291" s="38" t="n"/>
    </row>
    <row r="1292">
      <c r="A1292" s="34" t="n"/>
      <c r="C1292" s="38" t="n"/>
      <c r="D1292" s="38" t="n"/>
      <c r="E1292" s="38" t="n"/>
      <c r="F1292" s="38" t="n"/>
      <c r="G1292" s="38" t="n"/>
    </row>
    <row r="1293">
      <c r="A1293" s="34" t="n"/>
      <c r="C1293" s="38" t="n"/>
      <c r="D1293" s="38" t="n"/>
      <c r="E1293" s="38" t="n"/>
      <c r="F1293" s="38" t="n"/>
      <c r="G1293" s="38" t="n"/>
    </row>
    <row r="1294">
      <c r="A1294" s="34" t="n"/>
      <c r="C1294" s="38" t="n"/>
      <c r="D1294" s="38" t="n"/>
      <c r="E1294" s="38" t="n"/>
      <c r="F1294" s="38" t="n"/>
      <c r="G1294" s="38" t="n"/>
    </row>
    <row r="1295">
      <c r="A1295" s="34" t="n"/>
      <c r="C1295" s="38" t="n"/>
      <c r="D1295" s="38" t="n"/>
      <c r="E1295" s="38" t="n"/>
      <c r="F1295" s="38" t="n"/>
      <c r="G1295" s="38" t="n"/>
    </row>
    <row r="1296">
      <c r="A1296" s="34" t="n"/>
      <c r="C1296" s="38" t="n"/>
      <c r="D1296" s="38" t="n"/>
      <c r="E1296" s="38" t="n"/>
      <c r="F1296" s="38" t="n"/>
      <c r="G1296" s="38" t="n"/>
    </row>
    <row r="1297">
      <c r="A1297" s="34" t="n"/>
      <c r="C1297" s="38" t="n"/>
      <c r="D1297" s="38" t="n"/>
      <c r="E1297" s="38" t="n"/>
      <c r="F1297" s="38" t="n"/>
      <c r="G1297" s="38" t="n"/>
    </row>
    <row r="1298">
      <c r="A1298" s="34" t="n"/>
      <c r="C1298" s="38" t="n"/>
      <c r="D1298" s="38" t="n"/>
      <c r="E1298" s="38" t="n"/>
      <c r="F1298" s="38" t="n"/>
      <c r="G1298" s="38" t="n"/>
    </row>
    <row r="1299">
      <c r="A1299" s="34" t="n"/>
      <c r="C1299" s="38" t="n"/>
      <c r="D1299" s="38" t="n"/>
      <c r="E1299" s="38" t="n"/>
      <c r="F1299" s="38" t="n"/>
      <c r="G1299" s="38" t="n"/>
    </row>
    <row r="1300">
      <c r="A1300" s="34" t="n"/>
      <c r="C1300" s="38" t="n"/>
      <c r="D1300" s="38" t="n"/>
      <c r="E1300" s="38" t="n"/>
      <c r="F1300" s="38" t="n"/>
      <c r="G1300" s="38" t="n"/>
    </row>
    <row r="1301">
      <c r="A1301" s="34" t="n"/>
      <c r="C1301" s="38" t="n"/>
      <c r="D1301" s="38" t="n"/>
      <c r="E1301" s="38" t="n"/>
      <c r="F1301" s="38" t="n"/>
      <c r="G1301" s="38" t="n"/>
    </row>
    <row r="1302">
      <c r="A1302" s="34" t="n"/>
      <c r="C1302" s="38" t="n"/>
      <c r="D1302" s="38" t="n"/>
      <c r="E1302" s="38" t="n"/>
      <c r="F1302" s="38" t="n"/>
      <c r="G1302" s="38" t="n"/>
    </row>
    <row r="1303">
      <c r="A1303" s="34" t="n"/>
      <c r="C1303" s="38" t="n"/>
      <c r="D1303" s="38" t="n"/>
      <c r="E1303" s="38" t="n"/>
      <c r="F1303" s="38" t="n"/>
      <c r="G1303" s="38" t="n"/>
    </row>
    <row r="1304">
      <c r="A1304" s="34" t="n"/>
      <c r="C1304" s="38" t="n"/>
      <c r="D1304" s="38" t="n"/>
      <c r="E1304" s="38" t="n"/>
      <c r="F1304" s="38" t="n"/>
      <c r="G1304" s="38" t="n"/>
    </row>
    <row r="1305">
      <c r="A1305" s="34" t="n"/>
      <c r="C1305" s="38" t="n"/>
      <c r="D1305" s="38" t="n"/>
      <c r="E1305" s="38" t="n"/>
      <c r="F1305" s="38" t="n"/>
      <c r="G1305" s="38" t="n"/>
    </row>
    <row r="1306">
      <c r="A1306" s="34" t="n"/>
      <c r="C1306" s="38" t="n"/>
      <c r="D1306" s="38" t="n"/>
      <c r="E1306" s="38" t="n"/>
      <c r="F1306" s="38" t="n"/>
      <c r="G1306" s="38" t="n"/>
    </row>
    <row r="1307">
      <c r="A1307" s="34" t="n"/>
      <c r="C1307" s="38" t="n"/>
      <c r="D1307" s="38" t="n"/>
      <c r="E1307" s="38" t="n"/>
      <c r="F1307" s="38" t="n"/>
      <c r="G1307" s="38" t="n"/>
    </row>
    <row r="1308">
      <c r="A1308" s="34" t="n"/>
      <c r="C1308" s="38" t="n"/>
      <c r="D1308" s="38" t="n"/>
      <c r="E1308" s="38" t="n"/>
      <c r="F1308" s="38" t="n"/>
      <c r="G1308" s="38" t="n"/>
    </row>
    <row r="1309">
      <c r="A1309" s="34" t="n"/>
      <c r="C1309" s="38" t="n"/>
      <c r="D1309" s="38" t="n"/>
      <c r="E1309" s="38" t="n"/>
      <c r="F1309" s="38" t="n"/>
      <c r="G1309" s="38" t="n"/>
    </row>
    <row r="1310">
      <c r="A1310" s="34" t="n"/>
      <c r="C1310" s="38" t="n"/>
      <c r="D1310" s="38" t="n"/>
      <c r="E1310" s="38" t="n"/>
      <c r="F1310" s="38" t="n"/>
      <c r="G1310" s="38" t="n"/>
    </row>
    <row r="1311">
      <c r="A1311" s="34" t="n"/>
      <c r="C1311" s="38" t="n"/>
      <c r="D1311" s="38" t="n"/>
      <c r="E1311" s="38" t="n"/>
      <c r="F1311" s="38" t="n"/>
      <c r="G1311" s="38" t="n"/>
    </row>
    <row r="1312">
      <c r="A1312" s="34" t="n"/>
      <c r="C1312" s="38" t="n"/>
      <c r="D1312" s="38" t="n"/>
      <c r="E1312" s="38" t="n"/>
      <c r="F1312" s="38" t="n"/>
      <c r="G1312" s="38" t="n"/>
    </row>
    <row r="1313">
      <c r="A1313" s="34" t="n"/>
      <c r="C1313" s="38" t="n"/>
      <c r="D1313" s="38" t="n"/>
      <c r="E1313" s="38" t="n"/>
      <c r="F1313" s="38" t="n"/>
      <c r="G1313" s="38" t="n"/>
    </row>
    <row r="1314">
      <c r="A1314" s="34" t="n"/>
      <c r="C1314" s="38" t="n"/>
      <c r="D1314" s="38" t="n"/>
      <c r="E1314" s="38" t="n"/>
      <c r="F1314" s="38" t="n"/>
      <c r="G1314" s="38" t="n"/>
    </row>
    <row r="1315">
      <c r="A1315" s="34" t="n"/>
      <c r="C1315" s="38" t="n"/>
      <c r="D1315" s="38" t="n"/>
      <c r="E1315" s="38" t="n"/>
      <c r="F1315" s="38" t="n"/>
      <c r="G1315" s="38" t="n"/>
    </row>
    <row r="1316">
      <c r="A1316" s="34" t="n"/>
      <c r="C1316" s="38" t="n"/>
      <c r="D1316" s="38" t="n"/>
      <c r="E1316" s="38" t="n"/>
      <c r="F1316" s="38" t="n"/>
      <c r="G1316" s="38" t="n"/>
    </row>
    <row r="1317">
      <c r="A1317" s="34" t="n"/>
      <c r="C1317" s="38" t="n"/>
      <c r="D1317" s="38" t="n"/>
      <c r="E1317" s="38" t="n"/>
      <c r="F1317" s="38" t="n"/>
      <c r="G1317" s="38" t="n"/>
    </row>
    <row r="1318">
      <c r="A1318" s="34" t="n"/>
      <c r="C1318" s="38" t="n"/>
      <c r="D1318" s="38" t="n"/>
      <c r="E1318" s="38" t="n"/>
      <c r="F1318" s="38" t="n"/>
      <c r="G1318" s="38" t="n"/>
    </row>
    <row r="1319">
      <c r="A1319" s="34" t="n"/>
      <c r="C1319" s="38" t="n"/>
      <c r="D1319" s="38" t="n"/>
      <c r="E1319" s="38" t="n"/>
      <c r="F1319" s="38" t="n"/>
      <c r="G1319" s="38" t="n"/>
    </row>
    <row r="1320">
      <c r="A1320" s="34" t="n"/>
      <c r="C1320" s="38" t="n"/>
      <c r="D1320" s="38" t="n"/>
      <c r="E1320" s="38" t="n"/>
      <c r="F1320" s="38" t="n"/>
      <c r="G1320" s="38" t="n"/>
    </row>
    <row r="1321">
      <c r="A1321" s="34" t="n"/>
      <c r="C1321" s="38" t="n"/>
      <c r="D1321" s="38" t="n"/>
      <c r="E1321" s="38" t="n"/>
      <c r="F1321" s="38" t="n"/>
      <c r="G1321" s="38" t="n"/>
    </row>
    <row r="1322">
      <c r="A1322" s="34" t="n"/>
      <c r="C1322" s="38" t="n"/>
      <c r="D1322" s="38" t="n"/>
      <c r="E1322" s="38" t="n"/>
      <c r="F1322" s="38" t="n"/>
      <c r="G1322" s="38" t="n"/>
    </row>
    <row r="1323">
      <c r="A1323" s="34" t="n"/>
      <c r="C1323" s="38" t="n"/>
      <c r="D1323" s="38" t="n"/>
      <c r="E1323" s="38" t="n"/>
      <c r="F1323" s="38" t="n"/>
      <c r="G1323" s="38" t="n"/>
    </row>
    <row r="1324">
      <c r="A1324" s="34" t="n"/>
      <c r="C1324" s="38" t="n"/>
      <c r="D1324" s="38" t="n"/>
      <c r="E1324" s="38" t="n"/>
      <c r="F1324" s="38" t="n"/>
      <c r="G1324" s="38" t="n"/>
    </row>
    <row r="1325">
      <c r="A1325" s="34" t="n"/>
      <c r="C1325" s="38" t="n"/>
      <c r="D1325" s="38" t="n"/>
      <c r="E1325" s="38" t="n"/>
      <c r="F1325" s="38" t="n"/>
      <c r="G1325" s="38" t="n"/>
    </row>
    <row r="1326">
      <c r="A1326" s="34" t="n"/>
      <c r="C1326" s="38" t="n"/>
      <c r="D1326" s="38" t="n"/>
      <c r="E1326" s="38" t="n"/>
      <c r="F1326" s="38" t="n"/>
      <c r="G1326" s="38" t="n"/>
    </row>
    <row r="1327">
      <c r="A1327" s="34" t="n"/>
      <c r="C1327" s="38" t="n"/>
      <c r="D1327" s="38" t="n"/>
      <c r="E1327" s="38" t="n"/>
      <c r="F1327" s="38" t="n"/>
      <c r="G1327" s="38" t="n"/>
    </row>
    <row r="1328">
      <c r="A1328" s="34" t="n"/>
      <c r="C1328" s="38" t="n"/>
      <c r="D1328" s="38" t="n"/>
      <c r="E1328" s="38" t="n"/>
      <c r="F1328" s="38" t="n"/>
      <c r="G1328" s="38" t="n"/>
    </row>
    <row r="1329">
      <c r="A1329" s="34" t="n"/>
      <c r="C1329" s="38" t="n"/>
      <c r="D1329" s="38" t="n"/>
      <c r="E1329" s="38" t="n"/>
      <c r="F1329" s="38" t="n"/>
      <c r="G1329" s="38" t="n"/>
    </row>
    <row r="1330">
      <c r="A1330" s="34" t="n"/>
      <c r="C1330" s="38" t="n"/>
      <c r="D1330" s="38" t="n"/>
      <c r="E1330" s="38" t="n"/>
      <c r="F1330" s="38" t="n"/>
      <c r="G1330" s="38" t="n"/>
    </row>
    <row r="1331">
      <c r="A1331" s="34" t="n"/>
      <c r="C1331" s="38" t="n"/>
      <c r="D1331" s="38" t="n"/>
      <c r="E1331" s="38" t="n"/>
      <c r="F1331" s="38" t="n"/>
      <c r="G1331" s="38" t="n"/>
    </row>
    <row r="1332">
      <c r="A1332" s="34" t="n"/>
      <c r="C1332" s="38" t="n"/>
      <c r="D1332" s="38" t="n"/>
      <c r="E1332" s="38" t="n"/>
      <c r="F1332" s="38" t="n"/>
      <c r="G1332" s="38" t="n"/>
    </row>
    <row r="1333">
      <c r="A1333" s="34" t="n"/>
      <c r="C1333" s="38" t="n"/>
      <c r="D1333" s="38" t="n"/>
      <c r="E1333" s="38" t="n"/>
      <c r="F1333" s="38" t="n"/>
      <c r="G1333" s="38" t="n"/>
    </row>
    <row r="1334">
      <c r="A1334" s="34" t="n"/>
      <c r="C1334" s="38" t="n"/>
      <c r="D1334" s="38" t="n"/>
      <c r="E1334" s="38" t="n"/>
      <c r="F1334" s="38" t="n"/>
      <c r="G1334" s="38" t="n"/>
    </row>
    <row r="1335">
      <c r="A1335" s="34" t="n"/>
      <c r="C1335" s="38" t="n"/>
      <c r="D1335" s="38" t="n"/>
      <c r="E1335" s="38" t="n"/>
      <c r="F1335" s="38" t="n"/>
      <c r="G1335" s="38" t="n"/>
    </row>
    <row r="1336">
      <c r="A1336" s="34" t="n"/>
      <c r="C1336" s="38" t="n"/>
      <c r="D1336" s="38" t="n"/>
      <c r="E1336" s="38" t="n"/>
      <c r="F1336" s="38" t="n"/>
      <c r="G1336" s="38" t="n"/>
    </row>
    <row r="1337">
      <c r="A1337" s="34" t="n"/>
      <c r="C1337" s="38" t="n"/>
      <c r="D1337" s="38" t="n"/>
      <c r="E1337" s="38" t="n"/>
      <c r="F1337" s="38" t="n"/>
      <c r="G1337" s="38" t="n"/>
    </row>
    <row r="1338">
      <c r="A1338" s="34" t="n"/>
      <c r="C1338" s="38" t="n"/>
      <c r="D1338" s="38" t="n"/>
      <c r="E1338" s="38" t="n"/>
      <c r="F1338" s="38" t="n"/>
      <c r="G1338" s="38" t="n"/>
    </row>
    <row r="1339">
      <c r="A1339" s="34" t="n"/>
      <c r="C1339" s="38" t="n"/>
      <c r="D1339" s="38" t="n"/>
      <c r="E1339" s="38" t="n"/>
      <c r="F1339" s="38" t="n"/>
      <c r="G1339" s="38" t="n"/>
    </row>
    <row r="1340">
      <c r="A1340" s="34" t="n"/>
      <c r="C1340" s="38" t="n"/>
      <c r="D1340" s="38" t="n"/>
      <c r="E1340" s="38" t="n"/>
      <c r="F1340" s="38" t="n"/>
      <c r="G1340" s="38" t="n"/>
    </row>
    <row r="1341">
      <c r="A1341" s="34" t="n"/>
      <c r="C1341" s="38" t="n"/>
      <c r="D1341" s="38" t="n"/>
      <c r="E1341" s="38" t="n"/>
      <c r="F1341" s="38" t="n"/>
      <c r="G1341" s="38" t="n"/>
    </row>
    <row r="1342">
      <c r="A1342" s="34" t="n"/>
      <c r="C1342" s="38" t="n"/>
      <c r="D1342" s="38" t="n"/>
      <c r="E1342" s="38" t="n"/>
      <c r="F1342" s="38" t="n"/>
      <c r="G1342" s="38" t="n"/>
    </row>
    <row r="1343">
      <c r="A1343" s="34" t="n"/>
      <c r="C1343" s="38" t="n"/>
      <c r="D1343" s="38" t="n"/>
      <c r="E1343" s="38" t="n"/>
      <c r="F1343" s="38" t="n"/>
      <c r="G1343" s="38" t="n"/>
    </row>
    <row r="1344">
      <c r="A1344" s="34" t="n"/>
      <c r="C1344" s="38" t="n"/>
      <c r="D1344" s="38" t="n"/>
      <c r="E1344" s="38" t="n"/>
      <c r="F1344" s="38" t="n"/>
      <c r="G1344" s="38" t="n"/>
    </row>
    <row r="1345">
      <c r="A1345" s="34" t="n"/>
      <c r="C1345" s="38" t="n"/>
      <c r="D1345" s="38" t="n"/>
      <c r="E1345" s="38" t="n"/>
      <c r="F1345" s="38" t="n"/>
      <c r="G1345" s="38" t="n"/>
    </row>
    <row r="1346">
      <c r="A1346" s="34" t="n"/>
      <c r="C1346" s="38" t="n"/>
      <c r="D1346" s="38" t="n"/>
      <c r="E1346" s="38" t="n"/>
      <c r="F1346" s="38" t="n"/>
      <c r="G1346" s="38" t="n"/>
    </row>
    <row r="1347">
      <c r="A1347" s="34" t="n"/>
      <c r="C1347" s="38" t="n"/>
      <c r="D1347" s="38" t="n"/>
      <c r="E1347" s="38" t="n"/>
      <c r="F1347" s="38" t="n"/>
      <c r="G1347" s="38" t="n"/>
    </row>
    <row r="1348">
      <c r="A1348" s="34" t="n"/>
      <c r="C1348" s="38" t="n"/>
      <c r="D1348" s="38" t="n"/>
      <c r="E1348" s="38" t="n"/>
      <c r="F1348" s="38" t="n"/>
      <c r="G1348" s="38" t="n"/>
    </row>
    <row r="1349">
      <c r="A1349" s="34" t="n"/>
      <c r="C1349" s="38" t="n"/>
      <c r="D1349" s="38" t="n"/>
      <c r="E1349" s="38" t="n"/>
      <c r="F1349" s="38" t="n"/>
      <c r="G1349" s="38" t="n"/>
    </row>
    <row r="1350">
      <c r="A1350" s="34" t="n"/>
      <c r="C1350" s="38" t="n"/>
      <c r="D1350" s="38" t="n"/>
      <c r="E1350" s="38" t="n"/>
      <c r="F1350" s="38" t="n"/>
      <c r="G1350" s="38" t="n"/>
    </row>
    <row r="1351">
      <c r="A1351" s="34" t="n"/>
      <c r="C1351" s="38" t="n"/>
      <c r="D1351" s="38" t="n"/>
      <c r="E1351" s="38" t="n"/>
      <c r="F1351" s="38" t="n"/>
      <c r="G1351" s="38" t="n"/>
    </row>
    <row r="1352">
      <c r="A1352" s="34" t="n"/>
      <c r="C1352" s="38" t="n"/>
      <c r="D1352" s="38" t="n"/>
      <c r="E1352" s="38" t="n"/>
      <c r="F1352" s="38" t="n"/>
      <c r="G1352" s="38" t="n"/>
    </row>
    <row r="1353">
      <c r="A1353" s="34" t="n"/>
      <c r="C1353" s="38" t="n"/>
      <c r="D1353" s="38" t="n"/>
      <c r="E1353" s="38" t="n"/>
      <c r="F1353" s="38" t="n"/>
      <c r="G1353" s="38" t="n"/>
    </row>
    <row r="1354">
      <c r="A1354" s="34" t="n"/>
      <c r="C1354" s="38" t="n"/>
      <c r="D1354" s="38" t="n"/>
      <c r="E1354" s="38" t="n"/>
      <c r="F1354" s="38" t="n"/>
      <c r="G1354" s="38" t="n"/>
    </row>
    <row r="1355">
      <c r="A1355" s="34" t="n"/>
      <c r="C1355" s="38" t="n"/>
      <c r="D1355" s="38" t="n"/>
      <c r="E1355" s="38" t="n"/>
      <c r="F1355" s="38" t="n"/>
      <c r="G1355" s="38" t="n"/>
    </row>
    <row r="1356">
      <c r="A1356" s="34" t="n"/>
      <c r="C1356" s="38" t="n"/>
      <c r="D1356" s="38" t="n"/>
      <c r="E1356" s="38" t="n"/>
      <c r="F1356" s="38" t="n"/>
      <c r="G1356" s="38" t="n"/>
    </row>
    <row r="1357">
      <c r="A1357" s="34" t="n"/>
      <c r="C1357" s="38" t="n"/>
      <c r="D1357" s="38" t="n"/>
      <c r="E1357" s="38" t="n"/>
      <c r="F1357" s="38" t="n"/>
      <c r="G1357" s="38" t="n"/>
    </row>
    <row r="1358">
      <c r="A1358" s="34" t="n"/>
      <c r="C1358" s="38" t="n"/>
      <c r="D1358" s="38" t="n"/>
      <c r="E1358" s="38" t="n"/>
      <c r="F1358" s="38" t="n"/>
      <c r="G1358" s="38" t="n"/>
    </row>
    <row r="1359">
      <c r="A1359" s="34" t="n"/>
      <c r="C1359" s="38" t="n"/>
      <c r="D1359" s="38" t="n"/>
      <c r="E1359" s="38" t="n"/>
      <c r="F1359" s="38" t="n"/>
      <c r="G1359" s="38" t="n"/>
    </row>
    <row r="1360">
      <c r="A1360" s="34" t="n"/>
      <c r="C1360" s="38" t="n"/>
      <c r="D1360" s="38" t="n"/>
      <c r="E1360" s="38" t="n"/>
      <c r="F1360" s="38" t="n"/>
      <c r="G1360" s="38" t="n"/>
    </row>
    <row r="1361">
      <c r="A1361" s="34" t="n"/>
      <c r="C1361" s="38" t="n"/>
      <c r="D1361" s="38" t="n"/>
      <c r="E1361" s="38" t="n"/>
      <c r="F1361" s="38" t="n"/>
      <c r="G1361" s="38" t="n"/>
    </row>
    <row r="1362">
      <c r="A1362" s="34" t="n"/>
      <c r="C1362" s="38" t="n"/>
      <c r="D1362" s="38" t="n"/>
      <c r="E1362" s="38" t="n"/>
      <c r="F1362" s="38" t="n"/>
      <c r="G1362" s="38" t="n"/>
    </row>
    <row r="1363">
      <c r="A1363" s="34" t="n"/>
      <c r="C1363" s="38" t="n"/>
      <c r="D1363" s="38" t="n"/>
      <c r="E1363" s="38" t="n"/>
      <c r="F1363" s="38" t="n"/>
      <c r="G1363" s="38" t="n"/>
    </row>
    <row r="1364">
      <c r="A1364" s="34" t="n"/>
      <c r="C1364" s="38" t="n"/>
      <c r="D1364" s="38" t="n"/>
      <c r="E1364" s="38" t="n"/>
      <c r="F1364" s="38" t="n"/>
      <c r="G1364" s="38" t="n"/>
    </row>
    <row r="1365">
      <c r="A1365" s="34" t="n"/>
      <c r="C1365" s="38" t="n"/>
      <c r="D1365" s="38" t="n"/>
      <c r="E1365" s="38" t="n"/>
      <c r="F1365" s="38" t="n"/>
      <c r="G1365" s="38" t="n"/>
    </row>
    <row r="1366">
      <c r="A1366" s="34" t="n"/>
      <c r="C1366" s="38" t="n"/>
      <c r="D1366" s="38" t="n"/>
      <c r="E1366" s="38" t="n"/>
      <c r="F1366" s="38" t="n"/>
      <c r="G1366" s="38" t="n"/>
    </row>
    <row r="1367">
      <c r="A1367" s="34" t="n"/>
      <c r="C1367" s="38" t="n"/>
      <c r="D1367" s="38" t="n"/>
      <c r="E1367" s="38" t="n"/>
      <c r="F1367" s="38" t="n"/>
      <c r="G1367" s="38" t="n"/>
    </row>
    <row r="1368">
      <c r="A1368" s="34" t="n"/>
      <c r="C1368" s="38" t="n"/>
      <c r="D1368" s="38" t="n"/>
      <c r="E1368" s="38" t="n"/>
      <c r="F1368" s="38" t="n"/>
      <c r="G1368" s="38" t="n"/>
    </row>
    <row r="1369">
      <c r="A1369" s="34" t="n"/>
      <c r="C1369" s="38" t="n"/>
      <c r="D1369" s="38" t="n"/>
      <c r="E1369" s="38" t="n"/>
      <c r="F1369" s="38" t="n"/>
      <c r="G1369" s="38" t="n"/>
    </row>
    <row r="1370">
      <c r="A1370" s="34" t="n"/>
      <c r="C1370" s="38" t="n"/>
      <c r="D1370" s="38" t="n"/>
      <c r="E1370" s="38" t="n"/>
      <c r="F1370" s="38" t="n"/>
      <c r="G1370" s="38" t="n"/>
    </row>
    <row r="1371">
      <c r="A1371" s="34" t="n"/>
      <c r="C1371" s="38" t="n"/>
      <c r="D1371" s="38" t="n"/>
      <c r="E1371" s="38" t="n"/>
      <c r="F1371" s="38" t="n"/>
      <c r="G1371" s="38" t="n"/>
    </row>
    <row r="1372">
      <c r="A1372" s="34" t="n"/>
      <c r="C1372" s="38" t="n"/>
      <c r="D1372" s="38" t="n"/>
      <c r="E1372" s="38" t="n"/>
      <c r="F1372" s="38" t="n"/>
      <c r="G1372" s="38" t="n"/>
    </row>
    <row r="1373">
      <c r="A1373" s="34" t="n"/>
      <c r="C1373" s="38" t="n"/>
      <c r="D1373" s="38" t="n"/>
      <c r="E1373" s="38" t="n"/>
      <c r="F1373" s="38" t="n"/>
      <c r="G1373" s="38" t="n"/>
    </row>
    <row r="1374">
      <c r="A1374" s="34" t="n"/>
      <c r="C1374" s="38" t="n"/>
      <c r="D1374" s="38" t="n"/>
      <c r="E1374" s="38" t="n"/>
      <c r="F1374" s="38" t="n"/>
      <c r="G1374" s="38" t="n"/>
    </row>
    <row r="1375">
      <c r="A1375" s="34" t="n"/>
      <c r="C1375" s="38" t="n"/>
      <c r="D1375" s="38" t="n"/>
      <c r="E1375" s="38" t="n"/>
      <c r="F1375" s="38" t="n"/>
      <c r="G1375" s="38" t="n"/>
    </row>
    <row r="1376">
      <c r="A1376" s="34" t="n"/>
      <c r="C1376" s="38" t="n"/>
      <c r="D1376" s="38" t="n"/>
      <c r="E1376" s="38" t="n"/>
      <c r="F1376" s="38" t="n"/>
      <c r="G1376" s="38" t="n"/>
    </row>
    <row r="1377">
      <c r="A1377" s="34" t="n"/>
      <c r="C1377" s="38" t="n"/>
      <c r="D1377" s="38" t="n"/>
      <c r="E1377" s="38" t="n"/>
      <c r="F1377" s="38" t="n"/>
      <c r="G1377" s="38" t="n"/>
    </row>
    <row r="1378">
      <c r="A1378" s="34" t="n"/>
      <c r="C1378" s="38" t="n"/>
      <c r="D1378" s="38" t="n"/>
      <c r="E1378" s="38" t="n"/>
      <c r="F1378" s="38" t="n"/>
      <c r="G1378" s="38" t="n"/>
    </row>
    <row r="1379">
      <c r="A1379" s="34" t="n"/>
      <c r="C1379" s="38" t="n"/>
      <c r="D1379" s="38" t="n"/>
      <c r="E1379" s="38" t="n"/>
      <c r="F1379" s="38" t="n"/>
      <c r="G1379" s="38" t="n"/>
    </row>
    <row r="1380">
      <c r="A1380" s="34" t="n"/>
      <c r="C1380" s="38" t="n"/>
      <c r="D1380" s="38" t="n"/>
      <c r="E1380" s="38" t="n"/>
      <c r="F1380" s="38" t="n"/>
      <c r="G1380" s="38" t="n"/>
    </row>
    <row r="1381">
      <c r="A1381" s="34" t="n"/>
      <c r="C1381" s="38" t="n"/>
      <c r="D1381" s="38" t="n"/>
      <c r="E1381" s="38" t="n"/>
      <c r="F1381" s="38" t="n"/>
      <c r="G1381" s="38" t="n"/>
    </row>
    <row r="1382">
      <c r="A1382" s="34" t="n"/>
      <c r="C1382" s="38" t="n"/>
      <c r="D1382" s="38" t="n"/>
      <c r="E1382" s="38" t="n"/>
      <c r="F1382" s="38" t="n"/>
      <c r="G1382" s="38" t="n"/>
    </row>
    <row r="1383">
      <c r="A1383" s="34" t="n"/>
      <c r="C1383" s="38" t="n"/>
      <c r="D1383" s="38" t="n"/>
      <c r="E1383" s="38" t="n"/>
      <c r="F1383" s="38" t="n"/>
      <c r="G1383" s="38" t="n"/>
    </row>
    <row r="1384">
      <c r="A1384" s="34" t="n"/>
      <c r="C1384" s="38" t="n"/>
      <c r="D1384" s="38" t="n"/>
      <c r="E1384" s="38" t="n"/>
      <c r="F1384" s="38" t="n"/>
      <c r="G1384" s="38" t="n"/>
    </row>
    <row r="1385">
      <c r="A1385" s="34" t="n"/>
      <c r="C1385" s="38" t="n"/>
      <c r="D1385" s="38" t="n"/>
      <c r="E1385" s="38" t="n"/>
      <c r="F1385" s="38" t="n"/>
      <c r="G1385" s="38" t="n"/>
    </row>
    <row r="1386">
      <c r="A1386" s="34" t="n"/>
      <c r="C1386" s="38" t="n"/>
      <c r="D1386" s="38" t="n"/>
      <c r="E1386" s="38" t="n"/>
      <c r="F1386" s="38" t="n"/>
      <c r="G1386" s="38" t="n"/>
    </row>
    <row r="1387">
      <c r="A1387" s="34" t="n"/>
      <c r="C1387" s="38" t="n"/>
      <c r="D1387" s="38" t="n"/>
      <c r="E1387" s="38" t="n"/>
      <c r="F1387" s="38" t="n"/>
      <c r="G1387" s="38" t="n"/>
    </row>
    <row r="1388">
      <c r="A1388" s="34" t="n"/>
      <c r="C1388" s="38" t="n"/>
      <c r="D1388" s="38" t="n"/>
      <c r="E1388" s="38" t="n"/>
      <c r="F1388" s="38" t="n"/>
      <c r="G1388" s="38" t="n"/>
    </row>
    <row r="1389">
      <c r="A1389" s="34" t="n"/>
      <c r="C1389" s="38" t="n"/>
      <c r="D1389" s="38" t="n"/>
      <c r="E1389" s="38" t="n"/>
      <c r="F1389" s="38" t="n"/>
      <c r="G1389" s="38" t="n"/>
    </row>
    <row r="1390">
      <c r="A1390" s="34" t="n"/>
      <c r="C1390" s="38" t="n"/>
      <c r="D1390" s="38" t="n"/>
      <c r="E1390" s="38" t="n"/>
      <c r="F1390" s="38" t="n"/>
      <c r="G1390" s="38" t="n"/>
    </row>
    <row r="1391">
      <c r="A1391" s="34" t="n"/>
      <c r="C1391" s="38" t="n"/>
      <c r="D1391" s="38" t="n"/>
      <c r="E1391" s="38" t="n"/>
      <c r="F1391" s="38" t="n"/>
      <c r="G1391" s="38" t="n"/>
    </row>
    <row r="1392">
      <c r="A1392" s="34" t="n"/>
      <c r="C1392" s="38" t="n"/>
      <c r="D1392" s="38" t="n"/>
      <c r="E1392" s="38" t="n"/>
      <c r="F1392" s="38" t="n"/>
      <c r="G1392" s="38" t="n"/>
    </row>
    <row r="1393">
      <c r="A1393" s="34" t="n"/>
      <c r="C1393" s="38" t="n"/>
      <c r="D1393" s="38" t="n"/>
      <c r="E1393" s="38" t="n"/>
      <c r="F1393" s="38" t="n"/>
      <c r="G1393" s="38" t="n"/>
    </row>
    <row r="1394">
      <c r="A1394" s="34" t="n"/>
      <c r="C1394" s="38" t="n"/>
      <c r="D1394" s="38" t="n"/>
      <c r="E1394" s="38" t="n"/>
      <c r="F1394" s="38" t="n"/>
      <c r="G1394" s="38" t="n"/>
    </row>
    <row r="1395">
      <c r="A1395" s="34" t="n"/>
      <c r="C1395" s="38" t="n"/>
      <c r="D1395" s="38" t="n"/>
      <c r="E1395" s="38" t="n"/>
      <c r="F1395" s="38" t="n"/>
      <c r="G1395" s="38" t="n"/>
    </row>
    <row r="1396">
      <c r="A1396" s="34" t="n"/>
      <c r="C1396" s="38" t="n"/>
      <c r="D1396" s="38" t="n"/>
      <c r="E1396" s="38" t="n"/>
      <c r="F1396" s="38" t="n"/>
      <c r="G1396" s="38" t="n"/>
    </row>
    <row r="1397">
      <c r="A1397" s="34" t="n"/>
      <c r="C1397" s="38" t="n"/>
      <c r="D1397" s="38" t="n"/>
      <c r="E1397" s="38" t="n"/>
      <c r="F1397" s="38" t="n"/>
      <c r="G1397" s="38" t="n"/>
    </row>
    <row r="1398">
      <c r="A1398" s="34" t="n"/>
      <c r="C1398" s="38" t="n"/>
      <c r="D1398" s="38" t="n"/>
      <c r="E1398" s="38" t="n"/>
      <c r="F1398" s="38" t="n"/>
      <c r="G1398" s="38" t="n"/>
    </row>
    <row r="1399">
      <c r="A1399" s="34" t="n"/>
      <c r="C1399" s="38" t="n"/>
      <c r="D1399" s="38" t="n"/>
      <c r="E1399" s="38" t="n"/>
      <c r="F1399" s="38" t="n"/>
      <c r="G1399" s="38" t="n"/>
    </row>
    <row r="1400">
      <c r="A1400" s="34" t="n"/>
      <c r="C1400" s="38" t="n"/>
      <c r="D1400" s="38" t="n"/>
      <c r="E1400" s="38" t="n"/>
      <c r="F1400" s="38" t="n"/>
      <c r="G1400" s="38" t="n"/>
    </row>
    <row r="1401">
      <c r="A1401" s="34" t="n"/>
      <c r="C1401" s="38" t="n"/>
      <c r="D1401" s="38" t="n"/>
      <c r="E1401" s="38" t="n"/>
      <c r="F1401" s="38" t="n"/>
      <c r="G1401" s="38" t="n"/>
    </row>
    <row r="1402">
      <c r="A1402" s="34" t="n"/>
      <c r="C1402" s="38" t="n"/>
      <c r="D1402" s="38" t="n"/>
      <c r="E1402" s="38" t="n"/>
      <c r="F1402" s="38" t="n"/>
      <c r="G1402" s="38" t="n"/>
    </row>
    <row r="1403">
      <c r="A1403" s="34" t="n"/>
      <c r="C1403" s="38" t="n"/>
      <c r="D1403" s="38" t="n"/>
      <c r="E1403" s="38" t="n"/>
      <c r="F1403" s="38" t="n"/>
      <c r="G1403" s="38" t="n"/>
    </row>
    <row r="1404">
      <c r="A1404" s="34" t="n"/>
      <c r="C1404" s="38" t="n"/>
      <c r="D1404" s="38" t="n"/>
      <c r="E1404" s="38" t="n"/>
      <c r="F1404" s="38" t="n"/>
      <c r="G1404" s="38" t="n"/>
    </row>
    <row r="1405">
      <c r="A1405" s="34" t="n"/>
      <c r="C1405" s="38" t="n"/>
      <c r="D1405" s="38" t="n"/>
      <c r="E1405" s="38" t="n"/>
      <c r="F1405" s="38" t="n"/>
      <c r="G1405" s="38" t="n"/>
    </row>
    <row r="1406">
      <c r="A1406" s="34" t="n"/>
      <c r="C1406" s="38" t="n"/>
      <c r="D1406" s="38" t="n"/>
      <c r="E1406" s="38" t="n"/>
      <c r="F1406" s="38" t="n"/>
      <c r="G1406" s="38" t="n"/>
    </row>
    <row r="1407">
      <c r="A1407" s="34" t="n"/>
      <c r="C1407" s="38" t="n"/>
      <c r="D1407" s="38" t="n"/>
      <c r="E1407" s="38" t="n"/>
      <c r="F1407" s="38" t="n"/>
      <c r="G1407" s="38" t="n"/>
    </row>
    <row r="1408">
      <c r="A1408" s="34" t="n"/>
      <c r="C1408" s="38" t="n"/>
      <c r="D1408" s="38" t="n"/>
      <c r="E1408" s="38" t="n"/>
      <c r="F1408" s="38" t="n"/>
      <c r="G1408" s="38" t="n"/>
    </row>
    <row r="1409">
      <c r="A1409" s="34" t="n"/>
      <c r="C1409" s="38" t="n"/>
      <c r="D1409" s="38" t="n"/>
      <c r="E1409" s="38" t="n"/>
      <c r="F1409" s="38" t="n"/>
      <c r="G1409" s="38" t="n"/>
    </row>
    <row r="1410">
      <c r="A1410" s="34" t="n"/>
      <c r="C1410" s="38" t="n"/>
      <c r="D1410" s="38" t="n"/>
      <c r="E1410" s="38" t="n"/>
      <c r="F1410" s="38" t="n"/>
      <c r="G1410" s="38" t="n"/>
    </row>
    <row r="1411">
      <c r="A1411" s="34" t="n"/>
      <c r="C1411" s="38" t="n"/>
      <c r="D1411" s="38" t="n"/>
      <c r="E1411" s="38" t="n"/>
      <c r="F1411" s="38" t="n"/>
      <c r="G1411" s="38" t="n"/>
    </row>
    <row r="1412">
      <c r="A1412" s="34" t="n"/>
      <c r="C1412" s="38" t="n"/>
      <c r="D1412" s="38" t="n"/>
      <c r="E1412" s="38" t="n"/>
      <c r="F1412" s="38" t="n"/>
      <c r="G1412" s="38" t="n"/>
    </row>
    <row r="1413">
      <c r="A1413" s="34" t="n"/>
      <c r="C1413" s="38" t="n"/>
      <c r="D1413" s="38" t="n"/>
      <c r="E1413" s="38" t="n"/>
      <c r="F1413" s="38" t="n"/>
      <c r="G1413" s="38" t="n"/>
    </row>
    <row r="1414">
      <c r="A1414" s="34" t="n"/>
      <c r="C1414" s="38" t="n"/>
      <c r="D1414" s="38" t="n"/>
      <c r="E1414" s="38" t="n"/>
      <c r="F1414" s="38" t="n"/>
      <c r="G1414" s="38" t="n"/>
    </row>
    <row r="1415">
      <c r="A1415" s="34" t="n"/>
      <c r="C1415" s="38" t="n"/>
      <c r="D1415" s="38" t="n"/>
      <c r="E1415" s="38" t="n"/>
      <c r="F1415" s="38" t="n"/>
      <c r="G1415" s="38" t="n"/>
    </row>
    <row r="1416">
      <c r="A1416" s="34" t="n"/>
      <c r="C1416" s="38" t="n"/>
      <c r="D1416" s="38" t="n"/>
      <c r="E1416" s="38" t="n"/>
      <c r="F1416" s="38" t="n"/>
      <c r="G1416" s="38" t="n"/>
    </row>
    <row r="1417">
      <c r="A1417" s="34" t="n"/>
      <c r="C1417" s="38" t="n"/>
      <c r="D1417" s="38" t="n"/>
      <c r="E1417" s="38" t="n"/>
      <c r="F1417" s="38" t="n"/>
      <c r="G1417" s="38" t="n"/>
    </row>
    <row r="1418">
      <c r="A1418" s="34" t="n"/>
      <c r="C1418" s="38" t="n"/>
      <c r="D1418" s="38" t="n"/>
      <c r="E1418" s="38" t="n"/>
      <c r="F1418" s="38" t="n"/>
      <c r="G1418" s="38" t="n"/>
    </row>
    <row r="1419">
      <c r="A1419" s="34" t="n"/>
      <c r="C1419" s="38" t="n"/>
      <c r="D1419" s="38" t="n"/>
      <c r="E1419" s="38" t="n"/>
      <c r="F1419" s="38" t="n"/>
      <c r="G1419" s="38" t="n"/>
    </row>
    <row r="1420">
      <c r="A1420" s="34" t="n"/>
      <c r="C1420" s="38" t="n"/>
      <c r="D1420" s="38" t="n"/>
      <c r="E1420" s="38" t="n"/>
      <c r="F1420" s="38" t="n"/>
      <c r="G1420" s="38" t="n"/>
    </row>
    <row r="1421">
      <c r="A1421" s="34" t="n"/>
      <c r="C1421" s="38" t="n"/>
      <c r="D1421" s="38" t="n"/>
      <c r="E1421" s="38" t="n"/>
      <c r="F1421" s="38" t="n"/>
      <c r="G1421" s="38" t="n"/>
    </row>
    <row r="1422">
      <c r="A1422" s="34" t="n"/>
      <c r="C1422" s="38" t="n"/>
      <c r="D1422" s="38" t="n"/>
      <c r="E1422" s="38" t="n"/>
      <c r="F1422" s="38" t="n"/>
      <c r="G1422" s="38" t="n"/>
    </row>
    <row r="1423">
      <c r="A1423" s="34" t="n"/>
      <c r="C1423" s="38" t="n"/>
      <c r="D1423" s="38" t="n"/>
      <c r="E1423" s="38" t="n"/>
      <c r="F1423" s="38" t="n"/>
      <c r="G1423" s="38" t="n"/>
    </row>
    <row r="1424">
      <c r="A1424" s="34" t="n"/>
      <c r="C1424" s="38" t="n"/>
      <c r="D1424" s="38" t="n"/>
      <c r="E1424" s="38" t="n"/>
      <c r="F1424" s="38" t="n"/>
      <c r="G1424" s="38" t="n"/>
    </row>
    <row r="1425">
      <c r="A1425" s="34" t="n"/>
      <c r="C1425" s="38" t="n"/>
      <c r="D1425" s="38" t="n"/>
      <c r="E1425" s="38" t="n"/>
      <c r="F1425" s="38" t="n"/>
      <c r="G1425" s="38" t="n"/>
    </row>
    <row r="1426">
      <c r="A1426" s="34" t="n"/>
      <c r="C1426" s="38" t="n"/>
      <c r="D1426" s="38" t="n"/>
      <c r="E1426" s="38" t="n"/>
      <c r="F1426" s="38" t="n"/>
      <c r="G1426" s="38" t="n"/>
    </row>
    <row r="1427">
      <c r="A1427" s="34" t="n"/>
      <c r="C1427" s="38" t="n"/>
      <c r="D1427" s="38" t="n"/>
      <c r="E1427" s="38" t="n"/>
      <c r="F1427" s="38" t="n"/>
      <c r="G1427" s="38" t="n"/>
    </row>
    <row r="1428">
      <c r="A1428" s="34" t="n"/>
      <c r="C1428" s="38" t="n"/>
      <c r="D1428" s="38" t="n"/>
      <c r="E1428" s="38" t="n"/>
      <c r="F1428" s="38" t="n"/>
      <c r="G1428" s="38" t="n"/>
    </row>
    <row r="1429">
      <c r="A1429" s="34" t="n"/>
      <c r="C1429" s="38" t="n"/>
      <c r="D1429" s="38" t="n"/>
      <c r="E1429" s="38" t="n"/>
      <c r="F1429" s="38" t="n"/>
      <c r="G1429" s="38" t="n"/>
    </row>
    <row r="1430">
      <c r="A1430" s="34" t="n"/>
      <c r="C1430" s="38" t="n"/>
      <c r="D1430" s="38" t="n"/>
      <c r="E1430" s="38" t="n"/>
      <c r="F1430" s="38" t="n"/>
      <c r="G1430" s="38" t="n"/>
    </row>
    <row r="1431">
      <c r="A1431" s="34" t="n"/>
      <c r="C1431" s="38" t="n"/>
      <c r="D1431" s="38" t="n"/>
      <c r="E1431" s="38" t="n"/>
      <c r="F1431" s="38" t="n"/>
      <c r="G1431" s="38" t="n"/>
    </row>
    <row r="1432">
      <c r="A1432" s="34" t="n"/>
      <c r="C1432" s="38" t="n"/>
      <c r="D1432" s="38" t="n"/>
      <c r="E1432" s="38" t="n"/>
      <c r="F1432" s="38" t="n"/>
      <c r="G1432" s="38" t="n"/>
    </row>
    <row r="1433">
      <c r="A1433" s="34" t="n"/>
      <c r="C1433" s="38" t="n"/>
      <c r="D1433" s="38" t="n"/>
      <c r="E1433" s="38" t="n"/>
      <c r="F1433" s="38" t="n"/>
      <c r="G1433" s="38" t="n"/>
    </row>
    <row r="1434">
      <c r="A1434" s="34" t="n"/>
      <c r="C1434" s="38" t="n"/>
      <c r="D1434" s="38" t="n"/>
      <c r="E1434" s="38" t="n"/>
      <c r="F1434" s="38" t="n"/>
      <c r="G1434" s="38" t="n"/>
    </row>
    <row r="1435">
      <c r="A1435" s="34" t="n"/>
      <c r="C1435" s="38" t="n"/>
      <c r="D1435" s="38" t="n"/>
      <c r="E1435" s="38" t="n"/>
      <c r="F1435" s="38" t="n"/>
      <c r="G1435" s="38" t="n"/>
    </row>
    <row r="1436">
      <c r="A1436" s="34" t="n"/>
      <c r="C1436" s="38" t="n"/>
      <c r="D1436" s="38" t="n"/>
      <c r="E1436" s="38" t="n"/>
      <c r="F1436" s="38" t="n"/>
      <c r="G1436" s="38" t="n"/>
    </row>
    <row r="1437">
      <c r="A1437" s="34" t="n"/>
      <c r="C1437" s="38" t="n"/>
      <c r="D1437" s="38" t="n"/>
      <c r="E1437" s="38" t="n"/>
      <c r="F1437" s="38" t="n"/>
      <c r="G1437" s="38" t="n"/>
    </row>
    <row r="1438">
      <c r="A1438" s="34" t="n"/>
      <c r="C1438" s="38" t="n"/>
      <c r="D1438" s="38" t="n"/>
      <c r="E1438" s="38" t="n"/>
      <c r="F1438" s="38" t="n"/>
      <c r="G1438" s="38" t="n"/>
    </row>
    <row r="1439">
      <c r="A1439" s="34" t="n"/>
      <c r="C1439" s="38" t="n"/>
      <c r="D1439" s="38" t="n"/>
      <c r="E1439" s="38" t="n"/>
      <c r="F1439" s="38" t="n"/>
      <c r="G1439" s="38" t="n"/>
    </row>
    <row r="1440">
      <c r="A1440" s="34" t="n"/>
      <c r="C1440" s="38" t="n"/>
      <c r="D1440" s="38" t="n"/>
      <c r="E1440" s="38" t="n"/>
      <c r="F1440" s="38" t="n"/>
      <c r="G1440" s="38" t="n"/>
    </row>
    <row r="1441">
      <c r="A1441" s="34" t="n"/>
      <c r="C1441" s="38" t="n"/>
      <c r="D1441" s="38" t="n"/>
      <c r="E1441" s="38" t="n"/>
      <c r="F1441" s="38" t="n"/>
      <c r="G1441" s="38" t="n"/>
    </row>
    <row r="1442">
      <c r="A1442" s="34" t="n"/>
      <c r="C1442" s="38" t="n"/>
      <c r="D1442" s="38" t="n"/>
      <c r="E1442" s="38" t="n"/>
      <c r="F1442" s="38" t="n"/>
      <c r="G1442" s="38" t="n"/>
    </row>
    <row r="1443">
      <c r="A1443" s="34" t="n"/>
      <c r="C1443" s="38" t="n"/>
      <c r="D1443" s="38" t="n"/>
      <c r="E1443" s="38" t="n"/>
      <c r="F1443" s="38" t="n"/>
      <c r="G1443" s="38" t="n"/>
    </row>
    <row r="1444">
      <c r="A1444" s="34" t="n"/>
      <c r="C1444" s="38" t="n"/>
      <c r="D1444" s="38" t="n"/>
      <c r="E1444" s="38" t="n"/>
      <c r="F1444" s="38" t="n"/>
      <c r="G1444" s="38" t="n"/>
    </row>
    <row r="1445">
      <c r="A1445" s="34" t="n"/>
      <c r="C1445" s="38" t="n"/>
      <c r="D1445" s="38" t="n"/>
      <c r="E1445" s="38" t="n"/>
      <c r="F1445" s="38" t="n"/>
      <c r="G1445" s="38" t="n"/>
    </row>
    <row r="1446">
      <c r="A1446" s="34" t="n"/>
      <c r="C1446" s="38" t="n"/>
      <c r="D1446" s="38" t="n"/>
      <c r="E1446" s="38" t="n"/>
      <c r="F1446" s="38" t="n"/>
      <c r="G1446" s="38" t="n"/>
    </row>
    <row r="1447">
      <c r="A1447" s="34" t="n"/>
      <c r="C1447" s="38" t="n"/>
      <c r="D1447" s="38" t="n"/>
      <c r="E1447" s="38" t="n"/>
      <c r="F1447" s="38" t="n"/>
      <c r="G1447" s="38" t="n"/>
    </row>
    <row r="1448">
      <c r="A1448" s="34" t="n"/>
      <c r="C1448" s="38" t="n"/>
      <c r="D1448" s="38" t="n"/>
      <c r="E1448" s="38" t="n"/>
      <c r="F1448" s="38" t="n"/>
      <c r="G1448" s="38" t="n"/>
    </row>
    <row r="1449">
      <c r="A1449" s="34" t="n"/>
      <c r="C1449" s="38" t="n"/>
      <c r="D1449" s="38" t="n"/>
      <c r="E1449" s="38" t="n"/>
      <c r="F1449" s="38" t="n"/>
      <c r="G1449" s="38" t="n"/>
    </row>
    <row r="1450">
      <c r="A1450" s="34" t="n"/>
      <c r="C1450" s="38" t="n"/>
      <c r="D1450" s="38" t="n"/>
      <c r="E1450" s="38" t="n"/>
      <c r="F1450" s="38" t="n"/>
      <c r="G1450" s="38" t="n"/>
    </row>
    <row r="1451">
      <c r="A1451" s="34" t="n"/>
      <c r="C1451" s="38" t="n"/>
      <c r="D1451" s="38" t="n"/>
      <c r="E1451" s="38" t="n"/>
      <c r="F1451" s="38" t="n"/>
      <c r="G1451" s="38" t="n"/>
    </row>
    <row r="1452">
      <c r="A1452" s="34" t="n"/>
      <c r="C1452" s="38" t="n"/>
      <c r="D1452" s="38" t="n"/>
      <c r="E1452" s="38" t="n"/>
      <c r="F1452" s="38" t="n"/>
      <c r="G1452" s="38" t="n"/>
    </row>
    <row r="1453">
      <c r="A1453" s="34" t="n"/>
      <c r="C1453" s="38" t="n"/>
      <c r="D1453" s="38" t="n"/>
      <c r="E1453" s="38" t="n"/>
      <c r="F1453" s="38" t="n"/>
      <c r="G1453" s="38" t="n"/>
    </row>
    <row r="1454">
      <c r="A1454" s="34" t="n"/>
      <c r="C1454" s="38" t="n"/>
      <c r="D1454" s="38" t="n"/>
      <c r="E1454" s="38" t="n"/>
      <c r="F1454" s="38" t="n"/>
      <c r="G1454" s="38" t="n"/>
    </row>
    <row r="1455">
      <c r="A1455" s="34" t="n"/>
      <c r="C1455" s="38" t="n"/>
      <c r="D1455" s="38" t="n"/>
      <c r="E1455" s="38" t="n"/>
      <c r="F1455" s="38" t="n"/>
      <c r="G1455" s="38" t="n"/>
    </row>
    <row r="1456">
      <c r="A1456" s="34" t="n"/>
      <c r="C1456" s="38" t="n"/>
      <c r="D1456" s="38" t="n"/>
      <c r="E1456" s="38" t="n"/>
      <c r="F1456" s="38" t="n"/>
      <c r="G1456" s="38" t="n"/>
    </row>
    <row r="1457">
      <c r="A1457" s="34" t="n"/>
      <c r="C1457" s="38" t="n"/>
      <c r="D1457" s="38" t="n"/>
      <c r="E1457" s="38" t="n"/>
      <c r="F1457" s="38" t="n"/>
      <c r="G1457" s="38" t="n"/>
    </row>
    <row r="1458">
      <c r="A1458" s="34" t="n"/>
      <c r="C1458" s="38" t="n"/>
      <c r="D1458" s="38" t="n"/>
      <c r="E1458" s="38" t="n"/>
      <c r="F1458" s="38" t="n"/>
      <c r="G1458" s="38" t="n"/>
    </row>
    <row r="1459">
      <c r="A1459" s="34" t="n"/>
      <c r="C1459" s="38" t="n"/>
      <c r="D1459" s="38" t="n"/>
      <c r="E1459" s="38" t="n"/>
      <c r="F1459" s="38" t="n"/>
      <c r="G1459" s="38" t="n"/>
    </row>
    <row r="1460">
      <c r="A1460" s="34" t="n"/>
      <c r="C1460" s="38" t="n"/>
      <c r="D1460" s="38" t="n"/>
      <c r="E1460" s="38" t="n"/>
      <c r="F1460" s="38" t="n"/>
      <c r="G1460" s="38" t="n"/>
    </row>
    <row r="1461">
      <c r="A1461" s="34" t="n"/>
      <c r="C1461" s="38" t="n"/>
      <c r="D1461" s="38" t="n"/>
      <c r="E1461" s="38" t="n"/>
      <c r="F1461" s="38" t="n"/>
      <c r="G1461" s="38" t="n"/>
    </row>
    <row r="1462">
      <c r="A1462" s="34" t="n"/>
      <c r="C1462" s="38" t="n"/>
      <c r="D1462" s="38" t="n"/>
      <c r="E1462" s="38" t="n"/>
      <c r="F1462" s="38" t="n"/>
      <c r="G1462" s="38" t="n"/>
    </row>
    <row r="1463">
      <c r="A1463" s="34" t="n"/>
      <c r="C1463" s="38" t="n"/>
      <c r="D1463" s="38" t="n"/>
      <c r="E1463" s="38" t="n"/>
      <c r="F1463" s="38" t="n"/>
      <c r="G1463" s="38" t="n"/>
    </row>
    <row r="1464">
      <c r="A1464" s="34" t="n"/>
      <c r="C1464" s="38" t="n"/>
      <c r="D1464" s="38" t="n"/>
      <c r="E1464" s="38" t="n"/>
      <c r="F1464" s="38" t="n"/>
      <c r="G1464" s="38" t="n"/>
    </row>
    <row r="1465">
      <c r="A1465" s="34" t="n"/>
      <c r="C1465" s="38" t="n"/>
      <c r="D1465" s="38" t="n"/>
      <c r="E1465" s="38" t="n"/>
      <c r="F1465" s="38" t="n"/>
      <c r="G1465" s="38" t="n"/>
    </row>
    <row r="1466">
      <c r="A1466" s="34" t="n"/>
      <c r="C1466" s="38" t="n"/>
      <c r="D1466" s="38" t="n"/>
      <c r="E1466" s="38" t="n"/>
      <c r="F1466" s="38" t="n"/>
      <c r="G1466" s="38" t="n"/>
    </row>
    <row r="1467">
      <c r="A1467" s="34" t="n"/>
      <c r="C1467" s="38" t="n"/>
      <c r="D1467" s="38" t="n"/>
      <c r="E1467" s="38" t="n"/>
      <c r="F1467" s="38" t="n"/>
      <c r="G1467" s="38" t="n"/>
    </row>
    <row r="1468">
      <c r="A1468" s="34" t="n"/>
      <c r="C1468" s="38" t="n"/>
      <c r="D1468" s="38" t="n"/>
      <c r="E1468" s="38" t="n"/>
      <c r="F1468" s="38" t="n"/>
      <c r="G1468" s="38" t="n"/>
    </row>
    <row r="1469">
      <c r="A1469" s="34" t="n"/>
      <c r="C1469" s="38" t="n"/>
      <c r="D1469" s="38" t="n"/>
      <c r="E1469" s="38" t="n"/>
      <c r="F1469" s="38" t="n"/>
      <c r="G1469" s="38" t="n"/>
    </row>
    <row r="1470">
      <c r="A1470" s="34" t="n"/>
      <c r="C1470" s="38" t="n"/>
      <c r="D1470" s="38" t="n"/>
      <c r="E1470" s="38" t="n"/>
      <c r="F1470" s="38" t="n"/>
      <c r="G1470" s="38" t="n"/>
    </row>
    <row r="1471">
      <c r="A1471" s="34" t="n"/>
      <c r="C1471" s="38" t="n"/>
      <c r="D1471" s="38" t="n"/>
      <c r="E1471" s="38" t="n"/>
      <c r="F1471" s="38" t="n"/>
      <c r="G1471" s="38" t="n"/>
    </row>
    <row r="1472">
      <c r="A1472" s="34" t="n"/>
      <c r="C1472" s="38" t="n"/>
      <c r="D1472" s="38" t="n"/>
      <c r="E1472" s="38" t="n"/>
      <c r="F1472" s="38" t="n"/>
      <c r="G1472" s="38" t="n"/>
    </row>
    <row r="1473">
      <c r="A1473" s="34" t="n"/>
      <c r="C1473" s="38" t="n"/>
      <c r="D1473" s="38" t="n"/>
      <c r="E1473" s="38" t="n"/>
      <c r="F1473" s="38" t="n"/>
      <c r="G1473" s="38" t="n"/>
    </row>
    <row r="1474">
      <c r="A1474" s="34" t="n"/>
      <c r="C1474" s="38" t="n"/>
      <c r="D1474" s="38" t="n"/>
      <c r="E1474" s="38" t="n"/>
      <c r="F1474" s="38" t="n"/>
      <c r="G1474" s="38" t="n"/>
    </row>
    <row r="1475">
      <c r="A1475" s="34" t="n"/>
      <c r="C1475" s="38" t="n"/>
      <c r="D1475" s="38" t="n"/>
      <c r="E1475" s="38" t="n"/>
      <c r="F1475" s="38" t="n"/>
      <c r="G1475" s="38" t="n"/>
    </row>
    <row r="1476">
      <c r="A1476" s="34" t="n"/>
      <c r="C1476" s="38" t="n"/>
      <c r="D1476" s="38" t="n"/>
      <c r="E1476" s="38" t="n"/>
      <c r="F1476" s="38" t="n"/>
      <c r="G1476" s="38" t="n"/>
    </row>
    <row r="1477">
      <c r="A1477" s="34" t="n"/>
      <c r="C1477" s="38" t="n"/>
      <c r="D1477" s="38" t="n"/>
      <c r="E1477" s="38" t="n"/>
      <c r="F1477" s="38" t="n"/>
      <c r="G1477" s="38" t="n"/>
    </row>
    <row r="1478">
      <c r="A1478" s="34" t="n"/>
      <c r="C1478" s="38" t="n"/>
      <c r="D1478" s="38" t="n"/>
      <c r="E1478" s="38" t="n"/>
      <c r="F1478" s="38" t="n"/>
      <c r="G1478" s="38" t="n"/>
    </row>
    <row r="1479">
      <c r="A1479" s="34" t="n"/>
      <c r="C1479" s="38" t="n"/>
      <c r="D1479" s="38" t="n"/>
      <c r="E1479" s="38" t="n"/>
      <c r="F1479" s="38" t="n"/>
      <c r="G1479" s="38" t="n"/>
    </row>
    <row r="1480">
      <c r="A1480" s="34" t="n"/>
      <c r="C1480" s="38" t="n"/>
      <c r="D1480" s="38" t="n"/>
      <c r="E1480" s="38" t="n"/>
      <c r="F1480" s="38" t="n"/>
      <c r="G1480" s="38" t="n"/>
    </row>
    <row r="1481">
      <c r="A1481" s="34" t="n"/>
      <c r="C1481" s="38" t="n"/>
      <c r="D1481" s="38" t="n"/>
      <c r="E1481" s="38" t="n"/>
      <c r="F1481" s="38" t="n"/>
      <c r="G1481" s="38" t="n"/>
    </row>
    <row r="1482">
      <c r="A1482" s="34" t="n"/>
      <c r="C1482" s="38" t="n"/>
      <c r="D1482" s="38" t="n"/>
      <c r="E1482" s="38" t="n"/>
      <c r="F1482" s="38" t="n"/>
      <c r="G1482" s="38" t="n"/>
    </row>
    <row r="1483">
      <c r="A1483" s="34" t="n"/>
      <c r="C1483" s="38" t="n"/>
      <c r="D1483" s="38" t="n"/>
      <c r="E1483" s="38" t="n"/>
      <c r="F1483" s="38" t="n"/>
      <c r="G1483" s="38" t="n"/>
    </row>
    <row r="1484">
      <c r="A1484" s="34" t="n"/>
      <c r="C1484" s="38" t="n"/>
      <c r="D1484" s="38" t="n"/>
      <c r="E1484" s="38" t="n"/>
      <c r="F1484" s="38" t="n"/>
      <c r="G1484" s="38" t="n"/>
    </row>
    <row r="1485">
      <c r="A1485" s="34" t="n"/>
      <c r="C1485" s="38" t="n"/>
      <c r="D1485" s="38" t="n"/>
      <c r="E1485" s="38" t="n"/>
      <c r="F1485" s="38" t="n"/>
      <c r="G1485" s="38" t="n"/>
    </row>
    <row r="1486">
      <c r="A1486" s="34" t="n"/>
      <c r="C1486" s="38" t="n"/>
      <c r="D1486" s="38" t="n"/>
      <c r="E1486" s="38" t="n"/>
      <c r="F1486" s="38" t="n"/>
      <c r="G1486" s="38" t="n"/>
    </row>
    <row r="1487">
      <c r="A1487" s="34" t="n"/>
      <c r="C1487" s="38" t="n"/>
      <c r="D1487" s="38" t="n"/>
      <c r="E1487" s="38" t="n"/>
      <c r="F1487" s="38" t="n"/>
      <c r="G1487" s="38" t="n"/>
    </row>
    <row r="1488">
      <c r="A1488" s="34" t="n"/>
      <c r="C1488" s="38" t="n"/>
      <c r="D1488" s="38" t="n"/>
      <c r="E1488" s="38" t="n"/>
      <c r="F1488" s="38" t="n"/>
      <c r="G1488" s="38" t="n"/>
    </row>
    <row r="1489">
      <c r="A1489" s="34" t="n"/>
      <c r="C1489" s="38" t="n"/>
      <c r="D1489" s="38" t="n"/>
      <c r="E1489" s="38" t="n"/>
      <c r="F1489" s="38" t="n"/>
      <c r="G1489" s="38" t="n"/>
    </row>
    <row r="1490">
      <c r="A1490" s="34" t="n"/>
      <c r="C1490" s="38" t="n"/>
      <c r="D1490" s="38" t="n"/>
      <c r="E1490" s="38" t="n"/>
      <c r="F1490" s="38" t="n"/>
      <c r="G1490" s="38" t="n"/>
    </row>
    <row r="1491">
      <c r="A1491" s="34" t="n"/>
      <c r="C1491" s="38" t="n"/>
      <c r="D1491" s="38" t="n"/>
      <c r="E1491" s="38" t="n"/>
      <c r="F1491" s="38" t="n"/>
      <c r="G1491" s="38" t="n"/>
    </row>
    <row r="1492">
      <c r="A1492" s="34" t="n"/>
      <c r="C1492" s="38" t="n"/>
      <c r="D1492" s="38" t="n"/>
      <c r="E1492" s="38" t="n"/>
      <c r="F1492" s="38" t="n"/>
      <c r="G1492" s="38" t="n"/>
    </row>
    <row r="1493">
      <c r="A1493" s="34" t="n"/>
      <c r="C1493" s="38" t="n"/>
      <c r="D1493" s="38" t="n"/>
      <c r="E1493" s="38" t="n"/>
      <c r="F1493" s="38" t="n"/>
      <c r="G1493" s="38" t="n"/>
    </row>
    <row r="1494">
      <c r="A1494" s="34" t="n"/>
      <c r="C1494" s="38" t="n"/>
      <c r="D1494" s="38" t="n"/>
      <c r="E1494" s="38" t="n"/>
      <c r="F1494" s="38" t="n"/>
      <c r="G1494" s="38" t="n"/>
    </row>
    <row r="1495">
      <c r="A1495" s="34" t="n"/>
      <c r="C1495" s="38" t="n"/>
      <c r="D1495" s="38" t="n"/>
      <c r="E1495" s="38" t="n"/>
      <c r="F1495" s="38" t="n"/>
      <c r="G1495" s="38" t="n"/>
    </row>
    <row r="1496">
      <c r="A1496" s="34" t="n"/>
      <c r="C1496" s="38" t="n"/>
      <c r="D1496" s="38" t="n"/>
      <c r="E1496" s="38" t="n"/>
      <c r="F1496" s="38" t="n"/>
      <c r="G1496" s="38" t="n"/>
    </row>
    <row r="1497">
      <c r="A1497" s="34" t="n"/>
      <c r="C1497" s="38" t="n"/>
      <c r="D1497" s="38" t="n"/>
      <c r="E1497" s="38" t="n"/>
      <c r="F1497" s="38" t="n"/>
      <c r="G1497" s="38" t="n"/>
    </row>
    <row r="1498">
      <c r="A1498" s="34" t="n"/>
      <c r="C1498" s="38" t="n"/>
      <c r="D1498" s="38" t="n"/>
      <c r="E1498" s="38" t="n"/>
      <c r="F1498" s="38" t="n"/>
      <c r="G1498" s="38" t="n"/>
    </row>
    <row r="1499">
      <c r="A1499" s="34" t="n"/>
      <c r="C1499" s="38" t="n"/>
      <c r="D1499" s="38" t="n"/>
      <c r="E1499" s="38" t="n"/>
      <c r="F1499" s="38" t="n"/>
      <c r="G1499" s="38" t="n"/>
    </row>
    <row r="1500">
      <c r="A1500" s="34" t="n"/>
      <c r="C1500" s="38" t="n"/>
      <c r="D1500" s="38" t="n"/>
      <c r="E1500" s="38" t="n"/>
      <c r="F1500" s="38" t="n"/>
      <c r="G1500" s="38" t="n"/>
    </row>
    <row r="1501">
      <c r="A1501" s="34" t="n"/>
      <c r="C1501" s="38" t="n"/>
      <c r="D1501" s="38" t="n"/>
      <c r="E1501" s="38" t="n"/>
      <c r="F1501" s="38" t="n"/>
      <c r="G1501" s="38" t="n"/>
    </row>
    <row r="1502">
      <c r="A1502" s="34" t="n"/>
      <c r="C1502" s="38" t="n"/>
      <c r="D1502" s="38" t="n"/>
      <c r="E1502" s="38" t="n"/>
      <c r="F1502" s="38" t="n"/>
      <c r="G1502" s="38" t="n"/>
    </row>
    <row r="1503">
      <c r="A1503" s="34" t="n"/>
      <c r="C1503" s="38" t="n"/>
      <c r="D1503" s="38" t="n"/>
      <c r="E1503" s="38" t="n"/>
      <c r="F1503" s="38" t="n"/>
      <c r="G1503" s="38" t="n"/>
    </row>
    <row r="1504">
      <c r="A1504" s="34" t="n"/>
      <c r="C1504" s="38" t="n"/>
      <c r="D1504" s="38" t="n"/>
      <c r="E1504" s="38" t="n"/>
      <c r="F1504" s="38" t="n"/>
      <c r="G1504" s="38" t="n"/>
    </row>
    <row r="1505">
      <c r="A1505" s="34" t="n"/>
      <c r="C1505" s="38" t="n"/>
      <c r="D1505" s="38" t="n"/>
      <c r="E1505" s="38" t="n"/>
      <c r="F1505" s="38" t="n"/>
      <c r="G1505" s="38" t="n"/>
    </row>
    <row r="1506">
      <c r="A1506" s="34" t="n"/>
      <c r="C1506" s="38" t="n"/>
      <c r="D1506" s="38" t="n"/>
      <c r="E1506" s="38" t="n"/>
      <c r="F1506" s="38" t="n"/>
      <c r="G1506" s="38" t="n"/>
    </row>
    <row r="1507">
      <c r="A1507" s="34" t="n"/>
      <c r="C1507" s="38" t="n"/>
      <c r="D1507" s="38" t="n"/>
      <c r="E1507" s="38" t="n"/>
      <c r="F1507" s="38" t="n"/>
      <c r="G1507" s="38" t="n"/>
    </row>
    <row r="1508">
      <c r="A1508" s="34" t="n"/>
      <c r="C1508" s="38" t="n"/>
      <c r="D1508" s="38" t="n"/>
      <c r="E1508" s="38" t="n"/>
      <c r="F1508" s="38" t="n"/>
      <c r="G1508" s="38" t="n"/>
    </row>
    <row r="1509">
      <c r="A1509" s="34" t="n"/>
      <c r="C1509" s="38" t="n"/>
      <c r="D1509" s="38" t="n"/>
      <c r="E1509" s="38" t="n"/>
      <c r="F1509" s="38" t="n"/>
      <c r="G1509" s="38" t="n"/>
    </row>
    <row r="1510">
      <c r="A1510" s="34" t="n"/>
      <c r="C1510" s="38" t="n"/>
      <c r="D1510" s="38" t="n"/>
      <c r="E1510" s="38" t="n"/>
      <c r="F1510" s="38" t="n"/>
      <c r="G1510" s="38" t="n"/>
    </row>
    <row r="1511">
      <c r="A1511" s="34" t="n"/>
      <c r="C1511" s="38" t="n"/>
      <c r="D1511" s="38" t="n"/>
      <c r="E1511" s="38" t="n"/>
      <c r="F1511" s="38" t="n"/>
      <c r="G1511" s="38" t="n"/>
    </row>
    <row r="1512">
      <c r="A1512" s="34" t="n"/>
      <c r="C1512" s="38" t="n"/>
      <c r="D1512" s="38" t="n"/>
      <c r="E1512" s="38" t="n"/>
      <c r="F1512" s="38" t="n"/>
      <c r="G1512" s="38" t="n"/>
    </row>
    <row r="1513">
      <c r="A1513" s="34" t="n"/>
      <c r="C1513" s="38" t="n"/>
      <c r="D1513" s="38" t="n"/>
      <c r="E1513" s="38" t="n"/>
      <c r="F1513" s="38" t="n"/>
      <c r="G1513" s="38" t="n"/>
    </row>
    <row r="1514">
      <c r="A1514" s="34" t="n"/>
      <c r="C1514" s="38" t="n"/>
      <c r="D1514" s="38" t="n"/>
      <c r="E1514" s="38" t="n"/>
      <c r="F1514" s="38" t="n"/>
      <c r="G1514" s="38" t="n"/>
    </row>
    <row r="1515">
      <c r="A1515" s="34" t="n"/>
      <c r="C1515" s="38" t="n"/>
      <c r="D1515" s="38" t="n"/>
      <c r="E1515" s="38" t="n"/>
      <c r="F1515" s="38" t="n"/>
      <c r="G1515" s="38" t="n"/>
    </row>
    <row r="1516">
      <c r="A1516" s="34" t="n"/>
      <c r="C1516" s="38" t="n"/>
      <c r="D1516" s="38" t="n"/>
      <c r="E1516" s="38" t="n"/>
      <c r="F1516" s="38" t="n"/>
      <c r="G1516" s="38" t="n"/>
    </row>
    <row r="1517">
      <c r="A1517" s="34" t="n"/>
      <c r="C1517" s="38" t="n"/>
      <c r="D1517" s="38" t="n"/>
      <c r="E1517" s="38" t="n"/>
      <c r="F1517" s="38" t="n"/>
      <c r="G1517" s="38" t="n"/>
    </row>
    <row r="1518">
      <c r="A1518" s="34" t="n"/>
      <c r="C1518" s="38" t="n"/>
      <c r="D1518" s="38" t="n"/>
      <c r="E1518" s="38" t="n"/>
      <c r="F1518" s="38" t="n"/>
      <c r="G1518" s="38" t="n"/>
    </row>
    <row r="1519">
      <c r="A1519" s="34" t="n"/>
      <c r="C1519" s="38" t="n"/>
      <c r="D1519" s="38" t="n"/>
      <c r="E1519" s="38" t="n"/>
      <c r="F1519" s="38" t="n"/>
      <c r="G1519" s="38" t="n"/>
    </row>
    <row r="1520">
      <c r="A1520" s="34" t="n"/>
      <c r="C1520" s="38" t="n"/>
      <c r="D1520" s="38" t="n"/>
      <c r="E1520" s="38" t="n"/>
      <c r="F1520" s="38" t="n"/>
      <c r="G1520" s="38" t="n"/>
    </row>
    <row r="1521">
      <c r="A1521" s="34" t="n"/>
      <c r="C1521" s="38" t="n"/>
      <c r="D1521" s="38" t="n"/>
      <c r="E1521" s="38" t="n"/>
      <c r="F1521" s="38" t="n"/>
      <c r="G1521" s="38" t="n"/>
    </row>
    <row r="1522">
      <c r="A1522" s="34" t="n"/>
      <c r="C1522" s="38" t="n"/>
      <c r="D1522" s="38" t="n"/>
      <c r="E1522" s="38" t="n"/>
      <c r="F1522" s="38" t="n"/>
      <c r="G1522" s="38" t="n"/>
    </row>
    <row r="1523">
      <c r="A1523" s="34" t="n"/>
      <c r="C1523" s="38" t="n"/>
      <c r="D1523" s="38" t="n"/>
      <c r="E1523" s="38" t="n"/>
      <c r="F1523" s="38" t="n"/>
      <c r="G1523" s="38" t="n"/>
    </row>
    <row r="1524">
      <c r="A1524" s="34" t="n"/>
      <c r="C1524" s="38" t="n"/>
      <c r="D1524" s="38" t="n"/>
      <c r="E1524" s="38" t="n"/>
      <c r="F1524" s="38" t="n"/>
      <c r="G1524" s="38" t="n"/>
    </row>
    <row r="1525">
      <c r="A1525" s="34" t="n"/>
      <c r="C1525" s="38" t="n"/>
      <c r="D1525" s="38" t="n"/>
      <c r="E1525" s="38" t="n"/>
      <c r="F1525" s="38" t="n"/>
      <c r="G1525" s="38" t="n"/>
    </row>
    <row r="1526">
      <c r="A1526" s="34" t="n"/>
      <c r="C1526" s="38" t="n"/>
      <c r="D1526" s="38" t="n"/>
      <c r="E1526" s="38" t="n"/>
      <c r="F1526" s="38" t="n"/>
      <c r="G1526" s="38" t="n"/>
    </row>
    <row r="1527">
      <c r="A1527" s="34" t="n"/>
      <c r="C1527" s="38" t="n"/>
      <c r="D1527" s="38" t="n"/>
      <c r="E1527" s="38" t="n"/>
      <c r="F1527" s="38" t="n"/>
      <c r="G1527" s="38" t="n"/>
    </row>
    <row r="1528">
      <c r="A1528" s="34" t="n"/>
      <c r="C1528" s="38" t="n"/>
      <c r="D1528" s="38" t="n"/>
      <c r="E1528" s="38" t="n"/>
      <c r="F1528" s="38" t="n"/>
      <c r="G1528" s="38" t="n"/>
    </row>
    <row r="1529">
      <c r="A1529" s="34" t="n"/>
      <c r="C1529" s="38" t="n"/>
      <c r="D1529" s="38" t="n"/>
      <c r="E1529" s="38" t="n"/>
      <c r="F1529" s="38" t="n"/>
      <c r="G1529" s="38" t="n"/>
    </row>
    <row r="1530">
      <c r="A1530" s="34" t="n"/>
      <c r="C1530" s="38" t="n"/>
      <c r="D1530" s="38" t="n"/>
      <c r="E1530" s="38" t="n"/>
      <c r="F1530" s="38" t="n"/>
      <c r="G1530" s="38" t="n"/>
    </row>
    <row r="1531">
      <c r="A1531" s="34" t="n"/>
      <c r="C1531" s="38" t="n"/>
      <c r="D1531" s="38" t="n"/>
      <c r="E1531" s="38" t="n"/>
      <c r="F1531" s="38" t="n"/>
      <c r="G1531" s="38" t="n"/>
    </row>
    <row r="1532">
      <c r="A1532" s="34" t="n"/>
      <c r="C1532" s="38" t="n"/>
      <c r="D1532" s="38" t="n"/>
      <c r="E1532" s="38" t="n"/>
      <c r="F1532" s="38" t="n"/>
      <c r="G1532" s="38" t="n"/>
    </row>
    <row r="1533">
      <c r="A1533" s="34" t="n"/>
      <c r="C1533" s="38" t="n"/>
      <c r="D1533" s="38" t="n"/>
      <c r="E1533" s="38" t="n"/>
      <c r="F1533" s="38" t="n"/>
      <c r="G1533" s="38" t="n"/>
    </row>
    <row r="1534">
      <c r="A1534" s="34" t="n"/>
      <c r="C1534" s="38" t="n"/>
      <c r="D1534" s="38" t="n"/>
      <c r="E1534" s="38" t="n"/>
      <c r="F1534" s="38" t="n"/>
      <c r="G1534" s="38" t="n"/>
    </row>
    <row r="1535">
      <c r="A1535" s="34" t="n"/>
      <c r="C1535" s="38" t="n"/>
      <c r="D1535" s="38" t="n"/>
      <c r="E1535" s="38" t="n"/>
      <c r="F1535" s="38" t="n"/>
      <c r="G1535" s="38" t="n"/>
    </row>
    <row r="1536">
      <c r="A1536" s="34" t="n"/>
      <c r="C1536" s="38" t="n"/>
      <c r="D1536" s="38" t="n"/>
      <c r="E1536" s="38" t="n"/>
      <c r="F1536" s="38" t="n"/>
      <c r="G1536" s="38" t="n"/>
    </row>
    <row r="1537">
      <c r="A1537" s="34" t="n"/>
      <c r="C1537" s="38" t="n"/>
      <c r="D1537" s="38" t="n"/>
      <c r="E1537" s="38" t="n"/>
      <c r="F1537" s="38" t="n"/>
      <c r="G1537" s="38" t="n"/>
    </row>
    <row r="1538">
      <c r="A1538" s="34" t="n"/>
      <c r="C1538" s="38" t="n"/>
      <c r="D1538" s="38" t="n"/>
      <c r="E1538" s="38" t="n"/>
      <c r="F1538" s="38" t="n"/>
      <c r="G1538" s="38" t="n"/>
    </row>
    <row r="1539">
      <c r="A1539" s="34" t="n"/>
      <c r="C1539" s="38" t="n"/>
      <c r="D1539" s="38" t="n"/>
      <c r="E1539" s="38" t="n"/>
      <c r="F1539" s="38" t="n"/>
      <c r="G1539" s="38" t="n"/>
    </row>
    <row r="1540">
      <c r="A1540" s="34" t="n"/>
      <c r="C1540" s="38" t="n"/>
      <c r="D1540" s="38" t="n"/>
      <c r="E1540" s="38" t="n"/>
      <c r="F1540" s="38" t="n"/>
      <c r="G1540" s="38" t="n"/>
    </row>
    <row r="1541">
      <c r="A1541" s="34" t="n"/>
      <c r="C1541" s="38" t="n"/>
      <c r="D1541" s="38" t="n"/>
      <c r="E1541" s="38" t="n"/>
      <c r="F1541" s="38" t="n"/>
      <c r="G1541" s="38" t="n"/>
    </row>
    <row r="1542">
      <c r="A1542" s="34" t="n"/>
      <c r="C1542" s="38" t="n"/>
      <c r="D1542" s="38" t="n"/>
      <c r="E1542" s="38" t="n"/>
      <c r="F1542" s="38" t="n"/>
      <c r="G1542" s="38" t="n"/>
    </row>
    <row r="1543">
      <c r="A1543" s="34" t="n"/>
      <c r="C1543" s="38" t="n"/>
      <c r="D1543" s="38" t="n"/>
      <c r="E1543" s="38" t="n"/>
      <c r="F1543" s="38" t="n"/>
      <c r="G1543" s="38" t="n"/>
    </row>
    <row r="1544">
      <c r="A1544" s="34" t="n"/>
      <c r="C1544" s="38" t="n"/>
      <c r="D1544" s="38" t="n"/>
      <c r="E1544" s="38" t="n"/>
      <c r="F1544" s="38" t="n"/>
      <c r="G1544" s="38" t="n"/>
    </row>
    <row r="1545">
      <c r="A1545" s="34" t="n"/>
      <c r="C1545" s="38" t="n"/>
      <c r="D1545" s="38" t="n"/>
      <c r="E1545" s="38" t="n"/>
      <c r="F1545" s="38" t="n"/>
      <c r="G1545" s="38" t="n"/>
    </row>
    <row r="1546">
      <c r="A1546" s="34" t="n"/>
      <c r="C1546" s="38" t="n"/>
      <c r="D1546" s="38" t="n"/>
      <c r="E1546" s="38" t="n"/>
      <c r="F1546" s="38" t="n"/>
      <c r="G1546" s="38" t="n"/>
    </row>
    <row r="1547">
      <c r="A1547" s="34" t="n"/>
      <c r="C1547" s="38" t="n"/>
      <c r="D1547" s="38" t="n"/>
      <c r="E1547" s="38" t="n"/>
      <c r="F1547" s="38" t="n"/>
      <c r="G1547" s="38" t="n"/>
    </row>
    <row r="1548">
      <c r="A1548" s="34" t="n"/>
      <c r="C1548" s="38" t="n"/>
      <c r="D1548" s="38" t="n"/>
      <c r="E1548" s="38" t="n"/>
      <c r="F1548" s="38" t="n"/>
      <c r="G1548" s="38" t="n"/>
    </row>
    <row r="1549">
      <c r="A1549" s="34" t="n"/>
      <c r="C1549" s="38" t="n"/>
      <c r="D1549" s="38" t="n"/>
      <c r="E1549" s="38" t="n"/>
      <c r="F1549" s="38" t="n"/>
      <c r="G1549" s="38" t="n"/>
    </row>
    <row r="1550">
      <c r="A1550" s="34" t="n"/>
      <c r="C1550" s="38" t="n"/>
      <c r="D1550" s="38" t="n"/>
      <c r="E1550" s="38" t="n"/>
      <c r="F1550" s="38" t="n"/>
      <c r="G1550" s="38" t="n"/>
    </row>
    <row r="1551">
      <c r="A1551" s="34" t="n"/>
      <c r="C1551" s="38" t="n"/>
      <c r="D1551" s="38" t="n"/>
      <c r="E1551" s="38" t="n"/>
      <c r="F1551" s="38" t="n"/>
      <c r="G1551" s="38" t="n"/>
    </row>
    <row r="1552">
      <c r="A1552" s="34" t="n"/>
      <c r="C1552" s="38" t="n"/>
      <c r="D1552" s="38" t="n"/>
      <c r="E1552" s="38" t="n"/>
      <c r="F1552" s="38" t="n"/>
      <c r="G1552" s="38" t="n"/>
    </row>
    <row r="1553">
      <c r="A1553" s="34" t="n"/>
      <c r="C1553" s="38" t="n"/>
      <c r="D1553" s="38" t="n"/>
      <c r="E1553" s="38" t="n"/>
      <c r="F1553" s="38" t="n"/>
      <c r="G1553" s="38" t="n"/>
    </row>
    <row r="1554">
      <c r="A1554" s="34" t="n"/>
      <c r="C1554" s="38" t="n"/>
      <c r="D1554" s="38" t="n"/>
      <c r="E1554" s="38" t="n"/>
      <c r="F1554" s="38" t="n"/>
      <c r="G1554" s="38" t="n"/>
    </row>
    <row r="1555">
      <c r="A1555" s="34" t="n"/>
      <c r="C1555" s="38" t="n"/>
      <c r="D1555" s="38" t="n"/>
      <c r="E1555" s="38" t="n"/>
      <c r="F1555" s="38" t="n"/>
      <c r="G1555" s="38" t="n"/>
    </row>
    <row r="1556">
      <c r="A1556" s="34" t="n"/>
      <c r="C1556" s="38" t="n"/>
      <c r="D1556" s="38" t="n"/>
      <c r="E1556" s="38" t="n"/>
      <c r="F1556" s="38" t="n"/>
      <c r="G1556" s="38" t="n"/>
    </row>
    <row r="1557">
      <c r="A1557" s="34" t="n"/>
      <c r="C1557" s="38" t="n"/>
      <c r="D1557" s="38" t="n"/>
      <c r="E1557" s="38" t="n"/>
      <c r="F1557" s="38" t="n"/>
      <c r="G1557" s="38" t="n"/>
    </row>
    <row r="1558">
      <c r="A1558" s="34" t="n"/>
      <c r="C1558" s="38" t="n"/>
      <c r="D1558" s="38" t="n"/>
      <c r="E1558" s="38" t="n"/>
      <c r="F1558" s="38" t="n"/>
      <c r="G1558" s="38" t="n"/>
    </row>
    <row r="1559">
      <c r="A1559" s="34" t="n"/>
      <c r="C1559" s="38" t="n"/>
      <c r="D1559" s="38" t="n"/>
      <c r="E1559" s="38" t="n"/>
      <c r="F1559" s="38" t="n"/>
      <c r="G1559" s="38" t="n"/>
    </row>
    <row r="1560">
      <c r="A1560" s="34" t="n"/>
      <c r="C1560" s="38" t="n"/>
      <c r="D1560" s="38" t="n"/>
      <c r="E1560" s="38" t="n"/>
      <c r="F1560" s="38" t="n"/>
      <c r="G1560" s="38" t="n"/>
    </row>
    <row r="1561">
      <c r="A1561" s="34" t="n"/>
      <c r="C1561" s="38" t="n"/>
      <c r="D1561" s="38" t="n"/>
      <c r="E1561" s="38" t="n"/>
      <c r="F1561" s="38" t="n"/>
      <c r="G1561" s="38" t="n"/>
    </row>
    <row r="1562">
      <c r="A1562" s="34" t="n"/>
      <c r="C1562" s="38" t="n"/>
      <c r="D1562" s="38" t="n"/>
      <c r="E1562" s="38" t="n"/>
      <c r="F1562" s="38" t="n"/>
      <c r="G1562" s="38" t="n"/>
    </row>
    <row r="1563">
      <c r="A1563" s="34" t="n"/>
      <c r="C1563" s="38" t="n"/>
      <c r="D1563" s="38" t="n"/>
      <c r="E1563" s="38" t="n"/>
      <c r="F1563" s="38" t="n"/>
      <c r="G1563" s="38" t="n"/>
    </row>
    <row r="1564">
      <c r="A1564" s="34" t="n"/>
      <c r="C1564" s="38" t="n"/>
      <c r="D1564" s="38" t="n"/>
      <c r="E1564" s="38" t="n"/>
      <c r="F1564" s="38" t="n"/>
      <c r="G1564" s="38" t="n"/>
    </row>
    <row r="1565">
      <c r="A1565" s="34" t="n"/>
      <c r="C1565" s="38" t="n"/>
      <c r="D1565" s="38" t="n"/>
      <c r="E1565" s="38" t="n"/>
      <c r="F1565" s="38" t="n"/>
      <c r="G1565" s="38" t="n"/>
    </row>
    <row r="1566">
      <c r="A1566" s="34" t="n"/>
      <c r="C1566" s="38" t="n"/>
      <c r="D1566" s="38" t="n"/>
      <c r="E1566" s="38" t="n"/>
      <c r="F1566" s="38" t="n"/>
      <c r="G1566" s="38" t="n"/>
    </row>
    <row r="1567">
      <c r="A1567" s="34" t="n"/>
      <c r="C1567" s="38" t="n"/>
      <c r="D1567" s="38" t="n"/>
      <c r="E1567" s="38" t="n"/>
      <c r="F1567" s="38" t="n"/>
      <c r="G1567" s="38" t="n"/>
    </row>
    <row r="1568">
      <c r="A1568" s="34" t="n"/>
      <c r="C1568" s="38" t="n"/>
      <c r="D1568" s="38" t="n"/>
      <c r="E1568" s="38" t="n"/>
      <c r="F1568" s="38" t="n"/>
      <c r="G1568" s="38" t="n"/>
    </row>
    <row r="1569">
      <c r="A1569" s="34" t="n"/>
      <c r="C1569" s="38" t="n"/>
      <c r="D1569" s="38" t="n"/>
      <c r="E1569" s="38" t="n"/>
      <c r="F1569" s="38" t="n"/>
      <c r="G1569" s="38" t="n"/>
    </row>
    <row r="1570">
      <c r="A1570" s="34" t="n"/>
      <c r="C1570" s="38" t="n"/>
      <c r="D1570" s="38" t="n"/>
      <c r="E1570" s="38" t="n"/>
      <c r="F1570" s="38" t="n"/>
      <c r="G1570" s="38" t="n"/>
    </row>
    <row r="1571">
      <c r="A1571" s="34" t="n"/>
      <c r="C1571" s="38" t="n"/>
      <c r="D1571" s="38" t="n"/>
      <c r="E1571" s="38" t="n"/>
      <c r="F1571" s="38" t="n"/>
      <c r="G1571" s="38" t="n"/>
    </row>
    <row r="1572">
      <c r="A1572" s="34" t="n"/>
      <c r="C1572" s="38" t="n"/>
      <c r="D1572" s="38" t="n"/>
      <c r="E1572" s="38" t="n"/>
      <c r="F1572" s="38" t="n"/>
      <c r="G1572" s="38" t="n"/>
    </row>
    <row r="1573">
      <c r="A1573" s="34" t="n"/>
      <c r="C1573" s="38" t="n"/>
      <c r="D1573" s="38" t="n"/>
      <c r="E1573" s="38" t="n"/>
      <c r="F1573" s="38" t="n"/>
      <c r="G1573" s="38" t="n"/>
    </row>
    <row r="1574">
      <c r="A1574" s="34" t="n"/>
      <c r="C1574" s="38" t="n"/>
      <c r="D1574" s="38" t="n"/>
      <c r="E1574" s="38" t="n"/>
      <c r="F1574" s="38" t="n"/>
      <c r="G1574" s="38" t="n"/>
    </row>
    <row r="1575">
      <c r="A1575" s="34" t="n"/>
      <c r="C1575" s="38" t="n"/>
      <c r="D1575" s="38" t="n"/>
      <c r="E1575" s="38" t="n"/>
      <c r="F1575" s="38" t="n"/>
      <c r="G1575" s="38" t="n"/>
    </row>
    <row r="1576">
      <c r="A1576" s="34" t="n"/>
      <c r="C1576" s="38" t="n"/>
      <c r="D1576" s="38" t="n"/>
      <c r="E1576" s="38" t="n"/>
      <c r="F1576" s="38" t="n"/>
      <c r="G1576" s="38" t="n"/>
    </row>
    <row r="1577">
      <c r="A1577" s="34" t="n"/>
      <c r="C1577" s="38" t="n"/>
      <c r="D1577" s="38" t="n"/>
      <c r="E1577" s="38" t="n"/>
      <c r="F1577" s="38" t="n"/>
      <c r="G1577" s="38" t="n"/>
    </row>
    <row r="1578">
      <c r="A1578" s="34" t="n"/>
      <c r="C1578" s="38" t="n"/>
      <c r="D1578" s="38" t="n"/>
      <c r="E1578" s="38" t="n"/>
      <c r="F1578" s="38" t="n"/>
      <c r="G1578" s="38" t="n"/>
    </row>
    <row r="1579">
      <c r="A1579" s="34" t="n"/>
      <c r="C1579" s="38" t="n"/>
      <c r="D1579" s="38" t="n"/>
      <c r="E1579" s="38" t="n"/>
      <c r="F1579" s="38" t="n"/>
      <c r="G1579" s="38" t="n"/>
    </row>
    <row r="1580">
      <c r="A1580" s="34" t="n"/>
      <c r="C1580" s="38" t="n"/>
      <c r="D1580" s="38" t="n"/>
      <c r="E1580" s="38" t="n"/>
      <c r="F1580" s="38" t="n"/>
      <c r="G1580" s="38" t="n"/>
    </row>
    <row r="1581">
      <c r="A1581" s="34" t="n"/>
      <c r="C1581" s="38" t="n"/>
      <c r="D1581" s="38" t="n"/>
      <c r="E1581" s="38" t="n"/>
      <c r="F1581" s="38" t="n"/>
      <c r="G1581" s="38" t="n"/>
    </row>
    <row r="1582">
      <c r="A1582" s="34" t="n"/>
      <c r="C1582" s="38" t="n"/>
      <c r="D1582" s="38" t="n"/>
      <c r="E1582" s="38" t="n"/>
      <c r="F1582" s="38" t="n"/>
      <c r="G1582" s="38" t="n"/>
    </row>
    <row r="1583">
      <c r="A1583" s="34" t="n"/>
      <c r="C1583" s="38" t="n"/>
      <c r="D1583" s="38" t="n"/>
      <c r="E1583" s="38" t="n"/>
      <c r="F1583" s="38" t="n"/>
      <c r="G1583" s="38" t="n"/>
    </row>
    <row r="1584">
      <c r="A1584" s="34" t="n"/>
      <c r="C1584" s="38" t="n"/>
      <c r="D1584" s="38" t="n"/>
      <c r="E1584" s="38" t="n"/>
      <c r="F1584" s="38" t="n"/>
      <c r="G1584" s="38" t="n"/>
    </row>
    <row r="1585">
      <c r="A1585" s="34" t="n"/>
      <c r="C1585" s="38" t="n"/>
      <c r="D1585" s="38" t="n"/>
      <c r="E1585" s="38" t="n"/>
      <c r="F1585" s="38" t="n"/>
      <c r="G1585" s="38" t="n"/>
    </row>
    <row r="1586">
      <c r="A1586" s="34" t="n"/>
      <c r="C1586" s="38" t="n"/>
      <c r="D1586" s="38" t="n"/>
      <c r="E1586" s="38" t="n"/>
      <c r="F1586" s="38" t="n"/>
      <c r="G1586" s="38" t="n"/>
    </row>
    <row r="1587">
      <c r="A1587" s="34" t="n"/>
      <c r="C1587" s="38" t="n"/>
      <c r="D1587" s="38" t="n"/>
      <c r="E1587" s="38" t="n"/>
      <c r="F1587" s="38" t="n"/>
      <c r="G1587" s="38" t="n"/>
    </row>
    <row r="1588">
      <c r="A1588" s="34" t="n"/>
      <c r="C1588" s="38" t="n"/>
      <c r="D1588" s="38" t="n"/>
      <c r="E1588" s="38" t="n"/>
      <c r="F1588" s="38" t="n"/>
      <c r="G1588" s="38" t="n"/>
    </row>
    <row r="1589">
      <c r="A1589" s="34" t="n"/>
      <c r="C1589" s="38" t="n"/>
      <c r="D1589" s="38" t="n"/>
      <c r="E1589" s="38" t="n"/>
      <c r="F1589" s="38" t="n"/>
      <c r="G1589" s="38" t="n"/>
    </row>
    <row r="1590">
      <c r="A1590" s="34" t="n"/>
      <c r="C1590" s="38" t="n"/>
      <c r="D1590" s="38" t="n"/>
      <c r="E1590" s="38" t="n"/>
      <c r="F1590" s="38" t="n"/>
      <c r="G1590" s="38" t="n"/>
    </row>
    <row r="1591">
      <c r="A1591" s="34" t="n"/>
      <c r="C1591" s="38" t="n"/>
      <c r="D1591" s="38" t="n"/>
      <c r="E1591" s="38" t="n"/>
      <c r="F1591" s="38" t="n"/>
      <c r="G1591" s="38" t="n"/>
    </row>
    <row r="1592">
      <c r="A1592" s="34" t="n"/>
      <c r="C1592" s="38" t="n"/>
      <c r="D1592" s="38" t="n"/>
      <c r="E1592" s="38" t="n"/>
      <c r="F1592" s="38" t="n"/>
      <c r="G1592" s="38" t="n"/>
    </row>
    <row r="1593">
      <c r="A1593" s="34" t="n"/>
      <c r="C1593" s="38" t="n"/>
      <c r="D1593" s="38" t="n"/>
      <c r="E1593" s="38" t="n"/>
      <c r="F1593" s="38" t="n"/>
      <c r="G1593" s="38" t="n"/>
    </row>
    <row r="1594">
      <c r="A1594" s="34" t="n"/>
      <c r="C1594" s="38" t="n"/>
      <c r="D1594" s="38" t="n"/>
      <c r="E1594" s="38" t="n"/>
      <c r="F1594" s="38" t="n"/>
      <c r="G1594" s="38" t="n"/>
    </row>
    <row r="1595">
      <c r="A1595" s="34" t="n"/>
      <c r="C1595" s="38" t="n"/>
      <c r="D1595" s="38" t="n"/>
      <c r="E1595" s="38" t="n"/>
      <c r="F1595" s="38" t="n"/>
      <c r="G1595" s="38" t="n"/>
    </row>
    <row r="1596">
      <c r="A1596" s="34" t="n"/>
      <c r="C1596" s="38" t="n"/>
      <c r="D1596" s="38" t="n"/>
      <c r="E1596" s="38" t="n"/>
      <c r="F1596" s="38" t="n"/>
      <c r="G1596" s="38" t="n"/>
    </row>
    <row r="1597">
      <c r="A1597" s="34" t="n"/>
      <c r="C1597" s="38" t="n"/>
      <c r="D1597" s="38" t="n"/>
      <c r="E1597" s="38" t="n"/>
      <c r="F1597" s="38" t="n"/>
      <c r="G1597" s="38" t="n"/>
    </row>
    <row r="1598">
      <c r="A1598" s="34" t="n"/>
      <c r="C1598" s="38" t="n"/>
      <c r="D1598" s="38" t="n"/>
      <c r="E1598" s="38" t="n"/>
      <c r="F1598" s="38" t="n"/>
      <c r="G1598" s="38" t="n"/>
    </row>
    <row r="1599">
      <c r="A1599" s="34" t="n"/>
      <c r="C1599" s="38" t="n"/>
      <c r="D1599" s="38" t="n"/>
      <c r="E1599" s="38" t="n"/>
      <c r="F1599" s="38" t="n"/>
      <c r="G1599" s="38" t="n"/>
    </row>
    <row r="1600">
      <c r="A1600" s="34" t="n"/>
      <c r="C1600" s="38" t="n"/>
      <c r="D1600" s="38" t="n"/>
      <c r="E1600" s="38" t="n"/>
      <c r="F1600" s="38" t="n"/>
      <c r="G1600" s="38" t="n"/>
    </row>
    <row r="1601">
      <c r="A1601" s="34" t="n"/>
      <c r="C1601" s="38" t="n"/>
      <c r="D1601" s="38" t="n"/>
      <c r="E1601" s="38" t="n"/>
      <c r="F1601" s="38" t="n"/>
      <c r="G1601" s="38" t="n"/>
    </row>
    <row r="1602">
      <c r="A1602" s="34" t="n"/>
      <c r="C1602" s="38" t="n"/>
      <c r="D1602" s="38" t="n"/>
      <c r="E1602" s="38" t="n"/>
      <c r="F1602" s="38" t="n"/>
      <c r="G1602" s="38" t="n"/>
    </row>
    <row r="1603">
      <c r="A1603" s="34" t="n"/>
      <c r="C1603" s="38" t="n"/>
      <c r="D1603" s="38" t="n"/>
      <c r="E1603" s="38" t="n"/>
      <c r="F1603" s="38" t="n"/>
      <c r="G1603" s="38" t="n"/>
    </row>
    <row r="1604">
      <c r="A1604" s="34" t="n"/>
      <c r="C1604" s="38" t="n"/>
      <c r="D1604" s="38" t="n"/>
      <c r="E1604" s="38" t="n"/>
      <c r="F1604" s="38" t="n"/>
      <c r="G1604" s="38" t="n"/>
    </row>
    <row r="1605">
      <c r="A1605" s="34" t="n"/>
      <c r="C1605" s="38" t="n"/>
      <c r="D1605" s="38" t="n"/>
      <c r="E1605" s="38" t="n"/>
      <c r="F1605" s="38" t="n"/>
      <c r="G1605" s="38" t="n"/>
    </row>
    <row r="1606">
      <c r="A1606" s="34" t="n"/>
      <c r="C1606" s="38" t="n"/>
      <c r="D1606" s="38" t="n"/>
      <c r="E1606" s="38" t="n"/>
      <c r="F1606" s="38" t="n"/>
      <c r="G1606" s="38" t="n"/>
    </row>
    <row r="1607">
      <c r="A1607" s="34" t="n"/>
      <c r="C1607" s="38" t="n"/>
      <c r="D1607" s="38" t="n"/>
      <c r="E1607" s="38" t="n"/>
      <c r="F1607" s="38" t="n"/>
      <c r="G1607" s="38" t="n"/>
    </row>
    <row r="1608">
      <c r="A1608" s="34" t="n"/>
      <c r="C1608" s="38" t="n"/>
      <c r="D1608" s="38" t="n"/>
      <c r="E1608" s="38" t="n"/>
      <c r="F1608" s="38" t="n"/>
      <c r="G1608" s="38" t="n"/>
    </row>
    <row r="1609">
      <c r="A1609" s="34" t="n"/>
      <c r="C1609" s="38" t="n"/>
      <c r="D1609" s="38" t="n"/>
      <c r="E1609" s="38" t="n"/>
      <c r="F1609" s="38" t="n"/>
      <c r="G1609" s="38" t="n"/>
    </row>
    <row r="1610">
      <c r="A1610" s="34" t="n"/>
      <c r="C1610" s="38" t="n"/>
      <c r="D1610" s="38" t="n"/>
      <c r="E1610" s="38" t="n"/>
      <c r="F1610" s="38" t="n"/>
      <c r="G1610" s="38" t="n"/>
    </row>
    <row r="1611">
      <c r="A1611" s="34" t="n"/>
      <c r="C1611" s="38" t="n"/>
      <c r="D1611" s="38" t="n"/>
      <c r="E1611" s="38" t="n"/>
      <c r="F1611" s="38" t="n"/>
      <c r="G1611" s="38" t="n"/>
    </row>
    <row r="1612">
      <c r="A1612" s="34" t="n"/>
      <c r="C1612" s="38" t="n"/>
      <c r="D1612" s="38" t="n"/>
      <c r="E1612" s="38" t="n"/>
      <c r="F1612" s="38" t="n"/>
      <c r="G1612" s="38" t="n"/>
    </row>
    <row r="1613">
      <c r="A1613" s="34" t="n"/>
      <c r="C1613" s="38" t="n"/>
      <c r="D1613" s="38" t="n"/>
      <c r="E1613" s="38" t="n"/>
      <c r="F1613" s="38" t="n"/>
      <c r="G1613" s="38" t="n"/>
    </row>
    <row r="1614">
      <c r="A1614" s="34" t="n"/>
      <c r="C1614" s="38" t="n"/>
      <c r="D1614" s="38" t="n"/>
      <c r="E1614" s="38" t="n"/>
      <c r="F1614" s="38" t="n"/>
      <c r="G1614" s="38" t="n"/>
    </row>
    <row r="1615">
      <c r="A1615" s="34" t="n"/>
      <c r="C1615" s="38" t="n"/>
      <c r="D1615" s="38" t="n"/>
      <c r="E1615" s="38" t="n"/>
      <c r="F1615" s="38" t="n"/>
      <c r="G1615" s="38" t="n"/>
    </row>
    <row r="1616">
      <c r="A1616" s="34" t="n"/>
      <c r="C1616" s="38" t="n"/>
      <c r="D1616" s="38" t="n"/>
      <c r="E1616" s="38" t="n"/>
      <c r="F1616" s="38" t="n"/>
      <c r="G1616" s="38" t="n"/>
    </row>
    <row r="1617">
      <c r="A1617" s="34" t="n"/>
      <c r="C1617" s="38" t="n"/>
      <c r="D1617" s="38" t="n"/>
      <c r="E1617" s="38" t="n"/>
      <c r="F1617" s="38" t="n"/>
      <c r="G1617" s="38" t="n"/>
    </row>
    <row r="1618">
      <c r="A1618" s="34" t="n"/>
      <c r="C1618" s="38" t="n"/>
      <c r="D1618" s="38" t="n"/>
      <c r="E1618" s="38" t="n"/>
      <c r="F1618" s="38" t="n"/>
      <c r="G1618" s="38" t="n"/>
    </row>
    <row r="1619">
      <c r="A1619" s="34" t="n"/>
      <c r="C1619" s="38" t="n"/>
      <c r="D1619" s="38" t="n"/>
      <c r="E1619" s="38" t="n"/>
      <c r="F1619" s="38" t="n"/>
      <c r="G1619" s="38" t="n"/>
    </row>
    <row r="1620">
      <c r="A1620" s="34" t="n"/>
      <c r="C1620" s="38" t="n"/>
      <c r="D1620" s="38" t="n"/>
      <c r="E1620" s="38" t="n"/>
      <c r="F1620" s="38" t="n"/>
      <c r="G1620" s="38" t="n"/>
    </row>
    <row r="1621">
      <c r="A1621" s="34" t="n"/>
      <c r="C1621" s="38" t="n"/>
      <c r="D1621" s="38" t="n"/>
      <c r="E1621" s="38" t="n"/>
      <c r="F1621" s="38" t="n"/>
      <c r="G1621" s="38" t="n"/>
    </row>
    <row r="1622">
      <c r="A1622" s="34" t="n"/>
      <c r="C1622" s="38" t="n"/>
      <c r="D1622" s="38" t="n"/>
      <c r="E1622" s="38" t="n"/>
      <c r="F1622" s="38" t="n"/>
      <c r="G1622" s="38" t="n"/>
    </row>
    <row r="1623">
      <c r="A1623" s="34" t="n"/>
      <c r="C1623" s="38" t="n"/>
      <c r="D1623" s="38" t="n"/>
      <c r="E1623" s="38" t="n"/>
      <c r="F1623" s="38" t="n"/>
      <c r="G1623" s="38" t="n"/>
    </row>
    <row r="1624">
      <c r="A1624" s="34" t="n"/>
      <c r="C1624" s="38" t="n"/>
      <c r="D1624" s="38" t="n"/>
      <c r="E1624" s="38" t="n"/>
      <c r="F1624" s="38" t="n"/>
      <c r="G1624" s="38" t="n"/>
    </row>
    <row r="1625">
      <c r="A1625" s="34" t="n"/>
      <c r="C1625" s="38" t="n"/>
      <c r="D1625" s="38" t="n"/>
      <c r="E1625" s="38" t="n"/>
      <c r="F1625" s="38" t="n"/>
      <c r="G1625" s="38" t="n"/>
    </row>
    <row r="1626">
      <c r="A1626" s="34" t="n"/>
      <c r="C1626" s="38" t="n"/>
      <c r="D1626" s="38" t="n"/>
      <c r="E1626" s="38" t="n"/>
      <c r="F1626" s="38" t="n"/>
      <c r="G1626" s="38" t="n"/>
    </row>
    <row r="1627">
      <c r="A1627" s="34" t="n"/>
      <c r="C1627" s="38" t="n"/>
      <c r="D1627" s="38" t="n"/>
      <c r="E1627" s="38" t="n"/>
      <c r="F1627" s="38" t="n"/>
      <c r="G1627" s="38" t="n"/>
    </row>
    <row r="1628">
      <c r="A1628" s="34" t="n"/>
      <c r="C1628" s="38" t="n"/>
      <c r="D1628" s="38" t="n"/>
      <c r="E1628" s="38" t="n"/>
      <c r="F1628" s="38" t="n"/>
      <c r="G1628" s="38" t="n"/>
    </row>
    <row r="1629">
      <c r="A1629" s="34" t="n"/>
      <c r="C1629" s="38" t="n"/>
      <c r="D1629" s="38" t="n"/>
      <c r="E1629" s="38" t="n"/>
      <c r="F1629" s="38" t="n"/>
      <c r="G1629" s="38" t="n"/>
    </row>
    <row r="1630">
      <c r="A1630" s="34" t="n"/>
      <c r="C1630" s="38" t="n"/>
      <c r="D1630" s="38" t="n"/>
      <c r="E1630" s="38" t="n"/>
      <c r="F1630" s="38" t="n"/>
      <c r="G1630" s="38" t="n"/>
    </row>
    <row r="1631">
      <c r="A1631" s="34" t="n"/>
      <c r="C1631" s="38" t="n"/>
      <c r="D1631" s="38" t="n"/>
      <c r="E1631" s="38" t="n"/>
      <c r="F1631" s="38" t="n"/>
      <c r="G1631" s="38" t="n"/>
    </row>
    <row r="1632">
      <c r="A1632" s="34" t="n"/>
      <c r="C1632" s="38" t="n"/>
      <c r="D1632" s="38" t="n"/>
      <c r="E1632" s="38" t="n"/>
      <c r="F1632" s="38" t="n"/>
      <c r="G1632" s="38" t="n"/>
    </row>
    <row r="1633">
      <c r="A1633" s="34" t="n"/>
      <c r="C1633" s="38" t="n"/>
      <c r="D1633" s="38" t="n"/>
      <c r="E1633" s="38" t="n"/>
      <c r="F1633" s="38" t="n"/>
      <c r="G1633" s="38" t="n"/>
    </row>
    <row r="1634">
      <c r="A1634" s="34" t="n"/>
      <c r="C1634" s="38" t="n"/>
      <c r="D1634" s="38" t="n"/>
      <c r="E1634" s="38" t="n"/>
      <c r="F1634" s="38" t="n"/>
      <c r="G1634" s="38" t="n"/>
    </row>
    <row r="1635">
      <c r="A1635" s="34" t="n"/>
      <c r="C1635" s="38" t="n"/>
      <c r="D1635" s="38" t="n"/>
      <c r="E1635" s="38" t="n"/>
      <c r="F1635" s="38" t="n"/>
      <c r="G1635" s="38" t="n"/>
    </row>
    <row r="1636">
      <c r="A1636" s="34" t="n"/>
      <c r="C1636" s="38" t="n"/>
      <c r="D1636" s="38" t="n"/>
      <c r="E1636" s="38" t="n"/>
      <c r="F1636" s="38" t="n"/>
      <c r="G1636" s="38" t="n"/>
    </row>
    <row r="1637">
      <c r="A1637" s="34" t="n"/>
      <c r="C1637" s="38" t="n"/>
      <c r="D1637" s="38" t="n"/>
      <c r="E1637" s="38" t="n"/>
      <c r="F1637" s="38" t="n"/>
      <c r="G1637" s="38" t="n"/>
    </row>
    <row r="1638">
      <c r="A1638" s="34" t="n"/>
      <c r="C1638" s="38" t="n"/>
      <c r="D1638" s="38" t="n"/>
      <c r="E1638" s="38" t="n"/>
      <c r="F1638" s="38" t="n"/>
      <c r="G1638" s="38" t="n"/>
    </row>
    <row r="1639">
      <c r="A1639" s="34" t="n"/>
      <c r="C1639" s="38" t="n"/>
      <c r="D1639" s="38" t="n"/>
      <c r="E1639" s="38" t="n"/>
      <c r="F1639" s="38" t="n"/>
      <c r="G1639" s="38" t="n"/>
    </row>
    <row r="1640">
      <c r="A1640" s="34" t="n"/>
      <c r="C1640" s="38" t="n"/>
      <c r="D1640" s="38" t="n"/>
      <c r="E1640" s="38" t="n"/>
      <c r="F1640" s="38" t="n"/>
      <c r="G1640" s="38" t="n"/>
    </row>
    <row r="1641">
      <c r="A1641" s="34" t="n"/>
      <c r="C1641" s="38" t="n"/>
      <c r="D1641" s="38" t="n"/>
      <c r="E1641" s="38" t="n"/>
      <c r="F1641" s="38" t="n"/>
      <c r="G1641" s="38" t="n"/>
    </row>
    <row r="1642">
      <c r="A1642" s="34" t="n"/>
      <c r="C1642" s="38" t="n"/>
      <c r="D1642" s="38" t="n"/>
      <c r="E1642" s="38" t="n"/>
      <c r="F1642" s="38" t="n"/>
      <c r="G1642" s="38" t="n"/>
    </row>
    <row r="1643">
      <c r="A1643" s="34" t="n"/>
      <c r="C1643" s="38" t="n"/>
      <c r="D1643" s="38" t="n"/>
      <c r="E1643" s="38" t="n"/>
      <c r="F1643" s="38" t="n"/>
      <c r="G1643" s="38" t="n"/>
    </row>
    <row r="1644">
      <c r="A1644" s="34" t="n"/>
      <c r="C1644" s="38" t="n"/>
      <c r="D1644" s="38" t="n"/>
      <c r="E1644" s="38" t="n"/>
      <c r="F1644" s="38" t="n"/>
      <c r="G1644" s="38" t="n"/>
    </row>
    <row r="1645">
      <c r="A1645" s="34" t="n"/>
      <c r="C1645" s="38" t="n"/>
      <c r="D1645" s="38" t="n"/>
      <c r="E1645" s="38" t="n"/>
      <c r="F1645" s="38" t="n"/>
      <c r="G1645" s="38" t="n"/>
    </row>
    <row r="1646">
      <c r="A1646" s="34" t="n"/>
      <c r="C1646" s="38" t="n"/>
      <c r="D1646" s="38" t="n"/>
      <c r="E1646" s="38" t="n"/>
      <c r="F1646" s="38" t="n"/>
      <c r="G1646" s="38" t="n"/>
    </row>
    <row r="1647">
      <c r="A1647" s="34" t="n"/>
      <c r="C1647" s="38" t="n"/>
      <c r="D1647" s="38" t="n"/>
      <c r="E1647" s="38" t="n"/>
      <c r="F1647" s="38" t="n"/>
      <c r="G1647" s="38" t="n"/>
    </row>
    <row r="1648">
      <c r="A1648" s="34" t="n"/>
      <c r="C1648" s="38" t="n"/>
      <c r="D1648" s="38" t="n"/>
      <c r="E1648" s="38" t="n"/>
      <c r="F1648" s="38" t="n"/>
      <c r="G1648" s="38" t="n"/>
    </row>
    <row r="1649">
      <c r="A1649" s="34" t="n"/>
      <c r="C1649" s="38" t="n"/>
      <c r="D1649" s="38" t="n"/>
      <c r="E1649" s="38" t="n"/>
      <c r="F1649" s="38" t="n"/>
      <c r="G1649" s="38" t="n"/>
    </row>
    <row r="1650">
      <c r="A1650" s="34" t="n"/>
      <c r="C1650" s="38" t="n"/>
      <c r="D1650" s="38" t="n"/>
      <c r="E1650" s="38" t="n"/>
      <c r="F1650" s="38" t="n"/>
      <c r="G1650" s="38" t="n"/>
    </row>
    <row r="1651">
      <c r="A1651" s="34" t="n"/>
      <c r="C1651" s="38" t="n"/>
      <c r="D1651" s="38" t="n"/>
      <c r="E1651" s="38" t="n"/>
      <c r="F1651" s="38" t="n"/>
      <c r="G1651" s="38" t="n"/>
    </row>
    <row r="1652">
      <c r="A1652" s="34" t="n"/>
      <c r="C1652" s="38" t="n"/>
      <c r="D1652" s="38" t="n"/>
      <c r="E1652" s="38" t="n"/>
      <c r="F1652" s="38" t="n"/>
      <c r="G1652" s="38" t="n"/>
    </row>
    <row r="1653">
      <c r="A1653" s="34" t="n"/>
      <c r="C1653" s="38" t="n"/>
      <c r="D1653" s="38" t="n"/>
      <c r="E1653" s="38" t="n"/>
      <c r="F1653" s="38" t="n"/>
      <c r="G1653" s="38" t="n"/>
    </row>
    <row r="1654">
      <c r="A1654" s="34" t="n"/>
      <c r="C1654" s="38" t="n"/>
      <c r="D1654" s="38" t="n"/>
      <c r="E1654" s="38" t="n"/>
      <c r="F1654" s="38" t="n"/>
      <c r="G1654" s="38" t="n"/>
    </row>
    <row r="1655">
      <c r="A1655" s="34" t="n"/>
      <c r="C1655" s="38" t="n"/>
      <c r="D1655" s="38" t="n"/>
      <c r="E1655" s="38" t="n"/>
      <c r="F1655" s="38" t="n"/>
      <c r="G1655" s="38" t="n"/>
    </row>
    <row r="1656">
      <c r="A1656" s="34" t="n"/>
      <c r="C1656" s="38" t="n"/>
      <c r="D1656" s="38" t="n"/>
      <c r="E1656" s="38" t="n"/>
      <c r="F1656" s="38" t="n"/>
      <c r="G1656" s="38" t="n"/>
    </row>
    <row r="1657">
      <c r="A1657" s="34" t="n"/>
      <c r="C1657" s="38" t="n"/>
      <c r="D1657" s="38" t="n"/>
      <c r="E1657" s="38" t="n"/>
      <c r="F1657" s="38" t="n"/>
      <c r="G1657" s="38" t="n"/>
    </row>
    <row r="1658">
      <c r="A1658" s="34" t="n"/>
      <c r="C1658" s="38" t="n"/>
      <c r="D1658" s="38" t="n"/>
      <c r="E1658" s="38" t="n"/>
      <c r="F1658" s="38" t="n"/>
      <c r="G1658" s="38" t="n"/>
    </row>
    <row r="1659">
      <c r="A1659" s="34" t="n"/>
      <c r="C1659" s="38" t="n"/>
      <c r="D1659" s="38" t="n"/>
      <c r="E1659" s="38" t="n"/>
      <c r="F1659" s="38" t="n"/>
      <c r="G1659" s="38" t="n"/>
    </row>
    <row r="1660">
      <c r="A1660" s="34" t="n"/>
      <c r="C1660" s="38" t="n"/>
      <c r="D1660" s="38" t="n"/>
      <c r="E1660" s="38" t="n"/>
      <c r="F1660" s="38" t="n"/>
      <c r="G1660" s="38" t="n"/>
    </row>
    <row r="1661">
      <c r="A1661" s="34" t="n"/>
      <c r="C1661" s="38" t="n"/>
      <c r="D1661" s="38" t="n"/>
      <c r="E1661" s="38" t="n"/>
      <c r="F1661" s="38" t="n"/>
      <c r="G1661" s="38" t="n"/>
    </row>
    <row r="1662">
      <c r="A1662" s="34" t="n"/>
      <c r="C1662" s="38" t="n"/>
      <c r="D1662" s="38" t="n"/>
      <c r="E1662" s="38" t="n"/>
      <c r="F1662" s="38" t="n"/>
      <c r="G1662" s="38" t="n"/>
    </row>
    <row r="1663">
      <c r="A1663" s="34" t="n"/>
      <c r="C1663" s="38" t="n"/>
      <c r="D1663" s="38" t="n"/>
      <c r="E1663" s="38" t="n"/>
      <c r="F1663" s="38" t="n"/>
      <c r="G1663" s="38" t="n"/>
    </row>
    <row r="1664">
      <c r="A1664" s="34" t="n"/>
      <c r="C1664" s="38" t="n"/>
      <c r="D1664" s="38" t="n"/>
      <c r="E1664" s="38" t="n"/>
      <c r="F1664" s="38" t="n"/>
      <c r="G1664" s="38" t="n"/>
    </row>
    <row r="1665">
      <c r="A1665" s="34" t="n"/>
      <c r="C1665" s="38" t="n"/>
      <c r="D1665" s="38" t="n"/>
      <c r="E1665" s="38" t="n"/>
      <c r="F1665" s="38" t="n"/>
      <c r="G1665" s="38" t="n"/>
    </row>
    <row r="1666">
      <c r="A1666" s="34" t="n"/>
      <c r="C1666" s="38" t="n"/>
      <c r="D1666" s="38" t="n"/>
      <c r="E1666" s="38" t="n"/>
      <c r="F1666" s="38" t="n"/>
      <c r="G1666" s="38" t="n"/>
    </row>
    <row r="1667">
      <c r="A1667" s="34" t="n"/>
      <c r="C1667" s="38" t="n"/>
      <c r="D1667" s="38" t="n"/>
      <c r="E1667" s="38" t="n"/>
      <c r="F1667" s="38" t="n"/>
      <c r="G1667" s="38" t="n"/>
    </row>
    <row r="1668">
      <c r="A1668" s="34" t="n"/>
      <c r="C1668" s="38" t="n"/>
      <c r="D1668" s="38" t="n"/>
      <c r="E1668" s="38" t="n"/>
      <c r="F1668" s="38" t="n"/>
      <c r="G1668" s="38" t="n"/>
    </row>
    <row r="1669">
      <c r="A1669" s="34" t="n"/>
      <c r="C1669" s="38" t="n"/>
      <c r="D1669" s="38" t="n"/>
      <c r="E1669" s="38" t="n"/>
      <c r="F1669" s="38" t="n"/>
      <c r="G1669" s="38" t="n"/>
    </row>
    <row r="1670">
      <c r="A1670" s="34" t="n"/>
      <c r="C1670" s="38" t="n"/>
      <c r="D1670" s="38" t="n"/>
      <c r="E1670" s="38" t="n"/>
      <c r="F1670" s="38" t="n"/>
      <c r="G1670" s="38" t="n"/>
    </row>
    <row r="1671">
      <c r="A1671" s="34" t="n"/>
      <c r="C1671" s="38" t="n"/>
      <c r="D1671" s="38" t="n"/>
      <c r="E1671" s="38" t="n"/>
      <c r="F1671" s="38" t="n"/>
      <c r="G1671" s="38" t="n"/>
    </row>
    <row r="1672">
      <c r="A1672" s="34" t="n"/>
      <c r="C1672" s="38" t="n"/>
      <c r="D1672" s="38" t="n"/>
      <c r="E1672" s="38" t="n"/>
      <c r="F1672" s="38" t="n"/>
      <c r="G1672" s="38" t="n"/>
    </row>
    <row r="1673">
      <c r="A1673" s="34" t="n"/>
      <c r="C1673" s="38" t="n"/>
      <c r="D1673" s="38" t="n"/>
      <c r="E1673" s="38" t="n"/>
      <c r="F1673" s="38" t="n"/>
      <c r="G1673" s="38" t="n"/>
    </row>
    <row r="1674">
      <c r="A1674" s="34" t="n"/>
      <c r="C1674" s="38" t="n"/>
      <c r="D1674" s="38" t="n"/>
      <c r="E1674" s="38" t="n"/>
      <c r="F1674" s="38" t="n"/>
      <c r="G1674" s="38" t="n"/>
    </row>
    <row r="1675">
      <c r="A1675" s="34" t="n"/>
      <c r="C1675" s="38" t="n"/>
      <c r="D1675" s="38" t="n"/>
      <c r="E1675" s="38" t="n"/>
      <c r="F1675" s="38" t="n"/>
      <c r="G1675" s="38" t="n"/>
    </row>
    <row r="1676">
      <c r="A1676" s="34" t="n"/>
      <c r="C1676" s="38" t="n"/>
      <c r="D1676" s="38" t="n"/>
      <c r="E1676" s="38" t="n"/>
      <c r="F1676" s="38" t="n"/>
      <c r="G1676" s="38" t="n"/>
    </row>
    <row r="1677">
      <c r="A1677" s="34" t="n"/>
      <c r="C1677" s="38" t="n"/>
      <c r="D1677" s="38" t="n"/>
      <c r="E1677" s="38" t="n"/>
      <c r="F1677" s="38" t="n"/>
      <c r="G1677" s="38" t="n"/>
    </row>
    <row r="1678">
      <c r="A1678" s="34" t="n"/>
      <c r="C1678" s="38" t="n"/>
      <c r="D1678" s="38" t="n"/>
      <c r="E1678" s="38" t="n"/>
      <c r="F1678" s="38" t="n"/>
      <c r="G1678" s="38" t="n"/>
    </row>
    <row r="1679">
      <c r="A1679" s="34" t="n"/>
      <c r="C1679" s="38" t="n"/>
      <c r="D1679" s="38" t="n"/>
      <c r="E1679" s="38" t="n"/>
      <c r="F1679" s="38" t="n"/>
      <c r="G1679" s="38" t="n"/>
    </row>
    <row r="1680">
      <c r="A1680" s="34" t="n"/>
      <c r="C1680" s="38" t="n"/>
      <c r="D1680" s="38" t="n"/>
      <c r="E1680" s="38" t="n"/>
      <c r="F1680" s="38" t="n"/>
      <c r="G1680" s="38" t="n"/>
    </row>
    <row r="1681">
      <c r="A1681" s="34" t="n"/>
      <c r="C1681" s="38" t="n"/>
      <c r="D1681" s="38" t="n"/>
      <c r="E1681" s="38" t="n"/>
      <c r="F1681" s="38" t="n"/>
      <c r="G1681" s="38" t="n"/>
    </row>
    <row r="1682">
      <c r="A1682" s="34" t="n"/>
      <c r="C1682" s="38" t="n"/>
      <c r="D1682" s="38" t="n"/>
      <c r="E1682" s="38" t="n"/>
      <c r="F1682" s="38" t="n"/>
      <c r="G1682" s="38" t="n"/>
    </row>
    <row r="1683">
      <c r="A1683" s="34" t="n"/>
      <c r="C1683" s="38" t="n"/>
      <c r="D1683" s="38" t="n"/>
      <c r="E1683" s="38" t="n"/>
      <c r="F1683" s="38" t="n"/>
      <c r="G1683" s="38" t="n"/>
    </row>
    <row r="1684">
      <c r="A1684" s="34" t="n"/>
      <c r="C1684" s="38" t="n"/>
      <c r="D1684" s="38" t="n"/>
      <c r="E1684" s="38" t="n"/>
      <c r="F1684" s="38" t="n"/>
      <c r="G1684" s="38" t="n"/>
    </row>
    <row r="1685">
      <c r="A1685" s="34" t="n"/>
      <c r="C1685" s="38" t="n"/>
      <c r="D1685" s="38" t="n"/>
      <c r="E1685" s="38" t="n"/>
      <c r="F1685" s="38" t="n"/>
      <c r="G1685" s="38" t="n"/>
    </row>
    <row r="1686">
      <c r="A1686" s="34" t="n"/>
      <c r="C1686" s="38" t="n"/>
      <c r="D1686" s="38" t="n"/>
      <c r="E1686" s="38" t="n"/>
      <c r="F1686" s="38" t="n"/>
      <c r="G1686" s="38" t="n"/>
    </row>
    <row r="1687">
      <c r="A1687" s="34" t="n"/>
      <c r="C1687" s="38" t="n"/>
      <c r="D1687" s="38" t="n"/>
      <c r="E1687" s="38" t="n"/>
      <c r="F1687" s="38" t="n"/>
      <c r="G1687" s="38" t="n"/>
    </row>
    <row r="1688">
      <c r="A1688" s="34" t="n"/>
      <c r="C1688" s="38" t="n"/>
      <c r="D1688" s="38" t="n"/>
      <c r="E1688" s="38" t="n"/>
      <c r="F1688" s="38" t="n"/>
      <c r="G1688" s="38" t="n"/>
    </row>
    <row r="1689">
      <c r="A1689" s="34" t="n"/>
      <c r="C1689" s="38" t="n"/>
      <c r="D1689" s="38" t="n"/>
      <c r="E1689" s="38" t="n"/>
      <c r="F1689" s="38" t="n"/>
      <c r="G1689" s="38" t="n"/>
    </row>
    <row r="1690">
      <c r="A1690" s="34" t="n"/>
      <c r="C1690" s="38" t="n"/>
      <c r="D1690" s="38" t="n"/>
      <c r="E1690" s="38" t="n"/>
      <c r="F1690" s="38" t="n"/>
      <c r="G1690" s="38" t="n"/>
    </row>
    <row r="1691">
      <c r="A1691" s="34" t="n"/>
      <c r="C1691" s="38" t="n"/>
      <c r="D1691" s="38" t="n"/>
      <c r="E1691" s="38" t="n"/>
      <c r="F1691" s="38" t="n"/>
      <c r="G1691" s="38" t="n"/>
    </row>
    <row r="1692">
      <c r="A1692" s="34" t="n"/>
      <c r="C1692" s="38" t="n"/>
      <c r="D1692" s="38" t="n"/>
      <c r="E1692" s="38" t="n"/>
      <c r="F1692" s="38" t="n"/>
      <c r="G1692" s="38" t="n"/>
    </row>
    <row r="1693">
      <c r="A1693" s="34" t="n"/>
      <c r="C1693" s="38" t="n"/>
      <c r="D1693" s="38" t="n"/>
      <c r="E1693" s="38" t="n"/>
      <c r="F1693" s="38" t="n"/>
      <c r="G1693" s="38" t="n"/>
    </row>
    <row r="1694">
      <c r="A1694" s="34" t="n"/>
      <c r="C1694" s="38" t="n"/>
      <c r="D1694" s="38" t="n"/>
      <c r="E1694" s="38" t="n"/>
      <c r="F1694" s="38" t="n"/>
      <c r="G1694" s="38" t="n"/>
    </row>
    <row r="1695">
      <c r="A1695" s="34" t="n"/>
      <c r="C1695" s="38" t="n"/>
      <c r="D1695" s="38" t="n"/>
      <c r="E1695" s="38" t="n"/>
      <c r="F1695" s="38" t="n"/>
      <c r="G1695" s="38" t="n"/>
    </row>
    <row r="1696">
      <c r="A1696" s="34" t="n"/>
      <c r="C1696" s="38" t="n"/>
      <c r="D1696" s="38" t="n"/>
      <c r="E1696" s="38" t="n"/>
      <c r="F1696" s="38" t="n"/>
      <c r="G1696" s="38" t="n"/>
    </row>
    <row r="1697">
      <c r="A1697" s="34" t="n"/>
      <c r="C1697" s="38" t="n"/>
      <c r="D1697" s="38" t="n"/>
      <c r="E1697" s="38" t="n"/>
      <c r="F1697" s="38" t="n"/>
      <c r="G1697" s="38" t="n"/>
    </row>
    <row r="1698">
      <c r="A1698" s="34" t="n"/>
      <c r="C1698" s="38" t="n"/>
      <c r="D1698" s="38" t="n"/>
      <c r="E1698" s="38" t="n"/>
      <c r="F1698" s="38" t="n"/>
      <c r="G1698" s="38" t="n"/>
    </row>
    <row r="1699">
      <c r="A1699" s="34" t="n"/>
      <c r="C1699" s="38" t="n"/>
      <c r="D1699" s="38" t="n"/>
      <c r="E1699" s="38" t="n"/>
      <c r="F1699" s="38" t="n"/>
      <c r="G1699" s="38" t="n"/>
    </row>
    <row r="1700">
      <c r="A1700" s="34" t="n"/>
      <c r="C1700" s="38" t="n"/>
      <c r="D1700" s="38" t="n"/>
      <c r="E1700" s="38" t="n"/>
      <c r="F1700" s="38" t="n"/>
      <c r="G1700" s="38" t="n"/>
    </row>
    <row r="1701">
      <c r="A1701" s="34" t="n"/>
      <c r="C1701" s="38" t="n"/>
      <c r="D1701" s="38" t="n"/>
      <c r="E1701" s="38" t="n"/>
      <c r="F1701" s="38" t="n"/>
      <c r="G1701" s="38" t="n"/>
    </row>
    <row r="1702">
      <c r="A1702" s="34" t="n"/>
      <c r="C1702" s="38" t="n"/>
      <c r="D1702" s="38" t="n"/>
      <c r="E1702" s="38" t="n"/>
      <c r="F1702" s="38" t="n"/>
      <c r="G1702" s="38" t="n"/>
    </row>
    <row r="1703">
      <c r="A1703" s="34" t="n"/>
      <c r="C1703" s="38" t="n"/>
      <c r="D1703" s="38" t="n"/>
      <c r="E1703" s="38" t="n"/>
      <c r="F1703" s="38" t="n"/>
      <c r="G1703" s="38" t="n"/>
    </row>
    <row r="1704">
      <c r="A1704" s="34" t="n"/>
      <c r="C1704" s="38" t="n"/>
      <c r="D1704" s="38" t="n"/>
      <c r="E1704" s="38" t="n"/>
      <c r="F1704" s="38" t="n"/>
      <c r="G1704" s="38" t="n"/>
    </row>
    <row r="1705">
      <c r="A1705" s="34" t="n"/>
      <c r="C1705" s="38" t="n"/>
      <c r="D1705" s="38" t="n"/>
      <c r="E1705" s="38" t="n"/>
      <c r="F1705" s="38" t="n"/>
      <c r="G1705" s="38" t="n"/>
    </row>
    <row r="1706">
      <c r="A1706" s="34" t="n"/>
      <c r="C1706" s="38" t="n"/>
      <c r="D1706" s="38" t="n"/>
      <c r="E1706" s="38" t="n"/>
      <c r="F1706" s="38" t="n"/>
      <c r="G1706" s="38" t="n"/>
    </row>
    <row r="1707">
      <c r="A1707" s="34" t="n"/>
      <c r="C1707" s="38" t="n"/>
      <c r="D1707" s="38" t="n"/>
      <c r="E1707" s="38" t="n"/>
      <c r="F1707" s="38" t="n"/>
      <c r="G1707" s="38" t="n"/>
    </row>
    <row r="1708">
      <c r="A1708" s="34" t="n"/>
      <c r="C1708" s="38" t="n"/>
      <c r="D1708" s="38" t="n"/>
      <c r="E1708" s="38" t="n"/>
      <c r="F1708" s="38" t="n"/>
      <c r="G1708" s="38" t="n"/>
    </row>
    <row r="1709">
      <c r="A1709" s="34" t="n"/>
      <c r="C1709" s="38" t="n"/>
      <c r="D1709" s="38" t="n"/>
      <c r="E1709" s="38" t="n"/>
      <c r="F1709" s="38" t="n"/>
      <c r="G1709" s="38" t="n"/>
    </row>
    <row r="1710">
      <c r="A1710" s="34" t="n"/>
      <c r="C1710" s="38" t="n"/>
      <c r="D1710" s="38" t="n"/>
      <c r="E1710" s="38" t="n"/>
      <c r="F1710" s="38" t="n"/>
      <c r="G1710" s="38" t="n"/>
    </row>
    <row r="1711">
      <c r="A1711" s="34" t="n"/>
      <c r="C1711" s="38" t="n"/>
      <c r="D1711" s="38" t="n"/>
      <c r="E1711" s="38" t="n"/>
      <c r="F1711" s="38" t="n"/>
      <c r="G1711" s="38" t="n"/>
    </row>
    <row r="1712">
      <c r="A1712" s="34" t="n"/>
      <c r="C1712" s="38" t="n"/>
      <c r="D1712" s="38" t="n"/>
      <c r="E1712" s="38" t="n"/>
      <c r="F1712" s="38" t="n"/>
      <c r="G1712" s="38" t="n"/>
    </row>
    <row r="1713">
      <c r="A1713" s="34" t="n"/>
      <c r="C1713" s="38" t="n"/>
      <c r="D1713" s="38" t="n"/>
      <c r="E1713" s="38" t="n"/>
      <c r="F1713" s="38" t="n"/>
      <c r="G1713" s="38" t="n"/>
    </row>
    <row r="1714">
      <c r="A1714" s="34" t="n"/>
      <c r="C1714" s="38" t="n"/>
      <c r="D1714" s="38" t="n"/>
      <c r="E1714" s="38" t="n"/>
      <c r="F1714" s="38" t="n"/>
      <c r="G1714" s="38" t="n"/>
    </row>
    <row r="1715">
      <c r="A1715" s="34" t="n"/>
      <c r="C1715" s="38" t="n"/>
      <c r="D1715" s="38" t="n"/>
      <c r="E1715" s="38" t="n"/>
      <c r="F1715" s="38" t="n"/>
      <c r="G1715" s="38" t="n"/>
    </row>
    <row r="1716">
      <c r="A1716" s="34" t="n"/>
      <c r="C1716" s="38" t="n"/>
      <c r="D1716" s="38" t="n"/>
      <c r="E1716" s="38" t="n"/>
      <c r="F1716" s="38" t="n"/>
      <c r="G1716" s="38" t="n"/>
    </row>
    <row r="1717">
      <c r="A1717" s="34" t="n"/>
      <c r="C1717" s="38" t="n"/>
      <c r="D1717" s="38" t="n"/>
      <c r="E1717" s="38" t="n"/>
      <c r="F1717" s="38" t="n"/>
      <c r="G1717" s="38" t="n"/>
    </row>
    <row r="1718">
      <c r="A1718" s="34" t="n"/>
      <c r="C1718" s="38" t="n"/>
      <c r="D1718" s="38" t="n"/>
      <c r="E1718" s="38" t="n"/>
      <c r="F1718" s="38" t="n"/>
      <c r="G1718" s="38" t="n"/>
    </row>
    <row r="1719">
      <c r="A1719" s="34" t="n"/>
      <c r="C1719" s="38" t="n"/>
      <c r="D1719" s="38" t="n"/>
      <c r="E1719" s="38" t="n"/>
      <c r="F1719" s="38" t="n"/>
      <c r="G1719" s="38" t="n"/>
    </row>
    <row r="1720">
      <c r="A1720" s="34" t="n"/>
      <c r="C1720" s="38" t="n"/>
      <c r="D1720" s="38" t="n"/>
      <c r="E1720" s="38" t="n"/>
      <c r="F1720" s="38" t="n"/>
      <c r="G1720" s="38" t="n"/>
    </row>
    <row r="1721">
      <c r="A1721" s="34" t="n"/>
      <c r="C1721" s="38" t="n"/>
      <c r="D1721" s="38" t="n"/>
      <c r="E1721" s="38" t="n"/>
      <c r="F1721" s="38" t="n"/>
      <c r="G1721" s="38" t="n"/>
    </row>
    <row r="1722">
      <c r="A1722" s="34" t="n"/>
      <c r="C1722" s="38" t="n"/>
      <c r="D1722" s="38" t="n"/>
      <c r="E1722" s="38" t="n"/>
      <c r="F1722" s="38" t="n"/>
      <c r="G1722" s="38" t="n"/>
    </row>
    <row r="1723">
      <c r="A1723" s="34" t="n"/>
      <c r="C1723" s="38" t="n"/>
      <c r="D1723" s="38" t="n"/>
      <c r="E1723" s="38" t="n"/>
      <c r="F1723" s="38" t="n"/>
      <c r="G1723" s="38" t="n"/>
    </row>
    <row r="1724">
      <c r="A1724" s="34" t="n"/>
      <c r="C1724" s="38" t="n"/>
      <c r="D1724" s="38" t="n"/>
      <c r="E1724" s="38" t="n"/>
      <c r="F1724" s="38" t="n"/>
      <c r="G1724" s="38" t="n"/>
    </row>
    <row r="1725">
      <c r="A1725" s="34" t="n"/>
      <c r="C1725" s="38" t="n"/>
      <c r="D1725" s="38" t="n"/>
      <c r="E1725" s="38" t="n"/>
      <c r="F1725" s="38" t="n"/>
      <c r="G1725" s="38" t="n"/>
    </row>
    <row r="1726">
      <c r="A1726" s="34" t="n"/>
      <c r="C1726" s="38" t="n"/>
      <c r="D1726" s="38" t="n"/>
      <c r="E1726" s="38" t="n"/>
      <c r="F1726" s="38" t="n"/>
      <c r="G1726" s="38" t="n"/>
    </row>
    <row r="1727">
      <c r="A1727" s="34" t="n"/>
      <c r="C1727" s="38" t="n"/>
      <c r="D1727" s="38" t="n"/>
      <c r="E1727" s="38" t="n"/>
      <c r="F1727" s="38" t="n"/>
      <c r="G1727" s="38" t="n"/>
    </row>
    <row r="1728">
      <c r="A1728" s="34" t="n"/>
      <c r="C1728" s="38" t="n"/>
      <c r="D1728" s="38" t="n"/>
      <c r="E1728" s="38" t="n"/>
      <c r="F1728" s="38" t="n"/>
      <c r="G1728" s="38" t="n"/>
    </row>
    <row r="1729">
      <c r="A1729" s="34" t="n"/>
      <c r="C1729" s="38" t="n"/>
      <c r="D1729" s="38" t="n"/>
      <c r="E1729" s="38" t="n"/>
      <c r="F1729" s="38" t="n"/>
      <c r="G1729" s="38" t="n"/>
    </row>
    <row r="1730">
      <c r="A1730" s="34" t="n"/>
      <c r="C1730" s="38" t="n"/>
      <c r="D1730" s="38" t="n"/>
      <c r="E1730" s="38" t="n"/>
      <c r="F1730" s="38" t="n"/>
      <c r="G1730" s="38" t="n"/>
    </row>
    <row r="1731">
      <c r="A1731" s="34" t="n"/>
      <c r="C1731" s="38" t="n"/>
      <c r="D1731" s="38" t="n"/>
      <c r="E1731" s="38" t="n"/>
      <c r="F1731" s="38" t="n"/>
      <c r="G1731" s="38" t="n"/>
    </row>
    <row r="1732">
      <c r="A1732" s="34" t="n"/>
      <c r="C1732" s="38" t="n"/>
      <c r="D1732" s="38" t="n"/>
      <c r="E1732" s="38" t="n"/>
      <c r="F1732" s="38" t="n"/>
      <c r="G1732" s="38" t="n"/>
    </row>
    <row r="1733">
      <c r="A1733" s="34" t="n"/>
      <c r="C1733" s="38" t="n"/>
      <c r="D1733" s="38" t="n"/>
      <c r="E1733" s="38" t="n"/>
      <c r="F1733" s="38" t="n"/>
      <c r="G1733" s="38" t="n"/>
    </row>
    <row r="1734">
      <c r="A1734" s="34" t="n"/>
      <c r="C1734" s="38" t="n"/>
      <c r="D1734" s="38" t="n"/>
      <c r="E1734" s="38" t="n"/>
      <c r="F1734" s="38" t="n"/>
      <c r="G1734" s="38" t="n"/>
    </row>
    <row r="1735">
      <c r="A1735" s="34" t="n"/>
      <c r="C1735" s="38" t="n"/>
      <c r="D1735" s="38" t="n"/>
      <c r="E1735" s="38" t="n"/>
      <c r="F1735" s="38" t="n"/>
      <c r="G1735" s="38" t="n"/>
    </row>
    <row r="1736">
      <c r="A1736" s="34" t="n"/>
      <c r="C1736" s="38" t="n"/>
      <c r="D1736" s="38" t="n"/>
      <c r="E1736" s="38" t="n"/>
      <c r="F1736" s="38" t="n"/>
      <c r="G1736" s="38" t="n"/>
    </row>
    <row r="1737">
      <c r="A1737" s="34" t="n"/>
      <c r="C1737" s="38" t="n"/>
      <c r="D1737" s="38" t="n"/>
      <c r="E1737" s="38" t="n"/>
      <c r="F1737" s="38" t="n"/>
      <c r="G1737" s="38" t="n"/>
    </row>
    <row r="1738">
      <c r="A1738" s="34" t="n"/>
      <c r="C1738" s="38" t="n"/>
      <c r="D1738" s="38" t="n"/>
      <c r="E1738" s="38" t="n"/>
      <c r="F1738" s="38" t="n"/>
      <c r="G1738" s="38" t="n"/>
    </row>
    <row r="1739">
      <c r="A1739" s="34" t="n"/>
      <c r="C1739" s="38" t="n"/>
      <c r="D1739" s="38" t="n"/>
      <c r="E1739" s="38" t="n"/>
      <c r="F1739" s="38" t="n"/>
      <c r="G1739" s="38" t="n"/>
    </row>
    <row r="1740">
      <c r="A1740" s="34" t="n"/>
      <c r="C1740" s="38" t="n"/>
      <c r="D1740" s="38" t="n"/>
      <c r="E1740" s="38" t="n"/>
      <c r="F1740" s="38" t="n"/>
      <c r="G1740" s="38" t="n"/>
    </row>
    <row r="1741">
      <c r="A1741" s="34" t="n"/>
      <c r="C1741" s="38" t="n"/>
      <c r="D1741" s="38" t="n"/>
      <c r="E1741" s="38" t="n"/>
      <c r="F1741" s="38" t="n"/>
      <c r="G1741" s="38" t="n"/>
    </row>
    <row r="1742">
      <c r="A1742" s="34" t="n"/>
      <c r="C1742" s="38" t="n"/>
      <c r="D1742" s="38" t="n"/>
      <c r="E1742" s="38" t="n"/>
      <c r="F1742" s="38" t="n"/>
      <c r="G1742" s="38" t="n"/>
    </row>
    <row r="1743">
      <c r="A1743" s="34" t="n"/>
      <c r="C1743" s="38" t="n"/>
      <c r="D1743" s="38" t="n"/>
      <c r="E1743" s="38" t="n"/>
      <c r="F1743" s="38" t="n"/>
      <c r="G1743" s="38" t="n"/>
    </row>
    <row r="1744">
      <c r="A1744" s="34" t="n"/>
      <c r="C1744" s="38" t="n"/>
      <c r="D1744" s="38" t="n"/>
      <c r="E1744" s="38" t="n"/>
      <c r="F1744" s="38" t="n"/>
      <c r="G1744" s="38" t="n"/>
    </row>
    <row r="1745">
      <c r="A1745" s="34" t="n"/>
      <c r="C1745" s="38" t="n"/>
      <c r="D1745" s="38" t="n"/>
      <c r="E1745" s="38" t="n"/>
      <c r="F1745" s="38" t="n"/>
      <c r="G1745" s="38" t="n"/>
    </row>
    <row r="1746">
      <c r="A1746" s="34" t="n"/>
      <c r="C1746" s="38" t="n"/>
      <c r="D1746" s="38" t="n"/>
      <c r="E1746" s="38" t="n"/>
      <c r="F1746" s="38" t="n"/>
      <c r="G1746" s="38" t="n"/>
    </row>
    <row r="1747">
      <c r="A1747" s="34" t="n"/>
      <c r="C1747" s="38" t="n"/>
      <c r="D1747" s="38" t="n"/>
      <c r="E1747" s="38" t="n"/>
      <c r="F1747" s="38" t="n"/>
      <c r="G1747" s="38" t="n"/>
    </row>
    <row r="1748">
      <c r="A1748" s="34" t="n"/>
      <c r="C1748" s="38" t="n"/>
      <c r="D1748" s="38" t="n"/>
      <c r="E1748" s="38" t="n"/>
      <c r="F1748" s="38" t="n"/>
      <c r="G1748" s="38" t="n"/>
    </row>
    <row r="1749">
      <c r="A1749" s="34" t="n"/>
      <c r="C1749" s="38" t="n"/>
      <c r="D1749" s="38" t="n"/>
      <c r="E1749" s="38" t="n"/>
      <c r="F1749" s="38" t="n"/>
      <c r="G1749" s="38" t="n"/>
    </row>
    <row r="1750">
      <c r="A1750" s="34" t="n"/>
      <c r="C1750" s="38" t="n"/>
      <c r="D1750" s="38" t="n"/>
      <c r="E1750" s="38" t="n"/>
      <c r="F1750" s="38" t="n"/>
      <c r="G1750" s="38" t="n"/>
    </row>
    <row r="1751">
      <c r="A1751" s="34" t="n"/>
      <c r="C1751" s="38" t="n"/>
      <c r="D1751" s="38" t="n"/>
      <c r="E1751" s="38" t="n"/>
      <c r="F1751" s="38" t="n"/>
      <c r="G1751" s="38" t="n"/>
    </row>
    <row r="1752">
      <c r="A1752" s="34" t="n"/>
      <c r="C1752" s="38" t="n"/>
      <c r="D1752" s="38" t="n"/>
      <c r="E1752" s="38" t="n"/>
      <c r="F1752" s="38" t="n"/>
      <c r="G1752" s="38" t="n"/>
    </row>
    <row r="1753">
      <c r="A1753" s="34" t="n"/>
      <c r="C1753" s="38" t="n"/>
      <c r="D1753" s="38" t="n"/>
      <c r="E1753" s="38" t="n"/>
      <c r="F1753" s="38" t="n"/>
      <c r="G1753" s="38" t="n"/>
    </row>
    <row r="1754">
      <c r="A1754" s="34" t="n"/>
      <c r="C1754" s="38" t="n"/>
      <c r="D1754" s="38" t="n"/>
      <c r="E1754" s="38" t="n"/>
      <c r="F1754" s="38" t="n"/>
      <c r="G1754" s="38" t="n"/>
    </row>
    <row r="1755">
      <c r="A1755" s="34" t="n"/>
      <c r="C1755" s="38" t="n"/>
      <c r="D1755" s="38" t="n"/>
      <c r="E1755" s="38" t="n"/>
      <c r="F1755" s="38" t="n"/>
      <c r="G1755" s="38" t="n"/>
    </row>
    <row r="1756">
      <c r="A1756" s="34" t="n"/>
      <c r="C1756" s="38" t="n"/>
      <c r="D1756" s="38" t="n"/>
      <c r="E1756" s="38" t="n"/>
      <c r="F1756" s="38" t="n"/>
      <c r="G1756" s="38" t="n"/>
    </row>
    <row r="1757">
      <c r="A1757" s="34" t="n"/>
      <c r="C1757" s="38" t="n"/>
      <c r="D1757" s="38" t="n"/>
      <c r="E1757" s="38" t="n"/>
      <c r="F1757" s="38" t="n"/>
      <c r="G1757" s="38" t="n"/>
    </row>
    <row r="1758">
      <c r="A1758" s="34" t="n"/>
      <c r="C1758" s="38" t="n"/>
      <c r="D1758" s="38" t="n"/>
      <c r="E1758" s="38" t="n"/>
      <c r="F1758" s="38" t="n"/>
      <c r="G1758" s="38" t="n"/>
    </row>
    <row r="1759">
      <c r="A1759" s="34" t="n"/>
      <c r="C1759" s="38" t="n"/>
      <c r="D1759" s="38" t="n"/>
      <c r="E1759" s="38" t="n"/>
      <c r="F1759" s="38" t="n"/>
      <c r="G1759" s="38" t="n"/>
    </row>
    <row r="1760">
      <c r="A1760" s="34" t="n"/>
      <c r="C1760" s="38" t="n"/>
      <c r="D1760" s="38" t="n"/>
      <c r="E1760" s="38" t="n"/>
      <c r="F1760" s="38" t="n"/>
      <c r="G1760" s="38" t="n"/>
    </row>
    <row r="1761">
      <c r="A1761" s="34" t="n"/>
      <c r="C1761" s="38" t="n"/>
      <c r="D1761" s="38" t="n"/>
      <c r="E1761" s="38" t="n"/>
      <c r="F1761" s="38" t="n"/>
      <c r="G1761" s="38" t="n"/>
    </row>
    <row r="1762">
      <c r="A1762" s="34" t="n"/>
      <c r="C1762" s="38" t="n"/>
      <c r="D1762" s="38" t="n"/>
      <c r="E1762" s="38" t="n"/>
      <c r="F1762" s="38" t="n"/>
      <c r="G1762" s="38" t="n"/>
    </row>
    <row r="1763">
      <c r="A1763" s="34" t="n"/>
      <c r="C1763" s="38" t="n"/>
      <c r="D1763" s="38" t="n"/>
      <c r="E1763" s="38" t="n"/>
      <c r="F1763" s="38" t="n"/>
      <c r="G1763" s="38" t="n"/>
    </row>
    <row r="1764">
      <c r="A1764" s="34" t="n"/>
      <c r="C1764" s="38" t="n"/>
      <c r="D1764" s="38" t="n"/>
      <c r="E1764" s="38" t="n"/>
      <c r="F1764" s="38" t="n"/>
      <c r="G1764" s="38" t="n"/>
    </row>
    <row r="1765">
      <c r="A1765" s="34" t="n"/>
      <c r="C1765" s="38" t="n"/>
      <c r="D1765" s="38" t="n"/>
      <c r="E1765" s="38" t="n"/>
      <c r="F1765" s="38" t="n"/>
      <c r="G1765" s="38" t="n"/>
    </row>
    <row r="1766">
      <c r="A1766" s="34" t="n"/>
      <c r="C1766" s="38" t="n"/>
      <c r="D1766" s="38" t="n"/>
      <c r="E1766" s="38" t="n"/>
      <c r="F1766" s="38" t="n"/>
      <c r="G1766" s="38" t="n"/>
    </row>
    <row r="1767">
      <c r="A1767" s="34" t="n"/>
      <c r="C1767" s="38" t="n"/>
      <c r="D1767" s="38" t="n"/>
      <c r="E1767" s="38" t="n"/>
      <c r="F1767" s="38" t="n"/>
      <c r="G1767" s="38" t="n"/>
    </row>
    <row r="1768">
      <c r="A1768" s="34" t="n"/>
      <c r="C1768" s="38" t="n"/>
      <c r="D1768" s="38" t="n"/>
      <c r="E1768" s="38" t="n"/>
      <c r="F1768" s="38" t="n"/>
      <c r="G1768" s="38" t="n"/>
    </row>
    <row r="1769">
      <c r="A1769" s="34" t="n"/>
      <c r="C1769" s="38" t="n"/>
      <c r="D1769" s="38" t="n"/>
      <c r="E1769" s="38" t="n"/>
      <c r="F1769" s="38" t="n"/>
      <c r="G1769" s="38" t="n"/>
    </row>
    <row r="1770">
      <c r="A1770" s="34" t="n"/>
      <c r="C1770" s="38" t="n"/>
      <c r="D1770" s="38" t="n"/>
      <c r="E1770" s="38" t="n"/>
      <c r="F1770" s="38" t="n"/>
      <c r="G1770" s="38" t="n"/>
    </row>
    <row r="1771">
      <c r="A1771" s="34" t="n"/>
      <c r="C1771" s="38" t="n"/>
      <c r="D1771" s="38" t="n"/>
      <c r="E1771" s="38" t="n"/>
      <c r="F1771" s="38" t="n"/>
      <c r="G1771" s="38" t="n"/>
    </row>
    <row r="1772">
      <c r="A1772" s="34" t="n"/>
      <c r="C1772" s="38" t="n"/>
      <c r="D1772" s="38" t="n"/>
      <c r="E1772" s="38" t="n"/>
      <c r="F1772" s="38" t="n"/>
      <c r="G1772" s="38" t="n"/>
    </row>
    <row r="1773">
      <c r="A1773" s="34" t="n"/>
      <c r="C1773" s="38" t="n"/>
      <c r="D1773" s="38" t="n"/>
      <c r="E1773" s="38" t="n"/>
      <c r="F1773" s="38" t="n"/>
      <c r="G1773" s="38" t="n"/>
    </row>
    <row r="1774">
      <c r="A1774" s="34" t="n"/>
      <c r="C1774" s="38" t="n"/>
      <c r="D1774" s="38" t="n"/>
      <c r="E1774" s="38" t="n"/>
      <c r="F1774" s="38" t="n"/>
      <c r="G1774" s="38" t="n"/>
    </row>
    <row r="1775">
      <c r="A1775" s="34" t="n"/>
      <c r="C1775" s="38" t="n"/>
      <c r="D1775" s="38" t="n"/>
      <c r="E1775" s="38" t="n"/>
      <c r="F1775" s="38" t="n"/>
      <c r="G1775" s="38" t="n"/>
    </row>
    <row r="1776">
      <c r="A1776" s="34" t="n"/>
      <c r="C1776" s="38" t="n"/>
      <c r="D1776" s="38" t="n"/>
      <c r="E1776" s="38" t="n"/>
      <c r="F1776" s="38" t="n"/>
      <c r="G1776" s="38" t="n"/>
    </row>
    <row r="1777">
      <c r="A1777" s="34" t="n"/>
      <c r="C1777" s="38" t="n"/>
      <c r="D1777" s="38" t="n"/>
      <c r="E1777" s="38" t="n"/>
      <c r="F1777" s="38" t="n"/>
      <c r="G1777" s="38" t="n"/>
    </row>
    <row r="1778">
      <c r="A1778" s="34" t="n"/>
      <c r="C1778" s="38" t="n"/>
      <c r="D1778" s="38" t="n"/>
      <c r="E1778" s="38" t="n"/>
      <c r="F1778" s="38" t="n"/>
      <c r="G1778" s="38" t="n"/>
    </row>
    <row r="1779">
      <c r="A1779" s="34" t="n"/>
      <c r="C1779" s="38" t="n"/>
      <c r="D1779" s="38" t="n"/>
      <c r="E1779" s="38" t="n"/>
      <c r="F1779" s="38" t="n"/>
      <c r="G1779" s="38" t="n"/>
    </row>
    <row r="1780">
      <c r="A1780" s="34" t="n"/>
      <c r="C1780" s="38" t="n"/>
      <c r="D1780" s="38" t="n"/>
      <c r="E1780" s="38" t="n"/>
      <c r="F1780" s="38" t="n"/>
      <c r="G1780" s="38" t="n"/>
    </row>
    <row r="1781">
      <c r="A1781" s="34" t="n"/>
      <c r="C1781" s="38" t="n"/>
      <c r="D1781" s="38" t="n"/>
      <c r="E1781" s="38" t="n"/>
      <c r="F1781" s="38" t="n"/>
      <c r="G1781" s="38" t="n"/>
    </row>
    <row r="1782">
      <c r="A1782" s="34" t="n"/>
      <c r="C1782" s="38" t="n"/>
      <c r="D1782" s="38" t="n"/>
      <c r="E1782" s="38" t="n"/>
      <c r="F1782" s="38" t="n"/>
      <c r="G1782" s="38" t="n"/>
    </row>
    <row r="1783">
      <c r="A1783" s="34" t="n"/>
      <c r="C1783" s="38" t="n"/>
      <c r="D1783" s="38" t="n"/>
      <c r="E1783" s="38" t="n"/>
      <c r="F1783" s="38" t="n"/>
      <c r="G1783" s="38" t="n"/>
    </row>
    <row r="1784">
      <c r="A1784" s="34" t="n"/>
      <c r="C1784" s="38" t="n"/>
      <c r="D1784" s="38" t="n"/>
      <c r="E1784" s="38" t="n"/>
      <c r="F1784" s="38" t="n"/>
      <c r="G1784" s="38" t="n"/>
    </row>
    <row r="1785">
      <c r="A1785" s="34" t="n"/>
      <c r="C1785" s="38" t="n"/>
      <c r="D1785" s="38" t="n"/>
      <c r="E1785" s="38" t="n"/>
      <c r="F1785" s="38" t="n"/>
      <c r="G1785" s="38" t="n"/>
    </row>
    <row r="1786">
      <c r="A1786" s="34" t="n"/>
      <c r="C1786" s="38" t="n"/>
      <c r="D1786" s="38" t="n"/>
      <c r="E1786" s="38" t="n"/>
      <c r="F1786" s="38" t="n"/>
      <c r="G1786" s="38" t="n"/>
    </row>
    <row r="1787">
      <c r="A1787" s="34" t="n"/>
      <c r="C1787" s="38" t="n"/>
      <c r="D1787" s="38" t="n"/>
      <c r="E1787" s="38" t="n"/>
      <c r="F1787" s="38" t="n"/>
      <c r="G1787" s="38" t="n"/>
    </row>
    <row r="1788">
      <c r="A1788" s="34" t="n"/>
      <c r="C1788" s="38" t="n"/>
      <c r="D1788" s="38" t="n"/>
      <c r="E1788" s="38" t="n"/>
      <c r="F1788" s="38" t="n"/>
      <c r="G1788" s="38" t="n"/>
    </row>
    <row r="1789">
      <c r="A1789" s="34" t="n"/>
      <c r="C1789" s="38" t="n"/>
      <c r="D1789" s="38" t="n"/>
      <c r="E1789" s="38" t="n"/>
      <c r="F1789" s="38" t="n"/>
      <c r="G1789" s="38" t="n"/>
    </row>
    <row r="1790">
      <c r="A1790" s="34" t="n"/>
      <c r="C1790" s="38" t="n"/>
      <c r="D1790" s="38" t="n"/>
      <c r="E1790" s="38" t="n"/>
      <c r="F1790" s="38" t="n"/>
      <c r="G1790" s="38" t="n"/>
    </row>
    <row r="1791">
      <c r="A1791" s="34" t="n"/>
      <c r="C1791" s="38" t="n"/>
      <c r="D1791" s="38" t="n"/>
      <c r="E1791" s="38" t="n"/>
      <c r="F1791" s="38" t="n"/>
      <c r="G1791" s="38" t="n"/>
    </row>
    <row r="1792">
      <c r="A1792" s="34" t="n"/>
      <c r="C1792" s="38" t="n"/>
      <c r="D1792" s="38" t="n"/>
      <c r="E1792" s="38" t="n"/>
      <c r="F1792" s="38" t="n"/>
      <c r="G1792" s="38" t="n"/>
    </row>
    <row r="1793">
      <c r="A1793" s="34" t="n"/>
      <c r="C1793" s="38" t="n"/>
      <c r="D1793" s="38" t="n"/>
      <c r="E1793" s="38" t="n"/>
      <c r="F1793" s="38" t="n"/>
      <c r="G1793" s="38" t="n"/>
    </row>
    <row r="1794">
      <c r="A1794" s="34" t="n"/>
      <c r="C1794" s="38" t="n"/>
      <c r="D1794" s="38" t="n"/>
      <c r="E1794" s="38" t="n"/>
      <c r="F1794" s="38" t="n"/>
      <c r="G1794" s="38" t="n"/>
    </row>
    <row r="1795">
      <c r="A1795" s="34" t="n"/>
      <c r="C1795" s="38" t="n"/>
      <c r="D1795" s="38" t="n"/>
      <c r="E1795" s="38" t="n"/>
      <c r="F1795" s="38" t="n"/>
      <c r="G1795" s="38" t="n"/>
    </row>
    <row r="1796">
      <c r="A1796" s="34" t="n"/>
      <c r="C1796" s="38" t="n"/>
      <c r="D1796" s="38" t="n"/>
      <c r="E1796" s="38" t="n"/>
      <c r="F1796" s="38" t="n"/>
      <c r="G1796" s="38" t="n"/>
    </row>
    <row r="1797">
      <c r="A1797" s="34" t="n"/>
      <c r="C1797" s="38" t="n"/>
      <c r="D1797" s="38" t="n"/>
      <c r="E1797" s="38" t="n"/>
      <c r="F1797" s="38" t="n"/>
      <c r="G1797" s="38" t="n"/>
    </row>
    <row r="1798">
      <c r="A1798" s="34" t="n"/>
      <c r="C1798" s="38" t="n"/>
      <c r="D1798" s="38" t="n"/>
      <c r="E1798" s="38" t="n"/>
      <c r="F1798" s="38" t="n"/>
      <c r="G1798" s="38" t="n"/>
    </row>
    <row r="1799">
      <c r="A1799" s="34" t="n"/>
      <c r="C1799" s="38" t="n"/>
      <c r="D1799" s="38" t="n"/>
      <c r="E1799" s="38" t="n"/>
      <c r="F1799" s="38" t="n"/>
      <c r="G1799" s="38" t="n"/>
    </row>
    <row r="1800">
      <c r="A1800" s="34" t="n"/>
      <c r="C1800" s="38" t="n"/>
      <c r="D1800" s="38" t="n"/>
      <c r="E1800" s="38" t="n"/>
      <c r="F1800" s="38" t="n"/>
      <c r="G1800" s="38" t="n"/>
    </row>
    <row r="1801">
      <c r="A1801" s="34" t="n"/>
      <c r="C1801" s="38" t="n"/>
      <c r="D1801" s="38" t="n"/>
      <c r="E1801" s="38" t="n"/>
      <c r="F1801" s="38" t="n"/>
      <c r="G1801" s="38" t="n"/>
    </row>
    <row r="1802">
      <c r="A1802" s="34" t="n"/>
      <c r="C1802" s="38" t="n"/>
      <c r="D1802" s="38" t="n"/>
      <c r="E1802" s="38" t="n"/>
      <c r="F1802" s="38" t="n"/>
      <c r="G1802" s="38" t="n"/>
    </row>
    <row r="1803">
      <c r="A1803" s="34" t="n"/>
      <c r="C1803" s="38" t="n"/>
      <c r="D1803" s="38" t="n"/>
      <c r="E1803" s="38" t="n"/>
      <c r="F1803" s="38" t="n"/>
      <c r="G1803" s="38" t="n"/>
    </row>
    <row r="1804">
      <c r="A1804" s="34" t="n"/>
      <c r="C1804" s="38" t="n"/>
      <c r="D1804" s="38" t="n"/>
      <c r="E1804" s="38" t="n"/>
      <c r="F1804" s="38" t="n"/>
      <c r="G1804" s="38" t="n"/>
    </row>
    <row r="1805">
      <c r="A1805" s="34" t="n"/>
      <c r="C1805" s="38" t="n"/>
      <c r="D1805" s="38" t="n"/>
      <c r="E1805" s="38" t="n"/>
      <c r="F1805" s="38" t="n"/>
      <c r="G1805" s="38" t="n"/>
    </row>
    <row r="1806">
      <c r="A1806" s="34" t="n"/>
      <c r="C1806" s="38" t="n"/>
      <c r="D1806" s="38" t="n"/>
      <c r="E1806" s="38" t="n"/>
      <c r="F1806" s="38" t="n"/>
      <c r="G1806" s="38" t="n"/>
    </row>
    <row r="1807">
      <c r="A1807" s="34" t="n"/>
      <c r="C1807" s="38" t="n"/>
      <c r="D1807" s="38" t="n"/>
      <c r="E1807" s="38" t="n"/>
      <c r="F1807" s="38" t="n"/>
      <c r="G1807" s="38" t="n"/>
    </row>
    <row r="1808">
      <c r="A1808" s="34" t="n"/>
      <c r="C1808" s="38" t="n"/>
      <c r="D1808" s="38" t="n"/>
      <c r="E1808" s="38" t="n"/>
      <c r="F1808" s="38" t="n"/>
      <c r="G1808" s="38" t="n"/>
    </row>
    <row r="1809">
      <c r="A1809" s="34" t="n"/>
      <c r="C1809" s="38" t="n"/>
      <c r="D1809" s="38" t="n"/>
      <c r="E1809" s="38" t="n"/>
      <c r="F1809" s="38" t="n"/>
      <c r="G1809" s="38" t="n"/>
    </row>
    <row r="1810">
      <c r="A1810" s="34" t="n"/>
      <c r="C1810" s="38" t="n"/>
      <c r="D1810" s="38" t="n"/>
      <c r="E1810" s="38" t="n"/>
      <c r="F1810" s="38" t="n"/>
      <c r="G1810" s="38" t="n"/>
    </row>
    <row r="1811">
      <c r="A1811" s="34" t="n"/>
      <c r="C1811" s="38" t="n"/>
      <c r="D1811" s="38" t="n"/>
      <c r="E1811" s="38" t="n"/>
      <c r="F1811" s="38" t="n"/>
      <c r="G1811" s="38" t="n"/>
    </row>
    <row r="1812">
      <c r="A1812" s="34" t="n"/>
      <c r="C1812" s="38" t="n"/>
      <c r="D1812" s="38" t="n"/>
      <c r="E1812" s="38" t="n"/>
      <c r="F1812" s="38" t="n"/>
      <c r="G1812" s="38" t="n"/>
    </row>
    <row r="1813">
      <c r="A1813" s="34" t="n"/>
      <c r="C1813" s="38" t="n"/>
      <c r="D1813" s="38" t="n"/>
      <c r="E1813" s="38" t="n"/>
      <c r="F1813" s="38" t="n"/>
      <c r="G1813" s="38" t="n"/>
    </row>
    <row r="1814">
      <c r="A1814" s="34" t="n"/>
      <c r="C1814" s="38" t="n"/>
      <c r="D1814" s="38" t="n"/>
      <c r="E1814" s="38" t="n"/>
      <c r="F1814" s="38" t="n"/>
      <c r="G1814" s="38" t="n"/>
    </row>
    <row r="1815">
      <c r="A1815" s="34" t="n"/>
      <c r="C1815" s="38" t="n"/>
      <c r="D1815" s="38" t="n"/>
      <c r="E1815" s="38" t="n"/>
      <c r="F1815" s="38" t="n"/>
      <c r="G1815" s="38" t="n"/>
    </row>
    <row r="1816">
      <c r="A1816" s="34" t="n"/>
      <c r="C1816" s="38" t="n"/>
      <c r="D1816" s="38" t="n"/>
      <c r="E1816" s="38" t="n"/>
      <c r="F1816" s="38" t="n"/>
      <c r="G1816" s="38" t="n"/>
    </row>
    <row r="1817">
      <c r="A1817" s="34" t="n"/>
      <c r="C1817" s="38" t="n"/>
      <c r="D1817" s="38" t="n"/>
      <c r="E1817" s="38" t="n"/>
      <c r="F1817" s="38" t="n"/>
      <c r="G1817" s="38" t="n"/>
    </row>
    <row r="1818">
      <c r="A1818" s="34" t="n"/>
      <c r="C1818" s="38" t="n"/>
      <c r="D1818" s="38" t="n"/>
      <c r="E1818" s="38" t="n"/>
      <c r="F1818" s="38" t="n"/>
      <c r="G1818" s="38" t="n"/>
    </row>
    <row r="1819">
      <c r="A1819" s="34" t="n"/>
      <c r="C1819" s="38" t="n"/>
      <c r="D1819" s="38" t="n"/>
      <c r="E1819" s="38" t="n"/>
      <c r="F1819" s="38" t="n"/>
      <c r="G1819" s="38" t="n"/>
    </row>
    <row r="1820">
      <c r="A1820" s="34" t="n"/>
      <c r="C1820" s="38" t="n"/>
      <c r="D1820" s="38" t="n"/>
      <c r="E1820" s="38" t="n"/>
      <c r="F1820" s="38" t="n"/>
      <c r="G1820" s="38" t="n"/>
    </row>
    <row r="1821">
      <c r="A1821" s="34" t="n"/>
      <c r="C1821" s="38" t="n"/>
      <c r="D1821" s="38" t="n"/>
      <c r="E1821" s="38" t="n"/>
      <c r="F1821" s="38" t="n"/>
      <c r="G1821" s="38" t="n"/>
    </row>
    <row r="1822">
      <c r="A1822" s="34" t="n"/>
      <c r="C1822" s="38" t="n"/>
      <c r="D1822" s="38" t="n"/>
      <c r="E1822" s="38" t="n"/>
      <c r="F1822" s="38" t="n"/>
      <c r="G1822" s="38" t="n"/>
    </row>
    <row r="1823">
      <c r="A1823" s="34" t="n"/>
      <c r="C1823" s="38" t="n"/>
      <c r="D1823" s="38" t="n"/>
      <c r="E1823" s="38" t="n"/>
      <c r="F1823" s="38" t="n"/>
      <c r="G1823" s="38" t="n"/>
    </row>
    <row r="1824">
      <c r="A1824" s="34" t="n"/>
      <c r="C1824" s="38" t="n"/>
      <c r="D1824" s="38" t="n"/>
      <c r="E1824" s="38" t="n"/>
      <c r="F1824" s="38" t="n"/>
      <c r="G1824" s="38" t="n"/>
    </row>
    <row r="1825">
      <c r="A1825" s="34" t="n"/>
      <c r="C1825" s="38" t="n"/>
      <c r="D1825" s="38" t="n"/>
      <c r="E1825" s="38" t="n"/>
      <c r="F1825" s="38" t="n"/>
      <c r="G1825" s="38" t="n"/>
    </row>
    <row r="1826">
      <c r="A1826" s="34" t="n"/>
      <c r="C1826" s="38" t="n"/>
      <c r="D1826" s="38" t="n"/>
      <c r="E1826" s="38" t="n"/>
      <c r="F1826" s="38" t="n"/>
      <c r="G1826" s="38" t="n"/>
    </row>
    <row r="1827">
      <c r="A1827" s="34" t="n"/>
      <c r="C1827" s="38" t="n"/>
      <c r="D1827" s="38" t="n"/>
      <c r="E1827" s="38" t="n"/>
      <c r="F1827" s="38" t="n"/>
      <c r="G1827" s="38" t="n"/>
    </row>
    <row r="1828">
      <c r="A1828" s="34" t="n"/>
      <c r="C1828" s="38" t="n"/>
      <c r="D1828" s="38" t="n"/>
      <c r="E1828" s="38" t="n"/>
      <c r="F1828" s="38" t="n"/>
      <c r="G1828" s="38" t="n"/>
    </row>
    <row r="1829">
      <c r="A1829" s="34" t="n"/>
      <c r="C1829" s="38" t="n"/>
      <c r="D1829" s="38" t="n"/>
      <c r="E1829" s="38" t="n"/>
      <c r="F1829" s="38" t="n"/>
      <c r="G1829" s="38" t="n"/>
    </row>
    <row r="1830">
      <c r="A1830" s="34" t="n"/>
      <c r="C1830" s="38" t="n"/>
      <c r="D1830" s="38" t="n"/>
      <c r="E1830" s="38" t="n"/>
      <c r="F1830" s="38" t="n"/>
      <c r="G1830" s="38" t="n"/>
    </row>
    <row r="1831">
      <c r="A1831" s="34" t="n"/>
      <c r="C1831" s="38" t="n"/>
      <c r="D1831" s="38" t="n"/>
      <c r="E1831" s="38" t="n"/>
      <c r="F1831" s="38" t="n"/>
      <c r="G1831" s="38" t="n"/>
    </row>
    <row r="1832">
      <c r="A1832" s="34" t="n"/>
      <c r="C1832" s="38" t="n"/>
      <c r="D1832" s="38" t="n"/>
      <c r="E1832" s="38" t="n"/>
      <c r="F1832" s="38" t="n"/>
      <c r="G1832" s="38" t="n"/>
    </row>
    <row r="1833">
      <c r="A1833" s="34" t="n"/>
      <c r="C1833" s="38" t="n"/>
      <c r="D1833" s="38" t="n"/>
      <c r="E1833" s="38" t="n"/>
      <c r="F1833" s="38" t="n"/>
      <c r="G1833" s="38" t="n"/>
    </row>
    <row r="1834">
      <c r="A1834" s="34" t="n"/>
      <c r="C1834" s="38" t="n"/>
      <c r="D1834" s="38" t="n"/>
      <c r="E1834" s="38" t="n"/>
      <c r="F1834" s="38" t="n"/>
      <c r="G1834" s="38" t="n"/>
    </row>
    <row r="1835">
      <c r="A1835" s="34" t="n"/>
      <c r="C1835" s="38" t="n"/>
      <c r="D1835" s="38" t="n"/>
      <c r="E1835" s="38" t="n"/>
      <c r="F1835" s="38" t="n"/>
      <c r="G1835" s="38" t="n"/>
    </row>
    <row r="1836">
      <c r="A1836" s="34" t="n"/>
      <c r="C1836" s="38" t="n"/>
      <c r="D1836" s="38" t="n"/>
      <c r="E1836" s="38" t="n"/>
      <c r="F1836" s="38" t="n"/>
      <c r="G1836" s="38" t="n"/>
    </row>
    <row r="1837">
      <c r="A1837" s="34" t="n"/>
      <c r="C1837" s="38" t="n"/>
      <c r="D1837" s="38" t="n"/>
      <c r="E1837" s="38" t="n"/>
      <c r="F1837" s="38" t="n"/>
      <c r="G1837" s="38" t="n"/>
    </row>
    <row r="1838">
      <c r="A1838" s="34" t="n"/>
      <c r="C1838" s="38" t="n"/>
      <c r="D1838" s="38" t="n"/>
      <c r="E1838" s="38" t="n"/>
      <c r="F1838" s="38" t="n"/>
      <c r="G1838" s="38" t="n"/>
    </row>
    <row r="1839">
      <c r="A1839" s="34" t="n"/>
      <c r="C1839" s="38" t="n"/>
      <c r="D1839" s="38" t="n"/>
      <c r="E1839" s="38" t="n"/>
      <c r="F1839" s="38" t="n"/>
      <c r="G1839" s="38" t="n"/>
    </row>
    <row r="1840">
      <c r="A1840" s="34" t="n"/>
      <c r="C1840" s="38" t="n"/>
      <c r="D1840" s="38" t="n"/>
      <c r="E1840" s="38" t="n"/>
      <c r="F1840" s="38" t="n"/>
      <c r="G1840" s="38" t="n"/>
    </row>
    <row r="1841">
      <c r="A1841" s="34" t="n"/>
      <c r="C1841" s="38" t="n"/>
      <c r="D1841" s="38" t="n"/>
      <c r="E1841" s="38" t="n"/>
      <c r="F1841" s="38" t="n"/>
      <c r="G1841" s="38" t="n"/>
    </row>
    <row r="1842">
      <c r="A1842" s="34" t="n"/>
      <c r="C1842" s="38" t="n"/>
      <c r="D1842" s="38" t="n"/>
      <c r="E1842" s="38" t="n"/>
      <c r="F1842" s="38" t="n"/>
      <c r="G1842" s="38" t="n"/>
    </row>
    <row r="1843">
      <c r="A1843" s="34" t="n"/>
      <c r="C1843" s="38" t="n"/>
      <c r="D1843" s="38" t="n"/>
      <c r="E1843" s="38" t="n"/>
      <c r="F1843" s="38" t="n"/>
      <c r="G1843" s="38" t="n"/>
    </row>
    <row r="1844">
      <c r="A1844" s="34" t="n"/>
      <c r="C1844" s="38" t="n"/>
      <c r="D1844" s="38" t="n"/>
      <c r="E1844" s="38" t="n"/>
      <c r="F1844" s="38" t="n"/>
      <c r="G1844" s="38" t="n"/>
    </row>
    <row r="1845">
      <c r="A1845" s="34" t="n"/>
      <c r="C1845" s="38" t="n"/>
      <c r="D1845" s="38" t="n"/>
      <c r="E1845" s="38" t="n"/>
      <c r="F1845" s="38" t="n"/>
      <c r="G1845" s="38" t="n"/>
    </row>
    <row r="1846">
      <c r="A1846" s="34" t="n"/>
      <c r="C1846" s="38" t="n"/>
      <c r="D1846" s="38" t="n"/>
      <c r="E1846" s="38" t="n"/>
      <c r="F1846" s="38" t="n"/>
      <c r="G1846" s="38" t="n"/>
    </row>
    <row r="1847">
      <c r="A1847" s="34" t="n"/>
      <c r="C1847" s="38" t="n"/>
      <c r="D1847" s="38" t="n"/>
      <c r="E1847" s="38" t="n"/>
      <c r="F1847" s="38" t="n"/>
      <c r="G1847" s="38" t="n"/>
    </row>
    <row r="1848">
      <c r="A1848" s="34" t="n"/>
      <c r="C1848" s="38" t="n"/>
      <c r="D1848" s="38" t="n"/>
      <c r="E1848" s="38" t="n"/>
      <c r="F1848" s="38" t="n"/>
      <c r="G1848" s="38" t="n"/>
    </row>
    <row r="1849">
      <c r="A1849" s="34" t="n"/>
      <c r="C1849" s="38" t="n"/>
      <c r="D1849" s="38" t="n"/>
      <c r="E1849" s="38" t="n"/>
      <c r="F1849" s="38" t="n"/>
      <c r="G1849" s="38" t="n"/>
    </row>
    <row r="1850">
      <c r="A1850" s="34" t="n"/>
      <c r="C1850" s="38" t="n"/>
      <c r="D1850" s="38" t="n"/>
      <c r="E1850" s="38" t="n"/>
      <c r="F1850" s="38" t="n"/>
      <c r="G1850" s="38" t="n"/>
    </row>
    <row r="1851">
      <c r="A1851" s="34" t="n"/>
      <c r="C1851" s="38" t="n"/>
      <c r="D1851" s="38" t="n"/>
      <c r="E1851" s="38" t="n"/>
      <c r="F1851" s="38" t="n"/>
      <c r="G1851" s="38" t="n"/>
    </row>
    <row r="1852">
      <c r="A1852" s="34" t="n"/>
      <c r="C1852" s="38" t="n"/>
      <c r="D1852" s="38" t="n"/>
      <c r="E1852" s="38" t="n"/>
      <c r="F1852" s="38" t="n"/>
      <c r="G1852" s="38" t="n"/>
    </row>
    <row r="1853">
      <c r="A1853" s="34" t="n"/>
      <c r="C1853" s="38" t="n"/>
      <c r="D1853" s="38" t="n"/>
      <c r="E1853" s="38" t="n"/>
      <c r="F1853" s="38" t="n"/>
      <c r="G1853" s="38" t="n"/>
    </row>
    <row r="1854">
      <c r="A1854" s="34" t="n"/>
      <c r="C1854" s="38" t="n"/>
      <c r="D1854" s="38" t="n"/>
      <c r="E1854" s="38" t="n"/>
      <c r="F1854" s="38" t="n"/>
      <c r="G1854" s="38" t="n"/>
    </row>
    <row r="1855">
      <c r="A1855" s="34" t="n"/>
      <c r="C1855" s="38" t="n"/>
      <c r="D1855" s="38" t="n"/>
      <c r="E1855" s="38" t="n"/>
      <c r="F1855" s="38" t="n"/>
      <c r="G1855" s="38" t="n"/>
    </row>
    <row r="1856">
      <c r="A1856" s="34" t="n"/>
      <c r="C1856" s="38" t="n"/>
      <c r="D1856" s="38" t="n"/>
      <c r="E1856" s="38" t="n"/>
      <c r="F1856" s="38" t="n"/>
      <c r="G1856" s="38" t="n"/>
    </row>
    <row r="1857">
      <c r="A1857" s="34" t="n"/>
      <c r="C1857" s="38" t="n"/>
      <c r="D1857" s="38" t="n"/>
      <c r="E1857" s="38" t="n"/>
      <c r="F1857" s="38" t="n"/>
      <c r="G1857" s="38" t="n"/>
    </row>
    <row r="1858">
      <c r="A1858" s="34" t="n"/>
      <c r="C1858" s="38" t="n"/>
      <c r="D1858" s="38" t="n"/>
      <c r="E1858" s="38" t="n"/>
      <c r="F1858" s="38" t="n"/>
      <c r="G1858" s="38" t="n"/>
    </row>
    <row r="1859">
      <c r="A1859" s="34" t="n"/>
      <c r="C1859" s="38" t="n"/>
      <c r="D1859" s="38" t="n"/>
      <c r="E1859" s="38" t="n"/>
      <c r="F1859" s="38" t="n"/>
      <c r="G1859" s="38" t="n"/>
    </row>
    <row r="1860">
      <c r="A1860" s="34" t="n"/>
      <c r="C1860" s="38" t="n"/>
      <c r="D1860" s="38" t="n"/>
      <c r="E1860" s="38" t="n"/>
      <c r="F1860" s="38" t="n"/>
      <c r="G1860" s="38" t="n"/>
    </row>
    <row r="1861">
      <c r="A1861" s="34" t="n"/>
      <c r="C1861" s="38" t="n"/>
      <c r="D1861" s="38" t="n"/>
      <c r="E1861" s="38" t="n"/>
      <c r="F1861" s="38" t="n"/>
      <c r="G1861" s="38" t="n"/>
    </row>
    <row r="1862">
      <c r="A1862" s="34" t="n"/>
      <c r="C1862" s="38" t="n"/>
      <c r="D1862" s="38" t="n"/>
      <c r="E1862" s="38" t="n"/>
      <c r="F1862" s="38" t="n"/>
      <c r="G1862" s="38" t="n"/>
    </row>
    <row r="1863">
      <c r="A1863" s="34" t="n"/>
      <c r="C1863" s="38" t="n"/>
      <c r="D1863" s="38" t="n"/>
      <c r="E1863" s="38" t="n"/>
      <c r="F1863" s="38" t="n"/>
      <c r="G1863" s="38" t="n"/>
    </row>
    <row r="1864">
      <c r="A1864" s="34" t="n"/>
      <c r="C1864" s="38" t="n"/>
      <c r="D1864" s="38" t="n"/>
      <c r="E1864" s="38" t="n"/>
      <c r="F1864" s="38" t="n"/>
      <c r="G1864" s="38" t="n"/>
    </row>
    <row r="1865">
      <c r="A1865" s="34" t="n"/>
      <c r="C1865" s="38" t="n"/>
      <c r="D1865" s="38" t="n"/>
      <c r="E1865" s="38" t="n"/>
      <c r="F1865" s="38" t="n"/>
      <c r="G1865" s="38" t="n"/>
    </row>
    <row r="1866">
      <c r="A1866" s="34" t="n"/>
      <c r="C1866" s="38" t="n"/>
      <c r="D1866" s="38" t="n"/>
      <c r="E1866" s="38" t="n"/>
      <c r="F1866" s="38" t="n"/>
      <c r="G1866" s="38" t="n"/>
    </row>
    <row r="1867">
      <c r="A1867" s="34" t="n"/>
      <c r="C1867" s="38" t="n"/>
      <c r="D1867" s="38" t="n"/>
      <c r="E1867" s="38" t="n"/>
      <c r="F1867" s="38" t="n"/>
      <c r="G1867" s="38" t="n"/>
    </row>
    <row r="1868">
      <c r="A1868" s="34" t="n"/>
      <c r="C1868" s="38" t="n"/>
      <c r="D1868" s="38" t="n"/>
      <c r="E1868" s="38" t="n"/>
      <c r="F1868" s="38" t="n"/>
      <c r="G1868" s="38" t="n"/>
    </row>
    <row r="1869">
      <c r="A1869" s="34" t="n"/>
      <c r="C1869" s="38" t="n"/>
      <c r="D1869" s="38" t="n"/>
      <c r="E1869" s="38" t="n"/>
      <c r="F1869" s="38" t="n"/>
      <c r="G1869" s="38" t="n"/>
    </row>
    <row r="1870">
      <c r="A1870" s="34" t="n"/>
      <c r="C1870" s="38" t="n"/>
      <c r="D1870" s="38" t="n"/>
      <c r="E1870" s="38" t="n"/>
      <c r="F1870" s="38" t="n"/>
      <c r="G1870" s="38" t="n"/>
    </row>
    <row r="1871">
      <c r="A1871" s="34" t="n"/>
      <c r="C1871" s="38" t="n"/>
      <c r="D1871" s="38" t="n"/>
      <c r="E1871" s="38" t="n"/>
      <c r="F1871" s="38" t="n"/>
      <c r="G1871" s="38" t="n"/>
    </row>
    <row r="1872">
      <c r="A1872" s="34" t="n"/>
      <c r="C1872" s="38" t="n"/>
      <c r="D1872" s="38" t="n"/>
      <c r="E1872" s="38" t="n"/>
      <c r="F1872" s="38" t="n"/>
      <c r="G1872" s="38" t="n"/>
    </row>
    <row r="1873">
      <c r="A1873" s="34" t="n"/>
      <c r="C1873" s="38" t="n"/>
      <c r="D1873" s="38" t="n"/>
      <c r="E1873" s="38" t="n"/>
      <c r="F1873" s="38" t="n"/>
      <c r="G1873" s="38" t="n"/>
    </row>
    <row r="1874">
      <c r="A1874" s="34" t="n"/>
      <c r="C1874" s="38" t="n"/>
      <c r="D1874" s="38" t="n"/>
      <c r="E1874" s="38" t="n"/>
      <c r="F1874" s="38" t="n"/>
      <c r="G1874" s="38" t="n"/>
    </row>
    <row r="1875">
      <c r="A1875" s="34" t="n"/>
      <c r="C1875" s="38" t="n"/>
      <c r="D1875" s="38" t="n"/>
      <c r="E1875" s="38" t="n"/>
      <c r="F1875" s="38" t="n"/>
      <c r="G1875" s="38" t="n"/>
    </row>
    <row r="1876">
      <c r="A1876" s="34" t="n"/>
      <c r="C1876" s="38" t="n"/>
      <c r="D1876" s="38" t="n"/>
      <c r="E1876" s="38" t="n"/>
      <c r="F1876" s="38" t="n"/>
      <c r="G1876" s="38" t="n"/>
    </row>
    <row r="1877">
      <c r="A1877" s="34" t="n"/>
      <c r="C1877" s="38" t="n"/>
      <c r="D1877" s="38" t="n"/>
      <c r="E1877" s="38" t="n"/>
      <c r="F1877" s="38" t="n"/>
      <c r="G1877" s="38" t="n"/>
    </row>
    <row r="1878">
      <c r="A1878" s="34" t="n"/>
      <c r="C1878" s="38" t="n"/>
      <c r="D1878" s="38" t="n"/>
      <c r="E1878" s="38" t="n"/>
      <c r="F1878" s="38" t="n"/>
      <c r="G1878" s="38" t="n"/>
    </row>
    <row r="1879">
      <c r="A1879" s="34" t="n"/>
      <c r="C1879" s="38" t="n"/>
      <c r="D1879" s="38" t="n"/>
      <c r="E1879" s="38" t="n"/>
      <c r="F1879" s="38" t="n"/>
      <c r="G1879" s="38" t="n"/>
    </row>
    <row r="1880">
      <c r="A1880" s="34" t="n"/>
      <c r="C1880" s="38" t="n"/>
      <c r="D1880" s="38" t="n"/>
      <c r="E1880" s="38" t="n"/>
      <c r="F1880" s="38" t="n"/>
      <c r="G1880" s="38" t="n"/>
    </row>
    <row r="1881">
      <c r="A1881" s="34" t="n"/>
      <c r="C1881" s="38" t="n"/>
      <c r="D1881" s="38" t="n"/>
      <c r="E1881" s="38" t="n"/>
      <c r="F1881" s="38" t="n"/>
      <c r="G1881" s="38" t="n"/>
    </row>
    <row r="1882">
      <c r="A1882" s="34" t="n"/>
      <c r="C1882" s="38" t="n"/>
      <c r="D1882" s="38" t="n"/>
      <c r="E1882" s="38" t="n"/>
      <c r="F1882" s="38" t="n"/>
      <c r="G1882" s="38" t="n"/>
    </row>
    <row r="1883">
      <c r="A1883" s="34" t="n"/>
      <c r="C1883" s="38" t="n"/>
      <c r="D1883" s="38" t="n"/>
      <c r="E1883" s="38" t="n"/>
      <c r="F1883" s="38" t="n"/>
      <c r="G1883" s="38" t="n"/>
    </row>
    <row r="1884">
      <c r="A1884" s="34" t="n"/>
      <c r="C1884" s="38" t="n"/>
      <c r="D1884" s="38" t="n"/>
      <c r="E1884" s="38" t="n"/>
      <c r="F1884" s="38" t="n"/>
      <c r="G1884" s="38" t="n"/>
    </row>
    <row r="1885">
      <c r="A1885" s="34" t="n"/>
      <c r="C1885" s="38" t="n"/>
      <c r="D1885" s="38" t="n"/>
      <c r="E1885" s="38" t="n"/>
      <c r="F1885" s="38" t="n"/>
      <c r="G1885" s="38" t="n"/>
    </row>
    <row r="1886">
      <c r="A1886" s="34" t="n"/>
      <c r="C1886" s="38" t="n"/>
      <c r="D1886" s="38" t="n"/>
      <c r="E1886" s="38" t="n"/>
      <c r="F1886" s="38" t="n"/>
      <c r="G1886" s="38" t="n"/>
    </row>
    <row r="1887">
      <c r="A1887" s="34" t="n"/>
      <c r="C1887" s="38" t="n"/>
      <c r="D1887" s="38" t="n"/>
      <c r="E1887" s="38" t="n"/>
      <c r="F1887" s="38" t="n"/>
      <c r="G1887" s="38" t="n"/>
    </row>
    <row r="1888">
      <c r="A1888" s="34" t="n"/>
      <c r="C1888" s="38" t="n"/>
      <c r="D1888" s="38" t="n"/>
      <c r="E1888" s="38" t="n"/>
      <c r="F1888" s="38" t="n"/>
      <c r="G1888" s="38" t="n"/>
    </row>
    <row r="1889">
      <c r="A1889" s="34" t="n"/>
      <c r="C1889" s="38" t="n"/>
      <c r="D1889" s="38" t="n"/>
      <c r="E1889" s="38" t="n"/>
      <c r="F1889" s="38" t="n"/>
      <c r="G1889" s="38" t="n"/>
    </row>
    <row r="1890">
      <c r="A1890" s="34" t="n"/>
      <c r="C1890" s="38" t="n"/>
      <c r="D1890" s="38" t="n"/>
      <c r="E1890" s="38" t="n"/>
      <c r="F1890" s="38" t="n"/>
      <c r="G1890" s="38" t="n"/>
    </row>
    <row r="1891">
      <c r="A1891" s="34" t="n"/>
      <c r="C1891" s="38" t="n"/>
      <c r="D1891" s="38" t="n"/>
      <c r="E1891" s="38" t="n"/>
      <c r="F1891" s="38" t="n"/>
      <c r="G1891" s="38" t="n"/>
    </row>
    <row r="1892">
      <c r="A1892" s="34" t="n"/>
      <c r="C1892" s="38" t="n"/>
      <c r="D1892" s="38" t="n"/>
      <c r="E1892" s="38" t="n"/>
      <c r="F1892" s="38" t="n"/>
      <c r="G1892" s="38" t="n"/>
    </row>
    <row r="1893">
      <c r="A1893" s="34" t="n"/>
      <c r="C1893" s="38" t="n"/>
      <c r="D1893" s="38" t="n"/>
      <c r="E1893" s="38" t="n"/>
      <c r="F1893" s="38" t="n"/>
      <c r="G1893" s="38" t="n"/>
    </row>
    <row r="1894">
      <c r="A1894" s="34" t="n"/>
      <c r="C1894" s="38" t="n"/>
      <c r="D1894" s="38" t="n"/>
      <c r="E1894" s="38" t="n"/>
      <c r="F1894" s="38" t="n"/>
      <c r="G1894" s="38" t="n"/>
    </row>
    <row r="1895">
      <c r="A1895" s="34" t="n"/>
      <c r="C1895" s="38" t="n"/>
      <c r="D1895" s="38" t="n"/>
      <c r="E1895" s="38" t="n"/>
      <c r="F1895" s="38" t="n"/>
      <c r="G1895" s="38" t="n"/>
    </row>
    <row r="1896">
      <c r="A1896" s="34" t="n"/>
      <c r="C1896" s="38" t="n"/>
      <c r="D1896" s="38" t="n"/>
      <c r="E1896" s="38" t="n"/>
      <c r="F1896" s="38" t="n"/>
      <c r="G1896" s="38" t="n"/>
    </row>
    <row r="1897">
      <c r="A1897" s="34" t="n"/>
      <c r="C1897" s="38" t="n"/>
      <c r="D1897" s="38" t="n"/>
      <c r="E1897" s="38" t="n"/>
      <c r="F1897" s="38" t="n"/>
      <c r="G1897" s="38" t="n"/>
    </row>
    <row r="1898">
      <c r="A1898" s="34" t="n"/>
      <c r="C1898" s="38" t="n"/>
      <c r="D1898" s="38" t="n"/>
      <c r="E1898" s="38" t="n"/>
      <c r="F1898" s="38" t="n"/>
      <c r="G1898" s="38" t="n"/>
    </row>
    <row r="1899">
      <c r="A1899" s="34" t="n"/>
      <c r="C1899" s="38" t="n"/>
      <c r="D1899" s="38" t="n"/>
      <c r="E1899" s="38" t="n"/>
      <c r="F1899" s="38" t="n"/>
      <c r="G1899" s="38" t="n"/>
    </row>
    <row r="1900">
      <c r="A1900" s="34" t="n"/>
      <c r="C1900" s="38" t="n"/>
      <c r="D1900" s="38" t="n"/>
      <c r="E1900" s="38" t="n"/>
      <c r="F1900" s="38" t="n"/>
      <c r="G1900" s="38" t="n"/>
    </row>
    <row r="1901">
      <c r="A1901" s="34" t="n"/>
      <c r="C1901" s="38" t="n"/>
      <c r="D1901" s="38" t="n"/>
      <c r="E1901" s="38" t="n"/>
      <c r="F1901" s="38" t="n"/>
      <c r="G1901" s="38" t="n"/>
    </row>
    <row r="1902">
      <c r="A1902" s="34" t="n"/>
      <c r="C1902" s="38" t="n"/>
      <c r="D1902" s="38" t="n"/>
      <c r="E1902" s="38" t="n"/>
      <c r="F1902" s="38" t="n"/>
      <c r="G1902" s="38" t="n"/>
    </row>
    <row r="1903">
      <c r="A1903" s="34" t="n"/>
      <c r="C1903" s="38" t="n"/>
      <c r="D1903" s="38" t="n"/>
      <c r="E1903" s="38" t="n"/>
      <c r="F1903" s="38" t="n"/>
      <c r="G1903" s="38" t="n"/>
    </row>
    <row r="1904">
      <c r="A1904" s="34" t="n"/>
      <c r="C1904" s="38" t="n"/>
      <c r="D1904" s="38" t="n"/>
      <c r="E1904" s="38" t="n"/>
      <c r="F1904" s="38" t="n"/>
      <c r="G1904" s="38" t="n"/>
    </row>
    <row r="1905">
      <c r="A1905" s="34" t="n"/>
      <c r="C1905" s="38" t="n"/>
      <c r="D1905" s="38" t="n"/>
      <c r="E1905" s="38" t="n"/>
      <c r="F1905" s="38" t="n"/>
      <c r="G1905" s="38" t="n"/>
    </row>
    <row r="1906">
      <c r="A1906" s="34" t="n"/>
      <c r="C1906" s="38" t="n"/>
      <c r="D1906" s="38" t="n"/>
      <c r="E1906" s="38" t="n"/>
      <c r="F1906" s="38" t="n"/>
      <c r="G1906" s="38" t="n"/>
    </row>
    <row r="1907">
      <c r="A1907" s="34" t="n"/>
      <c r="C1907" s="38" t="n"/>
      <c r="D1907" s="38" t="n"/>
      <c r="E1907" s="38" t="n"/>
      <c r="F1907" s="38" t="n"/>
      <c r="G1907" s="38" t="n"/>
    </row>
    <row r="1908">
      <c r="A1908" s="34" t="n"/>
      <c r="C1908" s="38" t="n"/>
      <c r="D1908" s="38" t="n"/>
      <c r="E1908" s="38" t="n"/>
      <c r="F1908" s="38" t="n"/>
      <c r="G1908" s="38" t="n"/>
    </row>
    <row r="1909">
      <c r="A1909" s="34" t="n"/>
      <c r="C1909" s="38" t="n"/>
      <c r="D1909" s="38" t="n"/>
      <c r="E1909" s="38" t="n"/>
      <c r="F1909" s="38" t="n"/>
      <c r="G1909" s="38" t="n"/>
    </row>
    <row r="1910">
      <c r="A1910" s="34" t="n"/>
      <c r="C1910" s="38" t="n"/>
      <c r="D1910" s="38" t="n"/>
      <c r="E1910" s="38" t="n"/>
      <c r="F1910" s="38" t="n"/>
      <c r="G1910" s="38" t="n"/>
    </row>
    <row r="1911">
      <c r="A1911" s="34" t="n"/>
      <c r="C1911" s="38" t="n"/>
      <c r="D1911" s="38" t="n"/>
      <c r="E1911" s="38" t="n"/>
      <c r="F1911" s="38" t="n"/>
      <c r="G1911" s="38" t="n"/>
    </row>
    <row r="1912">
      <c r="A1912" s="34" t="n"/>
      <c r="C1912" s="38" t="n"/>
      <c r="D1912" s="38" t="n"/>
      <c r="E1912" s="38" t="n"/>
      <c r="F1912" s="38" t="n"/>
      <c r="G1912" s="38" t="n"/>
    </row>
    <row r="1913">
      <c r="A1913" s="34" t="n"/>
      <c r="C1913" s="38" t="n"/>
      <c r="D1913" s="38" t="n"/>
      <c r="E1913" s="38" t="n"/>
      <c r="F1913" s="38" t="n"/>
      <c r="G1913" s="38" t="n"/>
    </row>
    <row r="1914">
      <c r="A1914" s="34" t="n"/>
      <c r="C1914" s="38" t="n"/>
      <c r="D1914" s="38" t="n"/>
      <c r="E1914" s="38" t="n"/>
      <c r="F1914" s="38" t="n"/>
      <c r="G1914" s="38" t="n"/>
    </row>
    <row r="1915">
      <c r="A1915" s="34" t="n"/>
      <c r="C1915" s="38" t="n"/>
      <c r="D1915" s="38" t="n"/>
      <c r="E1915" s="38" t="n"/>
      <c r="F1915" s="38" t="n"/>
      <c r="G1915" s="38" t="n"/>
    </row>
    <row r="1916">
      <c r="A1916" s="34" t="n"/>
      <c r="C1916" s="38" t="n"/>
      <c r="D1916" s="38" t="n"/>
      <c r="E1916" s="38" t="n"/>
      <c r="F1916" s="38" t="n"/>
      <c r="G1916" s="38" t="n"/>
    </row>
    <row r="1917">
      <c r="A1917" s="34" t="n"/>
      <c r="C1917" s="38" t="n"/>
      <c r="D1917" s="38" t="n"/>
      <c r="E1917" s="38" t="n"/>
      <c r="F1917" s="38" t="n"/>
      <c r="G1917" s="38" t="n"/>
    </row>
    <row r="1918">
      <c r="A1918" s="34" t="n"/>
      <c r="C1918" s="38" t="n"/>
      <c r="D1918" s="38" t="n"/>
      <c r="E1918" s="38" t="n"/>
      <c r="F1918" s="38" t="n"/>
      <c r="G1918" s="38" t="n"/>
    </row>
    <row r="1919">
      <c r="A1919" s="34" t="n"/>
      <c r="C1919" s="38" t="n"/>
      <c r="D1919" s="38" t="n"/>
      <c r="E1919" s="38" t="n"/>
      <c r="F1919" s="38" t="n"/>
      <c r="G1919" s="38" t="n"/>
    </row>
    <row r="1920">
      <c r="A1920" s="34" t="n"/>
      <c r="C1920" s="38" t="n"/>
      <c r="D1920" s="38" t="n"/>
      <c r="E1920" s="38" t="n"/>
      <c r="F1920" s="38" t="n"/>
      <c r="G1920" s="38" t="n"/>
    </row>
    <row r="1921">
      <c r="A1921" s="34" t="n"/>
      <c r="C1921" s="38" t="n"/>
      <c r="D1921" s="38" t="n"/>
      <c r="E1921" s="38" t="n"/>
      <c r="F1921" s="38" t="n"/>
      <c r="G1921" s="38" t="n"/>
    </row>
    <row r="1922">
      <c r="A1922" s="34" t="n"/>
      <c r="C1922" s="38" t="n"/>
      <c r="D1922" s="38" t="n"/>
      <c r="E1922" s="38" t="n"/>
      <c r="F1922" s="38" t="n"/>
      <c r="G1922" s="38" t="n"/>
    </row>
    <row r="1923">
      <c r="A1923" s="34" t="n"/>
      <c r="C1923" s="38" t="n"/>
      <c r="D1923" s="38" t="n"/>
      <c r="E1923" s="38" t="n"/>
      <c r="F1923" s="38" t="n"/>
      <c r="G1923" s="38" t="n"/>
    </row>
    <row r="1924">
      <c r="A1924" s="34" t="n"/>
      <c r="C1924" s="38" t="n"/>
      <c r="D1924" s="38" t="n"/>
      <c r="E1924" s="38" t="n"/>
      <c r="F1924" s="38" t="n"/>
      <c r="G1924" s="38" t="n"/>
    </row>
    <row r="1925">
      <c r="A1925" s="34" t="n"/>
      <c r="C1925" s="38" t="n"/>
      <c r="D1925" s="38" t="n"/>
      <c r="E1925" s="38" t="n"/>
      <c r="F1925" s="38" t="n"/>
      <c r="G1925" s="38" t="n"/>
    </row>
    <row r="1926">
      <c r="A1926" s="34" t="n"/>
      <c r="C1926" s="38" t="n"/>
      <c r="D1926" s="38" t="n"/>
      <c r="E1926" s="38" t="n"/>
      <c r="F1926" s="38" t="n"/>
      <c r="G1926" s="38" t="n"/>
    </row>
    <row r="1927">
      <c r="A1927" s="34" t="n"/>
      <c r="C1927" s="38" t="n"/>
      <c r="D1927" s="38" t="n"/>
      <c r="E1927" s="38" t="n"/>
      <c r="F1927" s="38" t="n"/>
      <c r="G1927" s="38" t="n"/>
    </row>
    <row r="1928">
      <c r="A1928" s="34" t="n"/>
      <c r="C1928" s="38" t="n"/>
      <c r="D1928" s="38" t="n"/>
      <c r="E1928" s="38" t="n"/>
      <c r="F1928" s="38" t="n"/>
      <c r="G1928" s="38" t="n"/>
    </row>
    <row r="1929">
      <c r="A1929" s="34" t="n"/>
      <c r="C1929" s="38" t="n"/>
      <c r="D1929" s="38" t="n"/>
      <c r="E1929" s="38" t="n"/>
      <c r="F1929" s="38" t="n"/>
      <c r="G1929" s="38" t="n"/>
    </row>
    <row r="1930">
      <c r="A1930" s="34" t="n"/>
      <c r="C1930" s="38" t="n"/>
      <c r="D1930" s="38" t="n"/>
      <c r="E1930" s="38" t="n"/>
      <c r="F1930" s="38" t="n"/>
      <c r="G1930" s="38" t="n"/>
    </row>
    <row r="1931">
      <c r="A1931" s="34" t="n"/>
      <c r="C1931" s="38" t="n"/>
      <c r="D1931" s="38" t="n"/>
      <c r="E1931" s="38" t="n"/>
      <c r="F1931" s="38" t="n"/>
      <c r="G1931" s="38" t="n"/>
    </row>
    <row r="1932">
      <c r="A1932" s="34" t="n"/>
      <c r="C1932" s="38" t="n"/>
      <c r="D1932" s="38" t="n"/>
      <c r="E1932" s="38" t="n"/>
      <c r="F1932" s="38" t="n"/>
      <c r="G1932" s="38" t="n"/>
    </row>
    <row r="1933">
      <c r="A1933" s="34" t="n"/>
      <c r="C1933" s="38" t="n"/>
      <c r="D1933" s="38" t="n"/>
      <c r="E1933" s="38" t="n"/>
      <c r="F1933" s="38" t="n"/>
      <c r="G1933" s="38" t="n"/>
    </row>
    <row r="1934">
      <c r="A1934" s="34" t="n"/>
      <c r="C1934" s="38" t="n"/>
      <c r="D1934" s="38" t="n"/>
      <c r="E1934" s="38" t="n"/>
      <c r="F1934" s="38" t="n"/>
      <c r="G1934" s="38" t="n"/>
    </row>
    <row r="1935">
      <c r="A1935" s="34" t="n"/>
      <c r="C1935" s="38" t="n"/>
      <c r="D1935" s="38" t="n"/>
      <c r="E1935" s="38" t="n"/>
      <c r="F1935" s="38" t="n"/>
      <c r="G1935" s="38" t="n"/>
    </row>
    <row r="1936">
      <c r="A1936" s="34" t="n"/>
      <c r="C1936" s="38" t="n"/>
      <c r="D1936" s="38" t="n"/>
      <c r="E1936" s="38" t="n"/>
      <c r="F1936" s="38" t="n"/>
      <c r="G1936" s="38" t="n"/>
    </row>
    <row r="1937">
      <c r="A1937" s="34" t="n"/>
      <c r="C1937" s="38" t="n"/>
      <c r="D1937" s="38" t="n"/>
      <c r="E1937" s="38" t="n"/>
      <c r="F1937" s="38" t="n"/>
      <c r="G1937" s="38" t="n"/>
    </row>
    <row r="1938">
      <c r="A1938" s="34" t="n"/>
      <c r="C1938" s="38" t="n"/>
      <c r="D1938" s="38" t="n"/>
      <c r="E1938" s="38" t="n"/>
      <c r="F1938" s="38" t="n"/>
      <c r="G1938" s="38" t="n"/>
    </row>
    <row r="1939">
      <c r="A1939" s="34" t="n"/>
      <c r="C1939" s="38" t="n"/>
      <c r="D1939" s="38" t="n"/>
      <c r="E1939" s="38" t="n"/>
      <c r="F1939" s="38" t="n"/>
      <c r="G1939" s="38" t="n"/>
    </row>
    <row r="1940">
      <c r="A1940" s="34" t="n"/>
      <c r="C1940" s="38" t="n"/>
      <c r="D1940" s="38" t="n"/>
      <c r="E1940" s="38" t="n"/>
      <c r="F1940" s="38" t="n"/>
      <c r="G1940" s="38" t="n"/>
    </row>
    <row r="1941">
      <c r="A1941" s="34" t="n"/>
      <c r="C1941" s="38" t="n"/>
      <c r="D1941" s="38" t="n"/>
      <c r="E1941" s="38" t="n"/>
      <c r="F1941" s="38" t="n"/>
      <c r="G1941" s="38" t="n"/>
    </row>
    <row r="1942">
      <c r="A1942" s="34" t="n"/>
      <c r="C1942" s="38" t="n"/>
      <c r="D1942" s="38" t="n"/>
      <c r="E1942" s="38" t="n"/>
      <c r="F1942" s="38" t="n"/>
      <c r="G1942" s="38" t="n"/>
    </row>
    <row r="1943">
      <c r="A1943" s="34" t="n"/>
      <c r="C1943" s="38" t="n"/>
      <c r="D1943" s="38" t="n"/>
      <c r="E1943" s="38" t="n"/>
      <c r="F1943" s="38" t="n"/>
      <c r="G1943" s="38" t="n"/>
    </row>
    <row r="1944">
      <c r="A1944" s="34" t="n"/>
      <c r="C1944" s="38" t="n"/>
      <c r="D1944" s="38" t="n"/>
      <c r="E1944" s="38" t="n"/>
      <c r="F1944" s="38" t="n"/>
      <c r="G1944" s="38" t="n"/>
    </row>
    <row r="1945">
      <c r="A1945" s="34" t="n"/>
      <c r="C1945" s="38" t="n"/>
      <c r="D1945" s="38" t="n"/>
      <c r="E1945" s="38" t="n"/>
      <c r="F1945" s="38" t="n"/>
      <c r="G1945" s="38" t="n"/>
    </row>
    <row r="1946">
      <c r="A1946" s="34" t="n"/>
      <c r="C1946" s="38" t="n"/>
      <c r="D1946" s="38" t="n"/>
      <c r="E1946" s="38" t="n"/>
      <c r="F1946" s="38" t="n"/>
      <c r="G1946" s="38" t="n"/>
    </row>
    <row r="1947">
      <c r="A1947" s="34" t="n"/>
      <c r="C1947" s="38" t="n"/>
      <c r="D1947" s="38" t="n"/>
      <c r="E1947" s="38" t="n"/>
      <c r="F1947" s="38" t="n"/>
      <c r="G1947" s="38" t="n"/>
    </row>
    <row r="1948">
      <c r="A1948" s="34" t="n"/>
      <c r="C1948" s="38" t="n"/>
      <c r="D1948" s="38" t="n"/>
      <c r="E1948" s="38" t="n"/>
      <c r="F1948" s="38" t="n"/>
      <c r="G1948" s="38" t="n"/>
    </row>
    <row r="1949">
      <c r="A1949" s="34" t="n"/>
      <c r="C1949" s="38" t="n"/>
      <c r="D1949" s="38" t="n"/>
      <c r="E1949" s="38" t="n"/>
      <c r="F1949" s="38" t="n"/>
      <c r="G1949" s="38" t="n"/>
    </row>
    <row r="1950">
      <c r="A1950" s="34" t="n"/>
      <c r="C1950" s="38" t="n"/>
      <c r="D1950" s="38" t="n"/>
      <c r="E1950" s="38" t="n"/>
      <c r="F1950" s="38" t="n"/>
      <c r="G1950" s="38" t="n"/>
    </row>
    <row r="1951">
      <c r="A1951" s="34" t="n"/>
      <c r="C1951" s="38" t="n"/>
      <c r="D1951" s="38" t="n"/>
      <c r="E1951" s="38" t="n"/>
      <c r="F1951" s="38" t="n"/>
      <c r="G1951" s="38" t="n"/>
    </row>
    <row r="1952">
      <c r="A1952" s="34" t="n"/>
      <c r="C1952" s="38" t="n"/>
      <c r="D1952" s="38" t="n"/>
      <c r="E1952" s="38" t="n"/>
      <c r="F1952" s="38" t="n"/>
      <c r="G1952" s="38" t="n"/>
    </row>
    <row r="1953">
      <c r="A1953" s="34" t="n"/>
      <c r="C1953" s="38" t="n"/>
      <c r="D1953" s="38" t="n"/>
      <c r="E1953" s="38" t="n"/>
      <c r="F1953" s="38" t="n"/>
      <c r="G1953" s="38" t="n"/>
    </row>
    <row r="1954">
      <c r="A1954" s="34" t="n"/>
      <c r="C1954" s="38" t="n"/>
      <c r="D1954" s="38" t="n"/>
      <c r="E1954" s="38" t="n"/>
      <c r="F1954" s="38" t="n"/>
      <c r="G1954" s="38" t="n"/>
    </row>
    <row r="1955">
      <c r="A1955" s="34" t="n"/>
      <c r="C1955" s="38" t="n"/>
      <c r="D1955" s="38" t="n"/>
      <c r="E1955" s="38" t="n"/>
      <c r="F1955" s="38" t="n"/>
      <c r="G1955" s="38" t="n"/>
    </row>
    <row r="1956">
      <c r="A1956" s="34" t="n"/>
      <c r="C1956" s="38" t="n"/>
      <c r="D1956" s="38" t="n"/>
      <c r="E1956" s="38" t="n"/>
      <c r="F1956" s="38" t="n"/>
      <c r="G1956" s="38" t="n"/>
    </row>
    <row r="1957">
      <c r="A1957" s="34" t="n"/>
      <c r="C1957" s="38" t="n"/>
      <c r="D1957" s="38" t="n"/>
      <c r="E1957" s="38" t="n"/>
      <c r="F1957" s="38" t="n"/>
      <c r="G1957" s="38" t="n"/>
    </row>
    <row r="1958">
      <c r="A1958" s="34" t="n"/>
      <c r="C1958" s="38" t="n"/>
      <c r="D1958" s="38" t="n"/>
      <c r="E1958" s="38" t="n"/>
      <c r="F1958" s="38" t="n"/>
      <c r="G1958" s="38" t="n"/>
    </row>
    <row r="1959">
      <c r="A1959" s="34" t="n"/>
      <c r="C1959" s="38" t="n"/>
      <c r="D1959" s="38" t="n"/>
      <c r="E1959" s="38" t="n"/>
      <c r="F1959" s="38" t="n"/>
      <c r="G1959" s="38" t="n"/>
    </row>
    <row r="1960">
      <c r="A1960" s="34" t="n"/>
      <c r="C1960" s="38" t="n"/>
      <c r="D1960" s="38" t="n"/>
      <c r="E1960" s="38" t="n"/>
      <c r="F1960" s="38" t="n"/>
      <c r="G1960" s="38" t="n"/>
    </row>
    <row r="1961">
      <c r="A1961" s="34" t="n"/>
      <c r="C1961" s="38" t="n"/>
      <c r="D1961" s="38" t="n"/>
      <c r="E1961" s="38" t="n"/>
      <c r="F1961" s="38" t="n"/>
      <c r="G1961" s="38" t="n"/>
    </row>
    <row r="1962">
      <c r="A1962" s="34" t="n"/>
      <c r="C1962" s="38" t="n"/>
      <c r="D1962" s="38" t="n"/>
      <c r="E1962" s="38" t="n"/>
      <c r="F1962" s="38" t="n"/>
      <c r="G1962" s="38" t="n"/>
    </row>
    <row r="1963">
      <c r="A1963" s="34" t="n"/>
      <c r="C1963" s="38" t="n"/>
      <c r="D1963" s="38" t="n"/>
      <c r="E1963" s="38" t="n"/>
      <c r="F1963" s="38" t="n"/>
      <c r="G1963" s="38" t="n"/>
    </row>
    <row r="1964">
      <c r="A1964" s="34" t="n"/>
      <c r="C1964" s="38" t="n"/>
      <c r="D1964" s="38" t="n"/>
      <c r="E1964" s="38" t="n"/>
      <c r="F1964" s="38" t="n"/>
      <c r="G1964" s="38" t="n"/>
    </row>
    <row r="1965">
      <c r="A1965" s="34" t="n"/>
      <c r="C1965" s="38" t="n"/>
      <c r="D1965" s="38" t="n"/>
      <c r="E1965" s="38" t="n"/>
      <c r="F1965" s="38" t="n"/>
      <c r="G1965" s="38" t="n"/>
    </row>
    <row r="1966">
      <c r="A1966" s="34" t="n"/>
      <c r="C1966" s="38" t="n"/>
      <c r="D1966" s="38" t="n"/>
      <c r="E1966" s="38" t="n"/>
      <c r="F1966" s="38" t="n"/>
      <c r="G1966" s="38" t="n"/>
    </row>
    <row r="1967">
      <c r="A1967" s="34" t="n"/>
      <c r="C1967" s="38" t="n"/>
      <c r="D1967" s="38" t="n"/>
      <c r="E1967" s="38" t="n"/>
      <c r="F1967" s="38" t="n"/>
      <c r="G1967" s="38" t="n"/>
    </row>
    <row r="1968">
      <c r="A1968" s="34" t="n"/>
      <c r="C1968" s="38" t="n"/>
      <c r="D1968" s="38" t="n"/>
      <c r="E1968" s="38" t="n"/>
      <c r="F1968" s="38" t="n"/>
      <c r="G1968" s="38" t="n"/>
    </row>
    <row r="1969">
      <c r="A1969" s="34" t="n"/>
      <c r="C1969" s="38" t="n"/>
      <c r="D1969" s="38" t="n"/>
      <c r="E1969" s="38" t="n"/>
      <c r="F1969" s="38" t="n"/>
      <c r="G1969" s="38" t="n"/>
    </row>
    <row r="1970">
      <c r="A1970" s="34" t="n"/>
      <c r="C1970" s="38" t="n"/>
      <c r="D1970" s="38" t="n"/>
      <c r="E1970" s="38" t="n"/>
      <c r="F1970" s="38" t="n"/>
      <c r="G1970" s="38" t="n"/>
    </row>
    <row r="1971">
      <c r="A1971" s="34" t="n"/>
      <c r="C1971" s="38" t="n"/>
      <c r="D1971" s="38" t="n"/>
      <c r="E1971" s="38" t="n"/>
      <c r="F1971" s="38" t="n"/>
      <c r="G1971" s="38" t="n"/>
    </row>
    <row r="1972">
      <c r="A1972" s="34" t="n"/>
      <c r="C1972" s="38" t="n"/>
      <c r="D1972" s="38" t="n"/>
      <c r="E1972" s="38" t="n"/>
      <c r="F1972" s="38" t="n"/>
      <c r="G1972" s="38" t="n"/>
    </row>
    <row r="1973">
      <c r="A1973" s="34" t="n"/>
      <c r="C1973" s="38" t="n"/>
      <c r="D1973" s="38" t="n"/>
      <c r="E1973" s="38" t="n"/>
      <c r="F1973" s="38" t="n"/>
      <c r="G1973" s="38" t="n"/>
    </row>
    <row r="1974">
      <c r="A1974" s="34" t="n"/>
      <c r="C1974" s="38" t="n"/>
      <c r="D1974" s="38" t="n"/>
      <c r="E1974" s="38" t="n"/>
      <c r="F1974" s="38" t="n"/>
      <c r="G1974" s="38" t="n"/>
    </row>
    <row r="1975">
      <c r="A1975" s="34" t="n"/>
      <c r="C1975" s="38" t="n"/>
      <c r="D1975" s="38" t="n"/>
      <c r="E1975" s="38" t="n"/>
      <c r="F1975" s="38" t="n"/>
      <c r="G1975" s="38" t="n"/>
    </row>
    <row r="1976">
      <c r="A1976" s="34" t="n"/>
      <c r="C1976" s="38" t="n"/>
      <c r="D1976" s="38" t="n"/>
      <c r="E1976" s="38" t="n"/>
      <c r="F1976" s="38" t="n"/>
      <c r="G1976" s="38" t="n"/>
    </row>
    <row r="1977">
      <c r="A1977" s="34" t="n"/>
      <c r="C1977" s="38" t="n"/>
      <c r="D1977" s="38" t="n"/>
      <c r="E1977" s="38" t="n"/>
      <c r="F1977" s="38" t="n"/>
      <c r="G1977" s="38" t="n"/>
    </row>
    <row r="1978">
      <c r="A1978" s="34" t="n"/>
      <c r="C1978" s="38" t="n"/>
      <c r="D1978" s="38" t="n"/>
      <c r="E1978" s="38" t="n"/>
      <c r="F1978" s="38" t="n"/>
      <c r="G1978" s="38" t="n"/>
    </row>
    <row r="1979">
      <c r="A1979" s="34" t="n"/>
      <c r="C1979" s="38" t="n"/>
      <c r="D1979" s="38" t="n"/>
      <c r="E1979" s="38" t="n"/>
      <c r="F1979" s="38" t="n"/>
      <c r="G1979" s="38" t="n"/>
    </row>
    <row r="1980">
      <c r="A1980" s="34" t="n"/>
      <c r="C1980" s="38" t="n"/>
      <c r="D1980" s="38" t="n"/>
      <c r="E1980" s="38" t="n"/>
      <c r="F1980" s="38" t="n"/>
      <c r="G1980" s="38" t="n"/>
    </row>
    <row r="1981">
      <c r="A1981" s="34" t="n"/>
      <c r="C1981" s="38" t="n"/>
      <c r="D1981" s="38" t="n"/>
      <c r="E1981" s="38" t="n"/>
      <c r="F1981" s="38" t="n"/>
      <c r="G1981" s="38" t="n"/>
    </row>
    <row r="1982">
      <c r="A1982" s="34" t="n"/>
      <c r="C1982" s="38" t="n"/>
      <c r="D1982" s="38" t="n"/>
      <c r="E1982" s="38" t="n"/>
      <c r="F1982" s="38" t="n"/>
      <c r="G1982" s="38" t="n"/>
    </row>
    <row r="1983">
      <c r="A1983" s="34" t="n"/>
      <c r="C1983" s="38" t="n"/>
      <c r="D1983" s="38" t="n"/>
      <c r="E1983" s="38" t="n"/>
      <c r="F1983" s="38" t="n"/>
      <c r="G1983" s="38" t="n"/>
    </row>
    <row r="1984">
      <c r="A1984" s="34" t="n"/>
      <c r="C1984" s="38" t="n"/>
      <c r="D1984" s="38" t="n"/>
      <c r="E1984" s="38" t="n"/>
      <c r="F1984" s="38" t="n"/>
      <c r="G1984" s="38" t="n"/>
    </row>
    <row r="1985">
      <c r="A1985" s="34" t="n"/>
      <c r="C1985" s="38" t="n"/>
      <c r="D1985" s="38" t="n"/>
      <c r="E1985" s="38" t="n"/>
      <c r="F1985" s="38" t="n"/>
      <c r="G1985" s="38" t="n"/>
    </row>
    <row r="1986">
      <c r="A1986" s="34" t="n"/>
      <c r="C1986" s="38" t="n"/>
      <c r="D1986" s="38" t="n"/>
      <c r="E1986" s="38" t="n"/>
      <c r="F1986" s="38" t="n"/>
      <c r="G1986" s="38" t="n"/>
    </row>
    <row r="1987">
      <c r="A1987" s="34" t="n"/>
      <c r="C1987" s="38" t="n"/>
      <c r="D1987" s="38" t="n"/>
      <c r="E1987" s="38" t="n"/>
      <c r="F1987" s="38" t="n"/>
      <c r="G1987" s="38" t="n"/>
    </row>
    <row r="1988">
      <c r="A1988" s="34" t="n"/>
      <c r="C1988" s="38" t="n"/>
      <c r="D1988" s="38" t="n"/>
      <c r="E1988" s="38" t="n"/>
      <c r="F1988" s="38" t="n"/>
      <c r="G1988" s="38" t="n"/>
    </row>
    <row r="1989">
      <c r="A1989" s="34" t="n"/>
      <c r="C1989" s="38" t="n"/>
      <c r="D1989" s="38" t="n"/>
      <c r="E1989" s="38" t="n"/>
      <c r="F1989" s="38" t="n"/>
      <c r="G1989" s="38" t="n"/>
    </row>
    <row r="1990">
      <c r="A1990" s="34" t="n"/>
      <c r="C1990" s="38" t="n"/>
      <c r="D1990" s="38" t="n"/>
      <c r="E1990" s="38" t="n"/>
      <c r="F1990" s="38" t="n"/>
      <c r="G1990" s="38" t="n"/>
    </row>
    <row r="1991">
      <c r="A1991" s="34" t="n"/>
      <c r="C1991" s="38" t="n"/>
      <c r="D1991" s="38" t="n"/>
      <c r="E1991" s="38" t="n"/>
      <c r="F1991" s="38" t="n"/>
      <c r="G1991" s="38" t="n"/>
    </row>
    <row r="1992">
      <c r="A1992" s="34" t="n"/>
      <c r="C1992" s="38" t="n"/>
      <c r="D1992" s="38" t="n"/>
      <c r="E1992" s="38" t="n"/>
      <c r="F1992" s="38" t="n"/>
      <c r="G1992" s="38" t="n"/>
    </row>
    <row r="1993">
      <c r="A1993" s="34" t="n"/>
      <c r="C1993" s="38" t="n"/>
      <c r="D1993" s="38" t="n"/>
      <c r="E1993" s="38" t="n"/>
      <c r="F1993" s="38" t="n"/>
      <c r="G1993" s="38" t="n"/>
    </row>
    <row r="1994">
      <c r="A1994" s="34" t="n"/>
      <c r="C1994" s="38" t="n"/>
      <c r="D1994" s="38" t="n"/>
      <c r="E1994" s="38" t="n"/>
      <c r="F1994" s="38" t="n"/>
      <c r="G1994" s="38" t="n"/>
    </row>
    <row r="1995">
      <c r="A1995" s="34" t="n"/>
      <c r="C1995" s="38" t="n"/>
      <c r="D1995" s="38" t="n"/>
      <c r="E1995" s="38" t="n"/>
      <c r="F1995" s="38" t="n"/>
      <c r="G1995" s="38" t="n"/>
    </row>
    <row r="1996">
      <c r="A1996" s="34" t="n"/>
      <c r="C1996" s="38" t="n"/>
      <c r="D1996" s="38" t="n"/>
      <c r="E1996" s="38" t="n"/>
      <c r="F1996" s="38" t="n"/>
      <c r="G1996" s="38" t="n"/>
    </row>
    <row r="1997">
      <c r="A1997" s="34" t="n"/>
      <c r="C1997" s="38" t="n"/>
      <c r="D1997" s="38" t="n"/>
      <c r="E1997" s="38" t="n"/>
      <c r="F1997" s="38" t="n"/>
      <c r="G1997" s="38" t="n"/>
    </row>
    <row r="1998">
      <c r="A1998" s="34" t="n"/>
      <c r="C1998" s="38" t="n"/>
      <c r="D1998" s="38" t="n"/>
      <c r="E1998" s="38" t="n"/>
      <c r="F1998" s="38" t="n"/>
      <c r="G1998" s="38" t="n"/>
    </row>
    <row r="1999">
      <c r="A1999" s="34" t="n"/>
      <c r="C1999" s="38" t="n"/>
      <c r="D1999" s="38" t="n"/>
      <c r="E1999" s="38" t="n"/>
      <c r="F1999" s="38" t="n"/>
      <c r="G1999" s="38" t="n"/>
    </row>
    <row r="2000">
      <c r="A2000" s="34" t="n"/>
      <c r="C2000" s="38" t="n"/>
      <c r="D2000" s="38" t="n"/>
      <c r="E2000" s="38" t="n"/>
      <c r="F2000" s="38" t="n"/>
      <c r="G2000" s="38" t="n"/>
    </row>
  </sheetData>
  <mergeCells count="2">
    <mergeCell ref="A2:G2"/>
    <mergeCell ref="A1:G1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2026-03-28T14:09:26Z</dcterms:created>
  <dcterms:modified xmlns:dcterms="http://purl.org/dc/terms/" xmlns:xsi="http://www.w3.org/2001/XMLSchema-instance" xsi:type="dcterms:W3CDTF">2026-04-23T12:03:15Z</dcterms:modified>
  <cp:lastModifiedBy>truenorth</cp:lastModifiedBy>
</cp:coreProperties>
</file>